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스트 " state="visible" r:id="rId4"/>
  </sheets>
  <calcPr calcId="171027"/>
</workbook>
</file>

<file path=xl/sharedStrings.xml><?xml version="1.0" encoding="utf-8"?>
<sst xmlns="http://schemas.openxmlformats.org/spreadsheetml/2006/main" count="168" uniqueCount="116">
  <si>
    <t xml:space="preserve">(C)테스트 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</si>
  <si>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</si>
  <si>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</si>
  <si>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</si>
  <si>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</si>
  <si>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</si>
  <si>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</si>
  <si>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</si>
  <si>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</si>
  <si>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</si>
  <si>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</si>
  <si>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</si>
  <si>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</si>
  <si>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</si>
  <si>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</si>
  <si>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</si>
  <si>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</si>
  <si>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</si>
  <si>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</si>
  <si>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</si>
  <si>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</si>
  <si>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</si>
  <si>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Critical</t>
  </si>
  <si>
    <t>챌린지 레이드 모드</t>
  </si>
  <si>
    <t>모드 진입</t>
  </si>
  <si>
    <t>로비 진입</t>
  </si>
  <si>
    <t>화면 전환</t>
  </si>
  <si>
    <t>[로비] - [Play] - [레이드] - [일반 모드] - [레이드 모드] 경로 진입 시, 챌린지 레이드 모드 로비 화면으로 전환된다.</t>
  </si>
  <si>
    <t>참고 화면: 챌린지 레이드 모드 로비 (화면 경로)</t>
  </si>
  <si>
    <t>Major</t>
  </si>
  <si>
    <t>UI 출력</t>
  </si>
  <si>
    <t>챌린지 레이드 모드 로비 진입 시, 기존 레이드 모드와 동일한 UI 구성이 출력된다.</t>
  </si>
  <si>
    <t>참고 화면: 챌린지 레이드 모드 로비</t>
  </si>
  <si>
    <t>클리어 화면</t>
  </si>
  <si>
    <t>상단 UI</t>
  </si>
  <si>
    <t>신고 버튼 출력</t>
  </si>
  <si>
    <t>클리어 화면 좌측 상단에 신고 버튼이 출력된다.</t>
  </si>
  <si>
    <t>참고 화면: 챌린지 레이드 모드 로비 - 클리어 화면 좌상단</t>
  </si>
  <si>
    <t>신고 팝업 출력</t>
  </si>
  <si>
    <t>클리어 화면에서 신고 버튼 터치 시, 신고 팝업이 출력된다.</t>
  </si>
  <si>
    <t>진행도 출력</t>
  </si>
  <si>
    <t>클리어 화면 우측 상단에 P 진행도가 현재값/최대값(예: 5/5) 형식으로 출력된다.</t>
  </si>
  <si>
    <t>참고 화면: 챌린지 레이드 모드 로비 - 클리어 화면 우상단</t>
  </si>
  <si>
    <t>배너 영역</t>
  </si>
  <si>
    <t>강적 발견 배너 출력</t>
  </si>
  <si>
    <t>클리어 화면 상단에 강적 발견 배너가 출력된다.</t>
  </si>
  <si>
    <t>참고 화면: 챌린지 레이드 모드 로비 - 강적 발견 배너</t>
  </si>
  <si>
    <t>Normal</t>
  </si>
  <si>
    <t>강적 명칭 출력</t>
  </si>
  <si>
    <t>강적 발견 배너 내에 해당 강적의 명칭이 출력된다.</t>
  </si>
  <si>
    <t>플레이 정보 영역</t>
  </si>
  <si>
    <t>페니콩 잔량 출력</t>
  </si>
  <si>
    <t>클리어 화면 내에 현재 보유 중인 페니콩 잔량이 출력된다.</t>
  </si>
  <si>
    <t>참고 화면: 챌린지 레이드 모드 로비 - 페니콩 표시 영역</t>
  </si>
  <si>
    <t>플레이타임 출력</t>
  </si>
  <si>
    <t>클리어 화면 내에 플레이타임이 00:00.00 형식으로 출력된다.</t>
  </si>
  <si>
    <t>참고 화면: 챌린지 레이드 모드 로비 - 플레이타임 표시 영역</t>
  </si>
  <si>
    <t>캐릭터 일러스트 출력</t>
  </si>
  <si>
    <t>클리어 화면 내에 승리 포즈를 취한 캐릭터 일러스트가 출력된다.</t>
  </si>
  <si>
    <t>참고 화면: 챌린지 레이드 모드 로비 - 캐릭터 일러스트 영역</t>
  </si>
  <si>
    <t>트로피 영역</t>
  </si>
  <si>
    <t>트로피 리스트 출력</t>
  </si>
  <si>
    <t>클리어 화면 내에 트로피 리스트 영역이 출력된다.</t>
  </si>
  <si>
    <t>참고 화면: 챌린지 레이드 모드 로비 - 트로피 영역</t>
  </si>
  <si>
    <t>불굴의 쿠키 트로피 출력</t>
  </si>
  <si>
    <t>트로피 영역 내에 '불굴의 쿠키' 트로피가 출력된다.</t>
  </si>
  <si>
    <t>완벽한 플레이 트로피 출력</t>
  </si>
  <si>
    <t>트로피 영역 내에 '완벽한 플레이' 트로피가 출력된다.</t>
  </si>
  <si>
    <t>획득 수량 출력</t>
  </si>
  <si>
    <t>획득한 트로피 하단에 보유 수량이 출력된다.</t>
  </si>
  <si>
    <t>미획득 트로피 출력</t>
  </si>
  <si>
    <t>미획득 상태의 트로피는 회색 상태로 출력된다.</t>
  </si>
  <si>
    <t>획득 트로피 활성 출력</t>
  </si>
  <si>
    <t>획득한 트로피는 활성화된 상태로 컬러 이미지가 출력된다.</t>
  </si>
  <si>
    <t>획득 아이템 영역</t>
  </si>
  <si>
    <t>아이템 리스트 출력</t>
  </si>
  <si>
    <t>클리어 화면 내에 획득 아이템 리스트 영역이 출력된다.</t>
  </si>
  <si>
    <t>참고 화면: 챌린지 레이드 모드 로비 - 획득 아이템 영역</t>
  </si>
  <si>
    <t>아이템 아이콘 출력</t>
  </si>
  <si>
    <t>획득 아이템 영역 내에 획득한 아이템별 아이콘이 출력된다.</t>
  </si>
  <si>
    <t>수량 출력</t>
  </si>
  <si>
    <t>획득 아이템 아이콘 하단에 획득 수량이 출력된다.</t>
  </si>
  <si>
    <t>클리어 연출</t>
  </si>
  <si>
    <t>CLEAR 텍스트 출력</t>
  </si>
  <si>
    <t>클리어 화면 진입 시, 'CLEAR' 텍스트가 출력된다.</t>
  </si>
  <si>
    <t>참고 화면: 챌린지 레이드 모드 로비 - 클리어 연출</t>
  </si>
  <si>
    <t>애니메이션 재생</t>
  </si>
  <si>
    <t>클리어 화면 진입 시, 클리어 연출 애니메이션이 재생된다.</t>
  </si>
  <si>
    <t>효과음 재생</t>
  </si>
  <si>
    <t>클리어 화면 진입 시, 클리어 효과음이 재생된다.</t>
  </si>
  <si>
    <t>하단 버튼</t>
  </si>
  <si>
    <t>다시하기 버튼 출력</t>
  </si>
  <si>
    <t>클리어 화면 하단에 페니콩 1 소모 표기와 함께 다시하기 버튼이 출력된다.</t>
  </si>
  <si>
    <t>참고 화면: 챌린지 레이드 모드 로비 - 다시하기 버튼</t>
  </si>
  <si>
    <t>페니콩 차감</t>
  </si>
  <si>
    <t>다시하기 버튼 터치 시, 보유 페니콩이 1 차감된다.</t>
  </si>
  <si>
    <t>다시하기 버튼 비활성화</t>
  </si>
  <si>
    <t>보유 페니콩이 1 미만일 시, 다시하기 버튼이 비활성화 상태로 표시된다.</t>
  </si>
  <si>
    <t>나가기 버튼 출력</t>
  </si>
  <si>
    <t>클리어 화면 하단에 나가기 버튼이 출력된다.</t>
  </si>
  <si>
    <t>참고 화면: 챌린지 레이드 모드 로비 - 나가기 버튼</t>
  </si>
  <si>
    <t>재플레이 진입</t>
  </si>
  <si>
    <t>다시하기 버튼 터치 시, 챌린지 레이드 모드의 인게임 로딩 화면으로 진입된다.</t>
  </si>
  <si>
    <t>화면 이탈</t>
  </si>
  <si>
    <t>나가기 버튼 터치 시, 챌린지 레이드 모드 로비 이전 화면으로 이동된다.</t>
  </si>
  <si>
    <t>제거 기능 비노출 검증</t>
  </si>
  <si>
    <t>코코방울의 축복 미노출</t>
  </si>
  <si>
    <t>기능 비표시</t>
  </si>
  <si>
    <t>챌린지 레이드 모드 내에서 코코방울의 축복 기능 관련 UI가 출력되지 않는다.</t>
  </si>
  <si>
    <t>참고 화면: 챌린지 레이드 모드 로비 - Description 제거 기능 (1)</t>
  </si>
  <si>
    <t>트로피 상자 미노출</t>
  </si>
  <si>
    <t>챌린지 레이드 모드 내에서 트로피 상자 기능 관련 UI가 출력되지 않는다.</t>
  </si>
  <si>
    <t>참고 화면: 챌린지 레이드 모드 로비 - Description 제거 기능 (2)</t>
  </si>
  <si>
    <t>무지개 상자 지급 이벤트 미노출</t>
  </si>
  <si>
    <t>챌린지 레이드 모드 내에서 무지개 상자 지급 이벤트 관련 UI 및 보상이 출력되지 않는다.</t>
  </si>
  <si>
    <t>참고 화면: 챌린지 레이드 모드 로비 - Description 제거 기능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</si>
</sst>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0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COUNTIF(I10:I40,"Pass")</f>
      </c>
      <c r="K3" t="s">
        <v>4</v>
      </c>
      <c r="L3">
        <f>COUNTIF(I10:I40,"")</f>
      </c>
      <c r="M3" s="3" t="s">
        <v>3</v>
      </c>
      <c r="N3">
        <f>COUNTIF(J10:J40,"Pass")</f>
      </c>
    </row>
    <row r="4" spans="9:14" x14ac:dyDescent="0.25">
      <c r="I4" s="4" t="s">
        <v>5</v>
      </c>
      <c r="J4">
        <f>COUNTIF(I10:I40,"N/T")</f>
      </c>
      <c r="K4" t="s">
        <v>6</v>
      </c>
      <c r="L4">
        <f>COUNTA(I10:I40)-COUNTIF(I10:I40,"")</f>
      </c>
      <c r="M4" s="4" t="s">
        <v>5</v>
      </c>
      <c r="N4">
        <f>COUNTIF(J10:J40,"N/T")</f>
      </c>
    </row>
    <row r="5" spans="9:14" x14ac:dyDescent="0.25">
      <c r="I5" s="5" t="s">
        <v>7</v>
      </c>
      <c r="J5">
        <f>COUNTIF(I10:I40,"Fail")</f>
      </c>
      <c r="K5" t="s">
        <v>8</v>
      </c>
      <c r="L5">
        <v>31</v>
      </c>
      <c r="M5" s="5" t="s">
        <v>7</v>
      </c>
      <c r="N5">
        <f>COUNTIF(J10:J40,"Fail")</f>
      </c>
    </row>
    <row r="6" spans="9:14" x14ac:dyDescent="0.25">
      <c r="I6" s="6" t="s">
        <v>9</v>
      </c>
      <c r="J6">
        <f>COUNTIF(I10:I40,"Block")</f>
      </c>
      <c r="K6" t="s">
        <v>10</v>
      </c>
      <c r="L6" s="7">
        <f>IF(L5=0,0,L4/L5)</f>
      </c>
      <c r="M6" s="6" t="s">
        <v>9</v>
      </c>
      <c r="N6">
        <f>COUNTIF(J10:J40,"Block")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5" t="s">
        <v>29</v>
      </c>
      <c r="D11" s="11"/>
      <c r="E11" s="11"/>
      <c r="F11" s="11"/>
      <c r="G11" s="12" t="s">
        <v>30</v>
      </c>
      <c r="H11" s="13" t="s">
        <v>31</v>
      </c>
      <c r="I11" s="12"/>
      <c r="J11" s="12"/>
      <c r="K11" s="12"/>
      <c r="L11" s="12"/>
      <c r="M11" s="12"/>
      <c r="N11" s="14" t="s">
        <v>32</v>
      </c>
    </row>
    <row r="12" spans="2:14" x14ac:dyDescent="0.25">
      <c r="B12" s="9">
        <v>3</v>
      </c>
      <c r="C12" s="15" t="s">
        <v>29</v>
      </c>
      <c r="D12" s="11"/>
      <c r="E12" s="11" t="s">
        <v>33</v>
      </c>
      <c r="F12" s="11" t="s">
        <v>34</v>
      </c>
      <c r="G12" s="12" t="s">
        <v>35</v>
      </c>
      <c r="H12" s="13" t="s">
        <v>36</v>
      </c>
      <c r="I12" s="12"/>
      <c r="J12" s="12"/>
      <c r="K12" s="12"/>
      <c r="L12" s="12"/>
      <c r="M12" s="12"/>
      <c r="N12" s="14" t="s">
        <v>37</v>
      </c>
    </row>
    <row r="13" spans="2:14" x14ac:dyDescent="0.25">
      <c r="B13" s="9">
        <v>4</v>
      </c>
      <c r="C13" s="15" t="s">
        <v>29</v>
      </c>
      <c r="D13" s="11"/>
      <c r="E13" s="11"/>
      <c r="F13" s="11"/>
      <c r="G13" s="12" t="s">
        <v>38</v>
      </c>
      <c r="H13" s="13" t="s">
        <v>39</v>
      </c>
      <c r="I13" s="12"/>
      <c r="J13" s="12"/>
      <c r="K13" s="12"/>
      <c r="L13" s="12"/>
      <c r="M13" s="12"/>
      <c r="N13" s="14" t="s">
        <v>37</v>
      </c>
    </row>
    <row r="14" spans="2:14" x14ac:dyDescent="0.25">
      <c r="B14" s="9">
        <v>5</v>
      </c>
      <c r="C14" s="15" t="s">
        <v>29</v>
      </c>
      <c r="D14" s="11"/>
      <c r="E14" s="11"/>
      <c r="F14" s="11"/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5" t="s">
        <v>29</v>
      </c>
      <c r="D15" s="11"/>
      <c r="E15" s="11"/>
      <c r="F15" s="11" t="s">
        <v>43</v>
      </c>
      <c r="G15" s="12" t="s">
        <v>44</v>
      </c>
      <c r="H15" s="13" t="s">
        <v>45</v>
      </c>
      <c r="I15" s="12"/>
      <c r="J15" s="12"/>
      <c r="K15" s="12"/>
      <c r="L15" s="12"/>
      <c r="M15" s="12"/>
      <c r="N15" s="14" t="s">
        <v>46</v>
      </c>
    </row>
    <row r="16" spans="2:14" x14ac:dyDescent="0.25">
      <c r="B16" s="9">
        <v>7</v>
      </c>
      <c r="C16" s="16" t="s">
        <v>47</v>
      </c>
      <c r="D16" s="11"/>
      <c r="E16" s="11"/>
      <c r="F16" s="11"/>
      <c r="G16" s="12" t="s">
        <v>48</v>
      </c>
      <c r="H16" s="13" t="s">
        <v>49</v>
      </c>
      <c r="I16" s="12"/>
      <c r="J16" s="12"/>
      <c r="K16" s="12"/>
      <c r="L16" s="12"/>
      <c r="M16" s="12"/>
      <c r="N16" s="14" t="s">
        <v>46</v>
      </c>
    </row>
    <row r="17" spans="2:14" x14ac:dyDescent="0.25">
      <c r="B17" s="9">
        <v>8</v>
      </c>
      <c r="C17" s="15" t="s">
        <v>29</v>
      </c>
      <c r="D17" s="11"/>
      <c r="E17" s="11"/>
      <c r="F17" s="11" t="s">
        <v>50</v>
      </c>
      <c r="G17" s="12" t="s">
        <v>51</v>
      </c>
      <c r="H17" s="13" t="s">
        <v>52</v>
      </c>
      <c r="I17" s="12"/>
      <c r="J17" s="12"/>
      <c r="K17" s="12"/>
      <c r="L17" s="12"/>
      <c r="M17" s="12"/>
      <c r="N17" s="14" t="s">
        <v>53</v>
      </c>
    </row>
    <row r="18" spans="2:14" x14ac:dyDescent="0.25">
      <c r="B18" s="9">
        <v>9</v>
      </c>
      <c r="C18" s="15" t="s">
        <v>29</v>
      </c>
      <c r="D18" s="11"/>
      <c r="E18" s="11"/>
      <c r="F18" s="11"/>
      <c r="G18" s="12" t="s">
        <v>54</v>
      </c>
      <c r="H18" s="13" t="s">
        <v>55</v>
      </c>
      <c r="I18" s="12"/>
      <c r="J18" s="12"/>
      <c r="K18" s="12"/>
      <c r="L18" s="12"/>
      <c r="M18" s="12"/>
      <c r="N18" s="14" t="s">
        <v>56</v>
      </c>
    </row>
    <row r="19" spans="2:14" x14ac:dyDescent="0.25">
      <c r="B19" s="9">
        <v>10</v>
      </c>
      <c r="C19" s="16" t="s">
        <v>47</v>
      </c>
      <c r="D19" s="11"/>
      <c r="E19" s="11"/>
      <c r="F19" s="11"/>
      <c r="G19" s="12" t="s">
        <v>57</v>
      </c>
      <c r="H19" s="13" t="s">
        <v>58</v>
      </c>
      <c r="I19" s="12"/>
      <c r="J19" s="12"/>
      <c r="K19" s="12"/>
      <c r="L19" s="12"/>
      <c r="M19" s="12"/>
      <c r="N19" s="14" t="s">
        <v>59</v>
      </c>
    </row>
    <row r="20" spans="2:14" x14ac:dyDescent="0.25">
      <c r="B20" s="9">
        <v>11</v>
      </c>
      <c r="C20" s="15" t="s">
        <v>29</v>
      </c>
      <c r="D20" s="11"/>
      <c r="E20" s="11"/>
      <c r="F20" s="11" t="s">
        <v>60</v>
      </c>
      <c r="G20" s="12" t="s">
        <v>61</v>
      </c>
      <c r="H20" s="13" t="s">
        <v>62</v>
      </c>
      <c r="I20" s="12"/>
      <c r="J20" s="12"/>
      <c r="K20" s="12"/>
      <c r="L20" s="12"/>
      <c r="M20" s="12"/>
      <c r="N20" s="14" t="s">
        <v>63</v>
      </c>
    </row>
    <row r="21" spans="2:14" x14ac:dyDescent="0.25">
      <c r="B21" s="9">
        <v>12</v>
      </c>
      <c r="C21" s="15" t="s">
        <v>29</v>
      </c>
      <c r="D21" s="11"/>
      <c r="E21" s="11"/>
      <c r="F21" s="11"/>
      <c r="G21" s="12" t="s">
        <v>64</v>
      </c>
      <c r="H21" s="13" t="s">
        <v>65</v>
      </c>
      <c r="I21" s="12"/>
      <c r="J21" s="12"/>
      <c r="K21" s="12"/>
      <c r="L21" s="12"/>
      <c r="M21" s="12"/>
      <c r="N21" s="14" t="s">
        <v>63</v>
      </c>
    </row>
    <row r="22" spans="2:14" x14ac:dyDescent="0.25">
      <c r="B22" s="9">
        <v>13</v>
      </c>
      <c r="C22" s="15" t="s">
        <v>29</v>
      </c>
      <c r="D22" s="11"/>
      <c r="E22" s="11"/>
      <c r="F22" s="11"/>
      <c r="G22" s="12" t="s">
        <v>66</v>
      </c>
      <c r="H22" s="13" t="s">
        <v>67</v>
      </c>
      <c r="I22" s="12"/>
      <c r="J22" s="12"/>
      <c r="K22" s="12"/>
      <c r="L22" s="12"/>
      <c r="M22" s="12"/>
      <c r="N22" s="14" t="s">
        <v>63</v>
      </c>
    </row>
    <row r="23" spans="2:14" x14ac:dyDescent="0.25">
      <c r="B23" s="9">
        <v>14</v>
      </c>
      <c r="C23" s="15" t="s">
        <v>29</v>
      </c>
      <c r="D23" s="11"/>
      <c r="E23" s="11"/>
      <c r="F23" s="11"/>
      <c r="G23" s="12" t="s">
        <v>68</v>
      </c>
      <c r="H23" s="13" t="s">
        <v>69</v>
      </c>
      <c r="I23" s="12"/>
      <c r="J23" s="12"/>
      <c r="K23" s="12"/>
      <c r="L23" s="12"/>
      <c r="M23" s="12"/>
      <c r="N23" s="14" t="s">
        <v>63</v>
      </c>
    </row>
    <row r="24" spans="2:14" x14ac:dyDescent="0.25">
      <c r="B24" s="9">
        <v>15</v>
      </c>
      <c r="C24" s="16" t="s">
        <v>47</v>
      </c>
      <c r="D24" s="11"/>
      <c r="E24" s="11"/>
      <c r="F24" s="11"/>
      <c r="G24" s="12" t="s">
        <v>70</v>
      </c>
      <c r="H24" s="13" t="s">
        <v>71</v>
      </c>
      <c r="I24" s="12"/>
      <c r="J24" s="12"/>
      <c r="K24" s="12"/>
      <c r="L24" s="12"/>
      <c r="M24" s="12"/>
      <c r="N24" s="14" t="s">
        <v>63</v>
      </c>
    </row>
    <row r="25" spans="2:14" x14ac:dyDescent="0.25">
      <c r="B25" s="9">
        <v>16</v>
      </c>
      <c r="C25" s="16" t="s">
        <v>47</v>
      </c>
      <c r="D25" s="11"/>
      <c r="E25" s="11"/>
      <c r="F25" s="11"/>
      <c r="G25" s="12" t="s">
        <v>72</v>
      </c>
      <c r="H25" s="13" t="s">
        <v>73</v>
      </c>
      <c r="I25" s="12"/>
      <c r="J25" s="12"/>
      <c r="K25" s="12"/>
      <c r="L25" s="12"/>
      <c r="M25" s="12"/>
      <c r="N25" s="14" t="s">
        <v>63</v>
      </c>
    </row>
    <row r="26" spans="2:14" x14ac:dyDescent="0.25">
      <c r="B26" s="9">
        <v>17</v>
      </c>
      <c r="C26" s="15" t="s">
        <v>29</v>
      </c>
      <c r="D26" s="11"/>
      <c r="E26" s="11"/>
      <c r="F26" s="11" t="s">
        <v>74</v>
      </c>
      <c r="G26" s="12" t="s">
        <v>75</v>
      </c>
      <c r="H26" s="13" t="s">
        <v>76</v>
      </c>
      <c r="I26" s="12"/>
      <c r="J26" s="12"/>
      <c r="K26" s="12"/>
      <c r="L26" s="12"/>
      <c r="M26" s="12"/>
      <c r="N26" s="14" t="s">
        <v>77</v>
      </c>
    </row>
    <row r="27" spans="2:14" x14ac:dyDescent="0.25">
      <c r="B27" s="9">
        <v>18</v>
      </c>
      <c r="C27" s="15" t="s">
        <v>29</v>
      </c>
      <c r="D27" s="11"/>
      <c r="E27" s="11"/>
      <c r="F27" s="11"/>
      <c r="G27" s="12" t="s">
        <v>78</v>
      </c>
      <c r="H27" s="13" t="s">
        <v>79</v>
      </c>
      <c r="I27" s="12"/>
      <c r="J27" s="12"/>
      <c r="K27" s="12"/>
      <c r="L27" s="12"/>
      <c r="M27" s="12"/>
      <c r="N27" s="14" t="s">
        <v>77</v>
      </c>
    </row>
    <row r="28" spans="2:14" x14ac:dyDescent="0.25">
      <c r="B28" s="9">
        <v>19</v>
      </c>
      <c r="C28" s="15" t="s">
        <v>29</v>
      </c>
      <c r="D28" s="11"/>
      <c r="E28" s="11"/>
      <c r="F28" s="11"/>
      <c r="G28" s="12" t="s">
        <v>80</v>
      </c>
      <c r="H28" s="13" t="s">
        <v>81</v>
      </c>
      <c r="I28" s="12"/>
      <c r="J28" s="12"/>
      <c r="K28" s="12"/>
      <c r="L28" s="12"/>
      <c r="M28" s="12"/>
      <c r="N28" s="14" t="s">
        <v>77</v>
      </c>
    </row>
    <row r="29" spans="2:14" x14ac:dyDescent="0.25">
      <c r="B29" s="9">
        <v>20</v>
      </c>
      <c r="C29" s="16" t="s">
        <v>47</v>
      </c>
      <c r="D29" s="11"/>
      <c r="E29" s="11"/>
      <c r="F29" s="11" t="s">
        <v>82</v>
      </c>
      <c r="G29" s="12" t="s">
        <v>83</v>
      </c>
      <c r="H29" s="13" t="s">
        <v>84</v>
      </c>
      <c r="I29" s="12"/>
      <c r="J29" s="12"/>
      <c r="K29" s="12"/>
      <c r="L29" s="12"/>
      <c r="M29" s="12"/>
      <c r="N29" s="14" t="s">
        <v>85</v>
      </c>
    </row>
    <row r="30" spans="2:14" x14ac:dyDescent="0.25">
      <c r="B30" s="9">
        <v>21</v>
      </c>
      <c r="C30" s="16" t="s">
        <v>47</v>
      </c>
      <c r="D30" s="11"/>
      <c r="E30" s="11"/>
      <c r="F30" s="11"/>
      <c r="G30" s="12" t="s">
        <v>86</v>
      </c>
      <c r="H30" s="13" t="s">
        <v>87</v>
      </c>
      <c r="I30" s="12"/>
      <c r="J30" s="12"/>
      <c r="K30" s="12"/>
      <c r="L30" s="12"/>
      <c r="M30" s="12"/>
      <c r="N30" s="14" t="s">
        <v>85</v>
      </c>
    </row>
    <row r="31" spans="2:14" x14ac:dyDescent="0.25">
      <c r="B31" s="9">
        <v>22</v>
      </c>
      <c r="C31" s="16" t="s">
        <v>47</v>
      </c>
      <c r="D31" s="11"/>
      <c r="E31" s="11"/>
      <c r="F31" s="11"/>
      <c r="G31" s="12" t="s">
        <v>88</v>
      </c>
      <c r="H31" s="13" t="s">
        <v>89</v>
      </c>
      <c r="I31" s="12"/>
      <c r="J31" s="12"/>
      <c r="K31" s="12"/>
      <c r="L31" s="12"/>
      <c r="M31" s="12"/>
      <c r="N31" s="14" t="s">
        <v>85</v>
      </c>
    </row>
    <row r="32" spans="2:14" x14ac:dyDescent="0.25">
      <c r="B32" s="9">
        <v>23</v>
      </c>
      <c r="C32" s="15" t="s">
        <v>29</v>
      </c>
      <c r="D32" s="11"/>
      <c r="E32" s="11"/>
      <c r="F32" s="11" t="s">
        <v>90</v>
      </c>
      <c r="G32" s="12" t="s">
        <v>91</v>
      </c>
      <c r="H32" s="13" t="s">
        <v>92</v>
      </c>
      <c r="I32" s="12"/>
      <c r="J32" s="12"/>
      <c r="K32" s="12"/>
      <c r="L32" s="12"/>
      <c r="M32" s="12"/>
      <c r="N32" s="14" t="s">
        <v>93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94</v>
      </c>
      <c r="H33" s="13" t="s">
        <v>95</v>
      </c>
      <c r="I33" s="12"/>
      <c r="J33" s="12"/>
      <c r="K33" s="12"/>
      <c r="L33" s="12"/>
      <c r="M33" s="12"/>
      <c r="N33" s="14" t="s">
        <v>93</v>
      </c>
    </row>
    <row r="34" spans="2:14" x14ac:dyDescent="0.25">
      <c r="B34" s="9">
        <v>25</v>
      </c>
      <c r="C34" s="15" t="s">
        <v>29</v>
      </c>
      <c r="D34" s="11"/>
      <c r="E34" s="11"/>
      <c r="F34" s="11"/>
      <c r="G34" s="12" t="s">
        <v>96</v>
      </c>
      <c r="H34" s="13" t="s">
        <v>97</v>
      </c>
      <c r="I34" s="12"/>
      <c r="J34" s="12"/>
      <c r="K34" s="12"/>
      <c r="L34" s="12"/>
      <c r="M34" s="12"/>
      <c r="N34" s="14" t="s">
        <v>93</v>
      </c>
    </row>
    <row r="35" spans="2:14" x14ac:dyDescent="0.25">
      <c r="B35" s="9">
        <v>26</v>
      </c>
      <c r="C35" s="15" t="s">
        <v>29</v>
      </c>
      <c r="D35" s="11"/>
      <c r="E35" s="11"/>
      <c r="F35" s="11"/>
      <c r="G35" s="12" t="s">
        <v>98</v>
      </c>
      <c r="H35" s="13" t="s">
        <v>99</v>
      </c>
      <c r="I35" s="12"/>
      <c r="J35" s="12"/>
      <c r="K35" s="12"/>
      <c r="L35" s="12"/>
      <c r="M35" s="12"/>
      <c r="N35" s="14" t="s">
        <v>100</v>
      </c>
    </row>
    <row r="36" spans="2:14" x14ac:dyDescent="0.25">
      <c r="B36" s="9">
        <v>27</v>
      </c>
      <c r="C36" s="15" t="s">
        <v>29</v>
      </c>
      <c r="D36" s="11"/>
      <c r="E36" s="11"/>
      <c r="F36" s="11"/>
      <c r="G36" s="12" t="s">
        <v>101</v>
      </c>
      <c r="H36" s="13" t="s">
        <v>102</v>
      </c>
      <c r="I36" s="12"/>
      <c r="J36" s="12"/>
      <c r="K36" s="12"/>
      <c r="L36" s="12"/>
      <c r="M36" s="12"/>
      <c r="N36" s="14" t="s">
        <v>93</v>
      </c>
    </row>
    <row r="37" spans="2:14" x14ac:dyDescent="0.25">
      <c r="B37" s="9">
        <v>28</v>
      </c>
      <c r="C37" s="15" t="s">
        <v>29</v>
      </c>
      <c r="D37" s="11"/>
      <c r="E37" s="11"/>
      <c r="F37" s="11"/>
      <c r="G37" s="12" t="s">
        <v>103</v>
      </c>
      <c r="H37" s="13" t="s">
        <v>104</v>
      </c>
      <c r="I37" s="12"/>
      <c r="J37" s="12"/>
      <c r="K37" s="12"/>
      <c r="L37" s="12"/>
      <c r="M37" s="12"/>
      <c r="N37" s="14" t="s">
        <v>100</v>
      </c>
    </row>
    <row r="38" spans="2:14" x14ac:dyDescent="0.25">
      <c r="B38" s="9">
        <v>29</v>
      </c>
      <c r="C38" s="15" t="s">
        <v>29</v>
      </c>
      <c r="D38" s="11"/>
      <c r="E38" s="11" t="s">
        <v>105</v>
      </c>
      <c r="F38" s="12" t="s">
        <v>106</v>
      </c>
      <c r="G38" s="12" t="s">
        <v>107</v>
      </c>
      <c r="H38" s="13" t="s">
        <v>108</v>
      </c>
      <c r="I38" s="12"/>
      <c r="J38" s="12"/>
      <c r="K38" s="12"/>
      <c r="L38" s="12"/>
      <c r="M38" s="12"/>
      <c r="N38" s="14" t="s">
        <v>109</v>
      </c>
    </row>
    <row r="39" spans="2:14" x14ac:dyDescent="0.25">
      <c r="B39" s="9">
        <v>30</v>
      </c>
      <c r="C39" s="15" t="s">
        <v>29</v>
      </c>
      <c r="D39" s="11"/>
      <c r="E39" s="11"/>
      <c r="F39" s="12" t="s">
        <v>110</v>
      </c>
      <c r="G39" s="12" t="s">
        <v>107</v>
      </c>
      <c r="H39" s="13" t="s">
        <v>111</v>
      </c>
      <c r="I39" s="12"/>
      <c r="J39" s="12"/>
      <c r="K39" s="12"/>
      <c r="L39" s="12"/>
      <c r="M39" s="12"/>
      <c r="N39" s="14" t="s">
        <v>112</v>
      </c>
    </row>
    <row r="40" spans="2:14" x14ac:dyDescent="0.25">
      <c r="B40" s="9">
        <v>31</v>
      </c>
      <c r="C40" s="15" t="s">
        <v>29</v>
      </c>
      <c r="D40" s="11"/>
      <c r="E40" s="11"/>
      <c r="F40" s="12" t="s">
        <v>113</v>
      </c>
      <c r="G40" s="12" t="s">
        <v>107</v>
      </c>
      <c r="H40" s="13" t="s">
        <v>114</v>
      </c>
      <c r="I40" s="12"/>
      <c r="J40" s="12"/>
      <c r="K40" s="12"/>
      <c r="L40" s="12"/>
      <c r="M40" s="12"/>
      <c r="N40" s="14" t="s">
        <v>115</v>
      </c>
    </row>
  </sheetData>
  <mergeCells count="12">
    <mergeCell ref="D10:D40"/>
    <mergeCell ref="E10:E11"/>
    <mergeCell ref="F10:F11"/>
    <mergeCell ref="E12:E37"/>
    <mergeCell ref="F12:F14"/>
    <mergeCell ref="F15:F16"/>
    <mergeCell ref="F17:F19"/>
    <mergeCell ref="F20:F25"/>
    <mergeCell ref="F26:F28"/>
    <mergeCell ref="F29:F31"/>
    <mergeCell ref="F32:F37"/>
    <mergeCell ref="E38:E40"/>
  </mergeCells>
  <dataValidations count="1">
    <dataValidation type="list" allowBlank="1" showErrorMessage="1" errorTitle="잘못된 값" error="Pass, Fail, N/T, Block 중 하나를 선택하세요." sqref="I10:J40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2026-05-11T07:40:24Z</dcterms:created>
  <dcterms:modified xsi:type="dcterms:W3CDTF">2026-05-11T07:40:24Z</dcterms:modified>
</cp:coreProperties>
</file>