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방꾸미기 이벤트" state="visible" r:id="rId4"/>
  </sheets>
  <calcPr calcId="171027"/>
</workbook>
</file>

<file path=xl/sharedStrings.xml><?xml version="1.0" encoding="utf-8"?>
<sst xmlns="http://schemas.openxmlformats.org/spreadsheetml/2006/main" count="665" uniqueCount="403">
  <si>
    <t>(C)방꾸미기 이벤트</t>
  </si>
  <si>
    <t>Android</t>
  </si>
  <si>
    <t>iOS</t>
  </si>
  <si>
    <t>Pass</t>
  </si>
  <si>
    <t>Untested</t>
  </si>
  <si>
    <t>N/T</t>
  </si>
  <si>
    <t>Tested</t>
  </si>
  <si>
    <t>Fail</t>
  </si>
  <si>
    <t>Total</t>
  </si>
  <si>
    <t>Block</t>
  </si>
  <si>
    <t>Progress</t>
  </si>
  <si>
    <t/>
  </si>
  <si>
    <t>No</t>
  </si>
  <si>
    <t>Priority</t>
  </si>
  <si>
    <t>Main</t>
  </si>
  <si>
    <t>Sub-1</t>
  </si>
  <si>
    <t>Sub-2</t>
  </si>
  <si>
    <t>Sub-3</t>
  </si>
  <si>
    <t>Expectation Result</t>
  </si>
  <si>
    <t>AOS</t>
  </si>
  <si>
    <t>JIRA Link</t>
  </si>
  <si>
    <t>Comment</t>
  </si>
  <si>
    <t>Critical</t>
  </si>
  <si>
    <t>이벤트 ON/OFF</t>
  </si>
  <si>
    <t>이벤트 활성화</t>
  </si>
  <si>
    <t>start_time_stamp 이후 이벤트 오픈</t>
  </si>
  <si>
    <t>서버의 start_time_stamp 시점 이후에 방꾸미기 이벤트가 활성화되어 이벤트 진입이 가능하다</t>
  </si>
  <si>
    <t>기획서: 이벤트 ON/OFF 섹션</t>
  </si>
  <si>
    <t>end_time_stamp 이전 이벤트 유지</t>
  </si>
  <si>
    <t>end_time_stamp 도달 전까지 이벤트가 정상적으로 유지되며 모든 기능이 이용 가능하다</t>
  </si>
  <si>
    <t>Major</t>
  </si>
  <si>
    <t>start_time_stamp 이전 이벤트 비활성</t>
  </si>
  <si>
    <t>start_time_stamp 이전에는 이벤트 관련 배너 및 진입 경로가 노출되지 않는다</t>
  </si>
  <si>
    <t>이벤트 종료</t>
  </si>
  <si>
    <t>엔드타임 도달 시 이벤트 종료</t>
  </si>
  <si>
    <t>end_time_stamp 도달 시 이벤트가 즉시 종료되며 이벤트 관련 진입 경로가 비활성화된다</t>
  </si>
  <si>
    <t>이벤트 화면 중 종료 시 로비 이동</t>
  </si>
  <si>
    <t>방꾸미기 이벤트 화면에서 엔드타임 도달 시 자동으로 메인 로비로 이동된다</t>
  </si>
  <si>
    <t>기획서: 이벤트 ON/OFF 섹션 - 이벤트 종료 시간이 이벤트 화면을 보고 있는 유저는 로비로 튕겨낸다</t>
  </si>
  <si>
    <t>가구 배치 보상 팝업 중 종료 시 로비 이동</t>
  </si>
  <si>
    <t>가구 배치 보상 팝업이 열린 상태에서 엔드타임 도달 시 팝업이 닫히고 메인 로비로 이동된다</t>
  </si>
  <si>
    <t>중점사항 1: 각 서브 화면에서 엔드타임 도달 시 로비 이동 검증</t>
  </si>
  <si>
    <t>Normal</t>
  </si>
  <si>
    <t>가구 꾸미기 미션 화면 중 종료 시 로비 이동</t>
  </si>
  <si>
    <t>가구 꾸미기 미션 화면에서 엔드타임 도달 시 자동으로 메인 로비로 이동된다</t>
  </si>
  <si>
    <t>이벤트 UNLOCK</t>
  </si>
  <si>
    <t>공용 이벤트 오픈 시 함께 오픈</t>
  </si>
  <si>
    <t>공용 이벤트(CONTENTS_TYPE_EVENT) 오픈 시점에 방꾸미기 이벤트도 함께 오픈되어 접근 가능하다</t>
  </si>
  <si>
    <t>기획서: 이벤트 UNLOCK 섹션</t>
  </si>
  <si>
    <t>이벤트 진입</t>
  </si>
  <si>
    <t>로비 배너 진입</t>
  </si>
  <si>
    <t>이벤트 배너 터치 시 2주년 로비 이동</t>
  </si>
  <si>
    <t>메인 로비에서 이벤트 배너를 터치하면 2주년 이벤트 로비 화면으로 정상 이동한다</t>
  </si>
  <si>
    <t>기획서: 이벤트 진입 (1) 로비 &gt; 이벤트 배너</t>
  </si>
  <si>
    <t>공용 이벤트 탭 진입</t>
  </si>
  <si>
    <t>2주년 이벤트 탭 &gt; 이벤트 버튼</t>
  </si>
  <si>
    <t>공용 이벤트 화면에서 2주년 이벤트 탭 선택 후 이벤트 버튼을 터치하면 2주년 이벤트 로비로 정상 이동한다</t>
  </si>
  <si>
    <t>기획서: 이벤트 진입 (2) 공용 이벤트 &gt; 2주년 이벤트 탭 &gt; 이벤트 버튼</t>
  </si>
  <si>
    <t>모드리스트 진입</t>
  </si>
  <si>
    <t>2주년 이벤트 대문</t>
  </si>
  <si>
    <t>모드리스트에서 2주년 이벤트 대문을 터치하면 2주년 이벤트 로비로 정상 이동한다</t>
  </si>
  <si>
    <t>기획서: 이벤트 진입 (3) 모드리스트 &gt; 2주년 이벤트 대문</t>
  </si>
  <si>
    <t>진입 경로 동일 동작</t>
  </si>
  <si>
    <t>3가지 경로 동일 화면 이동</t>
  </si>
  <si>
    <t>로비 배너, 공용 이벤트 탭, 모드리스트 대문 중 어느 경로로 진입해도 동일한 2주년 이벤트 로비 화면으로 이동한다</t>
  </si>
  <si>
    <t>중점사항 9: 3가지 진입 경로 동일 동작 검증</t>
  </si>
  <si>
    <t>이벤트 배너 노출</t>
  </si>
  <si>
    <t>이벤트 활성 기간 동안 메인 로비에 2주년 이벤트 배너가 정상 노출된다</t>
  </si>
  <si>
    <t>기획서: 이벤트 진입 섹션</t>
  </si>
  <si>
    <t>2주년 이벤트 탭 노출</t>
  </si>
  <si>
    <t>공용 이벤트 화면에서 2주년 이벤트 탭이 정상 노출되며 선택 가능하다</t>
  </si>
  <si>
    <t>2주년 이벤트 대문 노출</t>
  </si>
  <si>
    <t>모드리스트에 2주년 이벤트 대문이 정상 노출된다</t>
  </si>
  <si>
    <t>이벤트 종료 후 진입 경로</t>
  </si>
  <si>
    <t>종료 후 배너/탭/대문 비노출</t>
  </si>
  <si>
    <t>이벤트 종료 후 로비 배너, 공용 이벤트 탭, 모드리스트 대문이 모두 노출되지 않는다</t>
  </si>
  <si>
    <t>기획서: 이벤트 ON/OFF 연계</t>
  </si>
  <si>
    <t>2주년 로비</t>
  </si>
  <si>
    <t>로비 UI 구성</t>
  </si>
  <si>
    <t>2D 일러스트 배경 표시</t>
  </si>
  <si>
    <t>2주년 로비 진입 시 2D 일러스트 배경이 정상 출력된다</t>
  </si>
  <si>
    <t>기획서: 개요 - 2주년은 2D 일러스트 배경으로 제작</t>
  </si>
  <si>
    <t>방꾸미기 이벤트 숏컷</t>
  </si>
  <si>
    <t>방꾸미기 이벤트 버튼 표시</t>
  </si>
  <si>
    <t>2주년 로비에 방꾸미기 이벤트(케이크 이벤트) 진입 버튼이 정상 표시된다</t>
  </si>
  <si>
    <t>기획서: 2주년 로비 구성 (1) 케이크 이벤트</t>
  </si>
  <si>
    <t>전체 유저 플레이 진행도 기반 가구 추가</t>
  </si>
  <si>
    <t>전체 유저들의 플레이 진행도에 따라 로비의 가구(케이크 단) 오브젝트가 추가 배치된다</t>
  </si>
  <si>
    <t>기획서: 2주년 로비 구성 (1) 전체 유저들의 플레이 진행도에 따라 케이크 단 추가</t>
  </si>
  <si>
    <t>개별 유저 미션 달성 기반 데코 추가</t>
  </si>
  <si>
    <t>개별 유저의 미션 달성에 따라 로비의 데코 오브젝트가 추가 배치된다</t>
  </si>
  <si>
    <t>기획서: 2주년 로비 구성 (1) 개별 유저 미션 달성에 따라 데코 추가</t>
  </si>
  <si>
    <t>버튼 터치 시 방꾸미기 이벤트 화면 이동</t>
  </si>
  <si>
    <t>방꾸미기 이벤트 숏컷 버튼 터치 시 방꾸미기 이벤트 화면으로 정상 이동한다</t>
  </si>
  <si>
    <t>기획서: 2주년 로비 구성 (1)</t>
  </si>
  <si>
    <t>2주년 이벤트 상점 숏컷</t>
  </si>
  <si>
    <t>이벤트 재화로 보상 교환</t>
  </si>
  <si>
    <t>2주년 이벤트 상점 숏컷 버튼 터치 시 이벤트 상점으로 이동하며, 이벤트에서 획득한 재화로 보상 교환이 가능하다</t>
  </si>
  <si>
    <t>기획서: 2주년 로비 구성 (2) 2주년 이벤트 상점</t>
  </si>
  <si>
    <t>상점 버튼 표시</t>
  </si>
  <si>
    <t>2주년 로비에 이벤트 상점 진입 버튼이 정상 표시된다</t>
  </si>
  <si>
    <t>UI 플로우: 2주년 상점 버튼</t>
  </si>
  <si>
    <t>스토리 이벤트 바로가기</t>
  </si>
  <si>
    <t>달숲 스토리 바로가기</t>
  </si>
  <si>
    <t>달숲 스토리 바로가기 버튼 터치 시 해당 스토리 화면으로 정상 이동한다</t>
  </si>
  <si>
    <t>기획서: 2주년 로비 구성 (3) 꿈의 행성에선 1.달숲 스토리 바로가기</t>
  </si>
  <si>
    <t>밀키웨이/스타더스트 스토리 바로가기</t>
  </si>
  <si>
    <t>밀키웨이/스타더스트 스토리 바로가기 버튼 터치 시 해당 스토리 화면으로 정상 이동한다</t>
  </si>
  <si>
    <t>기획서: 2주년 로비 구성 (3) 2.밀키웨이/스타더스트 스토리 바로가기</t>
  </si>
  <si>
    <t>신규 플레이블 이벤트 바로가기</t>
  </si>
  <si>
    <t>버튼 터치 시 플레이 로비 이동</t>
  </si>
  <si>
    <t>신규 플레이블 이벤트 바로가기 버튼 터치 시 해당 플레이 로비로 정상 이동한다</t>
  </si>
  <si>
    <t>기획서: 2주년 로비 구성 (4) 버튼 터치 시 플레이 로비로 이동한다</t>
  </si>
  <si>
    <t>어드벤처 바로가기</t>
  </si>
  <si>
    <t>버튼 터치 시 어드벤처 로비 이동</t>
  </si>
  <si>
    <t>어드벤처 바로가기 버튼 터치 시 꿈열차 어드벤처 로비로 정상 이동한다</t>
  </si>
  <si>
    <t>기획서: 2주년 로비 구성 (5) 버튼 터치 시 꿈열차 어드벤처 로비로 이동</t>
  </si>
  <si>
    <t>모든 숏컷 버튼 정상 배치</t>
  </si>
  <si>
    <t>2주년 로비에 방꾸미기, 이벤트 상점, 스토리, 플레이블, 어드벤처 바로가기 버튼이 모두 정상 배치되어 표시된다</t>
  </si>
  <si>
    <t>UI 플로우: 2주년 로비 전체 구성</t>
  </si>
  <si>
    <t>스토리 바로가기 버튼 모음 표시</t>
  </si>
  <si>
    <t>스토리 바로가기 버튼이 모여있는 화면이 정상 표시된다</t>
  </si>
  <si>
    <t>기획서: 2주년 로비 구성 (3) 스토리 바로가기 버튼이 모여있는 화면 추가</t>
  </si>
  <si>
    <t>2주년 이벤트 참여 유도 UI</t>
  </si>
  <si>
    <t>2주년 이벤트 참여 및 루틴 콘텐츠 참여를 유도하는 UI 요소가 정상 표시된다</t>
  </si>
  <si>
    <t>기획서: 2주년 로비 구성 (1) 2주년 이벤트 참여 및 루틴 콘텐츠 참여 유도</t>
  </si>
  <si>
    <t>버튼 표시</t>
  </si>
  <si>
    <t>2주년 로비에 신규 플레이블 이벤트 바로가기 버튼이 정상 표시된다</t>
  </si>
  <si>
    <t>기획서: 2주년 로비 구성 (4)</t>
  </si>
  <si>
    <t>2주년 로비에 어드벤처 바로가기 버튼이 정상 표시된다</t>
  </si>
  <si>
    <t>기획서: 2주년 로비 구성 (5)</t>
  </si>
  <si>
    <t>방꾸미기 이벤트 화면</t>
  </si>
  <si>
    <t>화면 진입</t>
  </si>
  <si>
    <t>방꾸미기 버튼 터치 시 이벤트 화면 이동</t>
  </si>
  <si>
    <t>2주년 로비에서 방꾸미기 이벤트 버튼 터치 시 방꾸미기 이벤트 화면으로 정상 이동한다</t>
  </si>
  <si>
    <t>UI 플로우: 방꾸미기 이벤트 화면 - 로비에 배치된 방꾸미기 이벤트 버튼 터치 시 이벤트 화면으로 이동</t>
  </si>
  <si>
    <t>방꾸미기 이벤트 화면 UI 구성</t>
  </si>
  <si>
    <t>방꾸미기 이벤트 화면 진입 시 멜랑크림 NPC, 포인트 정보, 다음 가구 정보, 포인트 획득 미션 버튼, 가구 꾸미기 미션 버튼이 정상 표시된다</t>
  </si>
  <si>
    <t>UI 플로우: 방꾸미기 이벤트 화면 전체 구성</t>
  </si>
  <si>
    <t>멜랑크림 NPC</t>
  </si>
  <si>
    <t>포트레이트 배치</t>
  </si>
  <si>
    <t>방꾸미기 이벤트 화면에 어린 멜랑크림 일러스트 포트레이트가 정상 배치되어 표시된다</t>
  </si>
  <si>
    <t>기획서: (1) 멜랑크림 NPC - 어린 멜랑크림 일러스트 포트레이트 배치</t>
  </si>
  <si>
    <t>대사 말풍선 출력</t>
  </si>
  <si>
    <t>N초 마다 랜덤 재생</t>
  </si>
  <si>
    <t>멜랑크림 NPC가 설정된 N초 간격으로 대사 말풍선을 랜덤으로 재생한다</t>
  </si>
  <si>
    <t>기획서: (1) 멜랑크림 NPC - 특정 조건에 따른 대사 말풍선 출력 (N초 마다 랜덤 재생)</t>
  </si>
  <si>
    <t>데코 미완성 시 대사</t>
  </si>
  <si>
    <t>데코가 미완성 상태일 때 멜랑크림 NPC가 '내 방... 꾸민다!', '너 봐... 꾸밀래 하는?' 등 데코 미완성 관련 대사를 출력한다</t>
  </si>
  <si>
    <t>기획서: (1) 멜랑크림 NPC - 데코 미완성 시 대사</t>
  </si>
  <si>
    <t>데코 최종 완성 시 대사/포즈 변경</t>
  </si>
  <si>
    <t>모든 데코 미션 완성 시 멜랑크림 NPC의 대사가 '완성이야~ 내 방이야~' 등으로 변경되고 포즈/표정이 변경된다</t>
  </si>
  <si>
    <t>기획서: (1) 멜랑크림 NPC - 데코 최종 완성 시 대사 및 포즈/표정 변경</t>
  </si>
  <si>
    <t>포인트 정보</t>
  </si>
  <si>
    <t>내 누적 포인트 표시</t>
  </si>
  <si>
    <t>방꾸미기 이벤트 화면 좌측 상단에 '내 포인트' 항목으로 유저 개인의 누적 포인트가 정상 표시된다</t>
  </si>
  <si>
    <t>UI 플로우: 포인트 정보 영역 (2) - 내가 모은 누적 포인트</t>
  </si>
  <si>
    <t>전체 유저 누적 포인트 표시</t>
  </si>
  <si>
    <t>방꾸미기 이벤트 화면에 '누적 포인트' 항목으로 전체 유저가 모은 누적 포인트 합산 수치가 정상 표시된다</t>
  </si>
  <si>
    <t>UI 플로우: 포인트 정보 영역 (2) - 유저 전체가 모은 누적 포인트</t>
  </si>
  <si>
    <t>내 포인트와 전체 포인트 구분 표시</t>
  </si>
  <si>
    <t>내 누적 포인트와 전체 유저 누적 포인트가 각각 별도 항목으로 명확히 구분되어 표시된다</t>
  </si>
  <si>
    <t>중점사항 2: 전체 유저 누적 포인트 ↔ 개인 포인트 구분 확인</t>
  </si>
  <si>
    <t>인포 버튼</t>
  </si>
  <si>
    <t>포인트 획득 설명 팝업</t>
  </si>
  <si>
    <t>포인트 정보 영역의 인포(i) 버튼 터치 시 포인트 획득 관련 설명이 담긴 팝업이 표시된다</t>
  </si>
  <si>
    <t>기획서: (2) 포인트 정보 - 인포 버튼 터치 시 포인트 획득 관련 설명이 표시된다</t>
  </si>
  <si>
    <t>다음 가구 정보</t>
  </si>
  <si>
    <t>필요 누적 포인트 표시</t>
  </si>
  <si>
    <t>다음 가구 배치를 위해 필요한 전체 유저 누적 포인트 수치가 '다음 가구까지 N남음' 형태로 정상 표시된다</t>
  </si>
  <si>
    <t>UI 플로우: 다음 가구 정보 영역 (3) - 다음 가구 배치되기 위해 필요한 누적 포인트</t>
  </si>
  <si>
    <t>가구 리소스 이미지 표시</t>
  </si>
  <si>
    <t>다음에 배치될 가구의 리소스 이미지가 다음 가구 정보 영역에 정상 표시된다</t>
  </si>
  <si>
    <t>기획서: (3) 다음 가구 정보 - 다음에 배치되는 가구 리소스 이미지</t>
  </si>
  <si>
    <t>모든 가구 완료 시 텍스트 표시</t>
  </si>
  <si>
    <t>모든 가구 배치가 완료된 경우 다음 가구 정보 영역에 '모든 가구 배치 완료' 텍스트가 표시된다</t>
  </si>
  <si>
    <t>기획서: (3) 다음 가구 정보 - 모든 가구 배치 완료를 경우 '모든 가구 배치 완료' 텍스트</t>
  </si>
  <si>
    <t>보상 아이콘</t>
  </si>
  <si>
    <t>도전중 상태 표시</t>
  </si>
  <si>
    <t>현재 도전중인 가구 배치 마일스톤의 보상 아이콘이 기본 상태(도전중)로 표시된다</t>
  </si>
  <si>
    <t>기획서: (3) 보상 아이콘 - 현재 도전중인 보상 아이콘 표시</t>
  </si>
  <si>
    <t>획득 가능 강조 표시</t>
  </si>
  <si>
    <t>보상 획득 가능한 상태에 도달하면 보상 아이콘이 강조 색상으로 변경되어 표시된다</t>
  </si>
  <si>
    <t>기획서: (3) 보상 아이콘 - 획득 가능한 보상이 있는 경우 강조 색상으로 표시</t>
  </si>
  <si>
    <t>획득 불가 기본 표시</t>
  </si>
  <si>
    <t>아직 조건을 달성하지 못한 보상 아이콘은 기본(비활성) 상태로 표시된다</t>
  </si>
  <si>
    <t>기획서: (3) 보상 아이콘 - 획득 불가 시 기본 아이콘 표시</t>
  </si>
  <si>
    <t>보상 아이콘 상태 전환</t>
  </si>
  <si>
    <t>보상 아이콘이 도전중(기본) → 획득 가능(강조) → 획득 완료 순서로 조건에 맞게 정확히 전환된다</t>
  </si>
  <si>
    <t>중점사항 3: 보상 아이콘 3가지 상태 전환 검증</t>
  </si>
  <si>
    <t>보상 아이콘 영역 터치 시 보상 팝업 진입</t>
  </si>
  <si>
    <t>보상 아이콘 영역을 터치하면 가구 배치 보상 팝업이 정상 표시된다</t>
  </si>
  <si>
    <t>UI 플로우: 해당 영역에서 가구 배치 보상 팝업을 열 수 있다</t>
  </si>
  <si>
    <t>이벤트 종료 타이머</t>
  </si>
  <si>
    <t>이벤트 종료까지 남은 시간 표시</t>
  </si>
  <si>
    <t>방꾸미기 이벤트 화면 상단에 '이벤트 종료까지 N일 N시간' 형태로 남은 시간이 정상 표시된다</t>
  </si>
  <si>
    <t>UI 플로우: 이벤트 종료까지 N일 N시간</t>
  </si>
  <si>
    <t>타이머 실시간 갱신</t>
  </si>
  <si>
    <t>이벤트 종료 타이머가 실시간으로 갱신되어 남은 시간이 감소하며 표시된다</t>
  </si>
  <si>
    <t>UI 플로우: 이벤트 종료 타이머</t>
  </si>
  <si>
    <t>뒤로가기</t>
  </si>
  <si>
    <t>뒤로가기 버튼</t>
  </si>
  <si>
    <t>방꾸미기 이벤트 화면에서 뒤로가기(←) 버튼 터치 시 2주년 로비로 정상 복귀한다</t>
  </si>
  <si>
    <t>UI 플로우: 방꾸미기 이벤트 화면 좌상단 뒤로가기 버튼</t>
  </si>
  <si>
    <t>디바이스 뒤로가기</t>
  </si>
  <si>
    <t>방꾸미기 이벤트 화면에서 디바이스(Android) 뒤로가기 버튼 사용 시 2주년 로비로 정상 복귀한다</t>
  </si>
  <si>
    <t>TC 규칙: 뒤로가기 플로우 - 디바이스 뒤로가기</t>
  </si>
  <si>
    <t>가구 오브젝트</t>
  </si>
  <si>
    <t>배치된 가구 표시</t>
  </si>
  <si>
    <t>전체 유저 누적 포인트 달성으로 배치된 가구 오브젝트가 방꾸미기 이벤트 화면에 정상 표시된다</t>
  </si>
  <si>
    <t>중점사항 10: 가구 오브젝트 배치 정상 적용 확인</t>
  </si>
  <si>
    <t>데코 오브젝트 표시</t>
  </si>
  <si>
    <t>개별 유저 미션 달성으로 추가된 데코 오브젝트가 방꾸미기 이벤트 화면에 정상 표시된다</t>
  </si>
  <si>
    <t>중점사항 10: 방꾸미기 이벤트 고유 연출 확인</t>
  </si>
  <si>
    <t>가구 배치 보상 팝업</t>
  </si>
  <si>
    <t>팝업 진입</t>
  </si>
  <si>
    <t>보상 아이콘 영역 터치 시 팝업 표시</t>
  </si>
  <si>
    <t>방꾸미기 이벤트 화면의 보상 아이콘 영역을 터치하면 가구 배치 보상 팝업이 정상 표시된다</t>
  </si>
  <si>
    <t>UI 플로우: 가구 배치 보상 팝업 (4)</t>
  </si>
  <si>
    <t>마일스톤 표시</t>
  </si>
  <si>
    <t>가구 배치 수 기준 보상 단계 표시</t>
  </si>
  <si>
    <t>가구 배치 보상 팝업에 가구 배치 수(1, 2, 3, 4...)에 따른 보상 마일스톤 단계가 순서대로 표시된다</t>
  </si>
  <si>
    <t>UI 플로우: 가구 배치 보상 팝업 - 가구 배치 수에 따라 획득할 수 있는 보상 마일스톤</t>
  </si>
  <si>
    <t>현재 누적 포인트 표시</t>
  </si>
  <si>
    <t>가구 배치 보상 팝업 상단에 '현재 누적 포인트' 수치가 정상 표시된다</t>
  </si>
  <si>
    <t>UI 플로우: 가구 배치 보상 팝업 - 현재 누적 포인트</t>
  </si>
  <si>
    <t>보상 정보</t>
  </si>
  <si>
    <t>보상 아이콘/수량 표시</t>
  </si>
  <si>
    <t>각 마일스톤 단계별로 보상 아이콘과 수량이 정상 표시된다</t>
  </si>
  <si>
    <t>기획서: (4) 보상 정보 - 보상 아이콘 / 획득 수량</t>
  </si>
  <si>
    <t>획득 가능 보상 강조 표시</t>
  </si>
  <si>
    <t>현재 획득 가능한 보상이 강조 색상으로 표시되어 획득 불가 보상과 시각적으로 구분된다</t>
  </si>
  <si>
    <t>기획서: (4) 획득 가능한 보상의 경우 강조 색상 표시</t>
  </si>
  <si>
    <t>보상 터치 시 일괄 획득</t>
  </si>
  <si>
    <t>획득 가능한 보상이 강조 표시된 상태에서 터치 시 획득 가능한 모든 보상이 일괄 지급된다</t>
  </si>
  <si>
    <t>기획서: (4) 획득 가능 보상 강조 표시 &gt; 터치 시 획득 가능한 모든 보상을 획득한다</t>
  </si>
  <si>
    <t>다수 보상 동시 획득 가능 시 일괄 지급</t>
  </si>
  <si>
    <t>복수의 마일스톤 보상이 동시에 획득 가능한 상태일 때, 터치 1회로 모든 획득 가능 보상이 누락 없이 지급된다</t>
  </si>
  <si>
    <t>중점사항 4: 다수 보상 동시 획득 시 누락 없이 일괄 지급 확인</t>
  </si>
  <si>
    <t>각 마일스톤 단계별로 해당 가구 배치에 필요한 누적 포인트(100,000 / 150,000 / 200,000 / 250,000)가 정상 표시된다</t>
  </si>
  <si>
    <t>UI 플로우: 가구 배치 보상 팝업 - 해당 가구 배치수를 달성하기 위해 필요한 누적 포인트</t>
  </si>
  <si>
    <t>보상 획득 후 상태 변경</t>
  </si>
  <si>
    <t>보상 획득 완료 후 해당 마일스톤의 보상 아이콘이 획득 완료 상태로 변경된다</t>
  </si>
  <si>
    <t>중점사항 3: 보상 아이콘 상태 전환 - 획득 완료</t>
  </si>
  <si>
    <t>전체 유저 포인트 기반 안내 문구</t>
  </si>
  <si>
    <t>팝업 하단에 '전체 유저들의 꾸미기 포인트 누적 수치에 따라 멜랑크림의 방에 가구가 배치됩니다' 등의 안내 문구가 표시된다</t>
  </si>
  <si>
    <t>UI 플로우: 가구 배치 보상 팝업 하단 안내 문구</t>
  </si>
  <si>
    <t>팝업 닫기</t>
  </si>
  <si>
    <t>X 버튼 터치 시 닫기</t>
  </si>
  <si>
    <t>가구 배치 보상 팝업의 X 버튼 터치 시 팝업이 닫히고 방꾸미기 이벤트 화면으로 복귀한다</t>
  </si>
  <si>
    <t>UI 플로우: 가구 배치 보상 팝업 X 버튼</t>
  </si>
  <si>
    <t>디바이스 뒤로가기로 닫기</t>
  </si>
  <si>
    <t>가구 배치 보상 팝업이 열린 상태에서 디바이스 뒤로가기 사용 시 팝업이 닫힌다</t>
  </si>
  <si>
    <t>TC 규칙: 뒤로가기 플로우</t>
  </si>
  <si>
    <t>획득 불가 보상 터치 시 반응 없음</t>
  </si>
  <si>
    <t>아직 조건을 달성하지 못한 비활성 보상을 터치해도 획득되지 않으며 별도 반응이 없다</t>
  </si>
  <si>
    <t>기획서: (4) 보상 정보 - 획득 불가 상태</t>
  </si>
  <si>
    <t>보상 획득 시 수량 반영</t>
  </si>
  <si>
    <t>보상 일괄 획득 후 유저의 재화/아이템 수량에 보상이 정확히 반영된다</t>
  </si>
  <si>
    <t>기획서: (4) 보상 획득 기능</t>
  </si>
  <si>
    <t>포인트 획득 미션</t>
  </si>
  <si>
    <t>미션 목록</t>
  </si>
  <si>
    <t>일일 미션 표시</t>
  </si>
  <si>
    <t>포인트 획득 미션 화면에서 일일 미션 목록이 정상 표시되며, 각 미션의 내용과 보상이 확인 가능하다</t>
  </si>
  <si>
    <t>기획서: (5) 포인트 획득 미션 - 일일 미션(매일 갱신)</t>
  </si>
  <si>
    <t>미션 보상 획득</t>
  </si>
  <si>
    <t>미션 완료 시 보상 획득</t>
  </si>
  <si>
    <t>미션 조건 달성 후 보상 획득 버튼 터치 시 누적 포인트가 정상 지급되어 내 누적 포인트에 반영된다</t>
  </si>
  <si>
    <t>기획서: (5) 누적 포인트 기반 보상 획득</t>
  </si>
  <si>
    <t>미션 진행도 표시</t>
  </si>
  <si>
    <t>각 미션별 현재 진행 상황(예: 3/5)이 정상 표시된다</t>
  </si>
  <si>
    <t>기획서: (5) 미션 목록 및 진행도 표시</t>
  </si>
  <si>
    <t>미션 갱신</t>
  </si>
  <si>
    <t>매일 갱신</t>
  </si>
  <si>
    <t>서버 기준 갱신 시점에 일일 미션이 초기화되어 새로운 미션 목록으로 갱신된다</t>
  </si>
  <si>
    <t>기획서: (5) 일일 미션(매일 갱신)</t>
  </si>
  <si>
    <t>갱신 시점 미완료 미션 처리</t>
  </si>
  <si>
    <t>일일 미션 갱신 시점에 미완료 상태의 미션은 초기화되고 새 미션으로 교체된다</t>
  </si>
  <si>
    <t>중점사항 6: 일일 미션 갱신 시 기존 미완료 미션 초기화 여부</t>
  </si>
  <si>
    <t>미션 화면 보는 중 갱신 시점 도달</t>
  </si>
  <si>
    <t>미션 화면을 보고 있는 상태에서 갱신 시점이 도달하면 미션 목록이 새로운 목록으로 갱신된다</t>
  </si>
  <si>
    <t>중점사항 6: 갱신 시점에 미션 화면을 보고 있는 경우 처리</t>
  </si>
  <si>
    <t>미션 완료 후 상태 변경</t>
  </si>
  <si>
    <t>미션 보상 획득 완료 후 해당 미션이 완료 상태로 변경되어 표시된다</t>
  </si>
  <si>
    <t>기획서: (5) 미션 상태 변경</t>
  </si>
  <si>
    <t>미션 화면 진입</t>
  </si>
  <si>
    <t>방꾸미기 이벤트 화면에서 '포인트 획득 미션' 버튼 터치 시 포인트 획득 미션 화면이 정상 표시된다</t>
  </si>
  <si>
    <t>UI 플로우: 포인트 획득 미션 버튼</t>
  </si>
  <si>
    <t>포인트 획득 시 전체 누적 포인트 반영</t>
  </si>
  <si>
    <t>미션 보상으로 포인트 획득 시 개인 누적 포인트뿐 아니라 전체 유저 누적 포인트에도 합산 반영된다</t>
  </si>
  <si>
    <t>중점사항 2: 전체 유저 누적 포인트 연동 확인</t>
  </si>
  <si>
    <t>포인트 획득 미션 화면에서 뒤로가기 시 방꾸미기 이벤트 화면으로 정상 복귀한다</t>
  </si>
  <si>
    <t>미소스 컨텐츠 미션 포함</t>
  </si>
  <si>
    <t>일일 미션 목록에 미소스 컨텐츠 관련 미션이 포함되어 표시된다</t>
  </si>
  <si>
    <t>기획서: (5) 미소스 컨텐츠 연계 미션</t>
  </si>
  <si>
    <t>미획득 보상 알림</t>
  </si>
  <si>
    <t>획득 가능한 미션 보상이 있는 경우 포인트 획득 미션 버튼에 알림(레드닷 등)이 표시된다</t>
  </si>
  <si>
    <t>TC 규칙: 알림 시스템 - 레드닷 출력 조건</t>
  </si>
  <si>
    <t>가구 꾸미기 미션</t>
  </si>
  <si>
    <t>가구 꾸미기 미션 버튼 터치</t>
  </si>
  <si>
    <t>방꾸미기 이벤트 화면에서 '가구 꾸미기 미션' 버튼 터치 시 가구 꾸미기 미션 화면이 정상 표시된다</t>
  </si>
  <si>
    <t>UI 플로우: 가구 꾸미기 미션 버튼</t>
  </si>
  <si>
    <t>가구 선택</t>
  </si>
  <si>
    <t>선택된 가구 이미지/이름 표시</t>
  </si>
  <si>
    <t>가구 꾸미기 미션 화면에서 현재 선택된 가구의 이미지와 이름이 정상 표시된다</t>
  </si>
  <si>
    <t>UI 플로우: 가구 꾸미기 미션 - 선택된 가구 이미지/이름</t>
  </si>
  <si>
    <t>다른 가구 보기 버튼</t>
  </si>
  <si>
    <t>'다른 가구 보기' 버튼 터치 시 다른 가구 목록을 확인할 수 있다</t>
  </si>
  <si>
    <t>UI 플로우: 가구 꾸미기 미션 - 다른 가구 보기 버튼</t>
  </si>
  <si>
    <t>가구 레벨 진행</t>
  </si>
  <si>
    <t>누적 포인트 게이지 표시</t>
  </si>
  <si>
    <t>가구 꾸미기 미션 화면에 현재 가구의 레벨별 누적 포인트 진행 게이지가 정상 표시된다</t>
  </si>
  <si>
    <t>기획서: 가구 꾸미기 미션 - 레벨별 누적 포인트 게이지</t>
  </si>
  <si>
    <t>가구 꾸미기 가능 여부 확인</t>
  </si>
  <si>
    <t>누적 포인트가 가구 꾸미기에 필요한 포인트에 도달하면 가구 꾸미기 버튼이 활성화된다</t>
  </si>
  <si>
    <t>기획서: 가구 꾸미기 미션 - 가구 꾸미기 가능 여부 확인</t>
  </si>
  <si>
    <t>가구 배치 실행</t>
  </si>
  <si>
    <t>배치 시 방에 가구 반영</t>
  </si>
  <si>
    <t>가구 꾸미기 실행 시 방꾸미기 이벤트 화면의 방에 해당 가구(데코)가 즉시 반영되어 표시된다</t>
  </si>
  <si>
    <t>중점사항 7: 가구 배치 실행 후 방에 가구 실제 반영 확인</t>
  </si>
  <si>
    <t>가구 꾸미기 버튼이 활성화된 상태에서 터치하면 가구 배치가 정상 실행된다</t>
  </si>
  <si>
    <t>기획서: 가구 꾸미기 미션 - 가구 배치 실행</t>
  </si>
  <si>
    <t>가구 배치 실행 시 연출</t>
  </si>
  <si>
    <t>가구 배치 실행 시 배치 애니메이션 연출이 정상 재생된다</t>
  </si>
  <si>
    <t>중점사항 7: 가구 배치 실행 후 연출(애니메이션) 확인</t>
  </si>
  <si>
    <t>가구 배치 실행 시 효과음</t>
  </si>
  <si>
    <t>가구 배치 실행 시 배치 효과음이 정상 재생된다</t>
  </si>
  <si>
    <t>중점사항 7: 가구 배치 연출(효과음) 확인</t>
  </si>
  <si>
    <t>포인트 미달 시 버튼 비활성</t>
  </si>
  <si>
    <t>누적 포인트가 가구 꾸미기에 필요한 포인트에 미달하면 가구 꾸미기 버튼이 비활성 상태로 표시된다</t>
  </si>
  <si>
    <t>기획서: 가구 꾸미기 미션 - 가구 꾸미기 가능 여부</t>
  </si>
  <si>
    <t>가구별 미션 진행 상태 표시</t>
  </si>
  <si>
    <t>각 가구별로 현재 미션 진행 상태(미시작/진행중/완료)가 구분되어 표시된다</t>
  </si>
  <si>
    <t>기획서: 가구 꾸미기 미션 - 가구별 진행 상태</t>
  </si>
  <si>
    <t>가구 미션 설명 표시</t>
  </si>
  <si>
    <t>선택된 가구의 꾸미기 미션에 대한 설명이 정상 표시된다 (예: '소파로 꾸밀 수 있는 N 알갱이요!')</t>
  </si>
  <si>
    <t>UI 플로우: 가구 꾸미기 미션 화면 설명 텍스트</t>
  </si>
  <si>
    <t>이벤트 화면으로 복귀</t>
  </si>
  <si>
    <t>가구 꾸미기 미션 화면에서 뒤로가기 시 방꾸미기 이벤트 화면으로 정상 복귀한다</t>
  </si>
  <si>
    <t>디바이스 뒤로가기로 복귀</t>
  </si>
  <si>
    <t>가구 꾸미기 미션 화면에서 디바이스 뒤로가기 사용 시 방꾸미기 이벤트 화면으로 정상 복귀한다</t>
  </si>
  <si>
    <t>가구 배치 후 게이지 갱신</t>
  </si>
  <si>
    <t>가구 배치 실행 후 누적 포인트 게이지가 갱신되어 다음 레벨 진행 상황이 반영된다</t>
  </si>
  <si>
    <t>기획서: 가구 꾸미기 미션 - 레벨별 게이지</t>
  </si>
  <si>
    <t>가구 꾸미기 알림</t>
  </si>
  <si>
    <t>꾸미기 가능 시 알림 표시</t>
  </si>
  <si>
    <t>가구 꾸미기가 가능한 상태가 되면 가구 꾸미기 미션 버튼에 알림(레드닷 등)이 표시된다</t>
  </si>
  <si>
    <t>모든 가구 배치 완료</t>
  </si>
  <si>
    <t>완성 연출</t>
  </si>
  <si>
    <t>완성 애니메이션 재생</t>
  </si>
  <si>
    <t>모든 가구 배치가 완료되는 시점에 완성 축하 애니메이션 연출이 정상 재생된다</t>
  </si>
  <si>
    <t>기획서: 모든 가구 배치 완료 - 완성 연출</t>
  </si>
  <si>
    <t>효과음 재생</t>
  </si>
  <si>
    <t>모든 가구 배치 완료 시 완성 축하 효과음이 정상 재생된다</t>
  </si>
  <si>
    <t>TC 규칙: 효과음 확인</t>
  </si>
  <si>
    <t>NPC 대사 변경</t>
  </si>
  <si>
    <t>'참 잘 완성이야~' 대사 출력</t>
  </si>
  <si>
    <t>모든 가구 배치 완료 시 멜랑크림 NPC의 대사가 '참 잘 완성이야~' 등 완성 관련 대사로 변경되어 출력된다</t>
  </si>
  <si>
    <t>UI 플로우: 모든 가구 배치 완료 시 NPC 대사</t>
  </si>
  <si>
    <t>UI 변경</t>
  </si>
  <si>
    <t>'모든 가구 배치 완료' 텍스트 표시</t>
  </si>
  <si>
    <t>모든 가구 배치 완료 후 다음 가구 정보 영역에 '모든 가구 배치 완료' 텍스트가 정상 표시된다</t>
  </si>
  <si>
    <t>UI 플로우: 모든 가구 배치 완료 텍스트</t>
  </si>
  <si>
    <t>스토리 바로가기</t>
  </si>
  <si>
    <t>버튼 터치 시 2주년 스토리 로비 이동</t>
  </si>
  <si>
    <t>모든 가구 배치 완료 후 노출되는 스토리 바로가기 버튼 터치 시 2주년 스토리 로비로 정상 이동한다</t>
  </si>
  <si>
    <t>UI 플로우: 모든 가구 배치 완료 - 스토리 바로가기 버튼</t>
  </si>
  <si>
    <t>버튼 노출</t>
  </si>
  <si>
    <t>모든 가구 배치 완료 후 스토리 바로가기 버튼이 방꾸미기 이벤트 화면에 정상 노출된다</t>
  </si>
  <si>
    <t>기획서: 모든 가구 배치 완료 - 스토리 바로가기 버튼 노출</t>
  </si>
  <si>
    <t>재진입 시 연출 미재생</t>
  </si>
  <si>
    <t>모든 가구 배치 완료 연출은 최초 1회만 재생되며, 이후 재진입 시 완성 연출이 다시 재생되지 않는다</t>
  </si>
  <si>
    <t>중점사항 8: 완성 연출 최초 1회 재생 확인</t>
  </si>
  <si>
    <t>재진입 시 완성 상태 유지</t>
  </si>
  <si>
    <t>모든 가구 배치 완료 후 재진입 시 완성 상태의 방과 '모든 가구 배치 완료' 텍스트, 스토리 바로가기 버튼이 유지된다</t>
  </si>
  <si>
    <t>중점사항 8: 재진입 시 완성 상태 유지 확인</t>
  </si>
  <si>
    <t>완성 후 포즈/표정 유지</t>
  </si>
  <si>
    <t>모든 가구 배치 완료 후 재진입 시 멜랑크림 NPC의 변경된 포즈/표정이 유지된다</t>
  </si>
  <si>
    <t>중점사항 5: 데코 최종 완성 시 포즈/표정 변경 유지</t>
  </si>
  <si>
    <t>완성 후 대사 랜덤 ��생</t>
  </si>
  <si>
    <t>모든 가구 배치 완료 후 멜랑크림 NPC가 완성 관련 대사를 N초 마다 랜덤으로 재생한다</t>
  </si>
  <si>
    <t>기획서: (1) 멜랑크림 NPC - 완성 시 대사 변경 후 랜덤 재생</t>
  </si>
  <si>
    <t>전체 유저 포인트 연동</t>
  </si>
  <si>
    <t>전체 유저 합산 포인트 반영</t>
  </si>
  <si>
    <t>합산 수치에 따라 가구 배치 변동</t>
  </si>
  <si>
    <t>전체 유저의 합산 누적 포인트가 특정 수치에 도달하면 방꾸미기 이벤트 화면에 해당 단계의 가구가 자동 배치된다</t>
  </si>
  <si>
    <t>기획서: 전체 유저 누적 포인트 연동 - 합산 포인트에 따라 가구 배치</t>
  </si>
  <si>
    <t>보상 연동</t>
  </si>
  <si>
    <t>합산 포인트 기반 보상 획득 가능 수량 변동</t>
  </si>
  <si>
    <t>전체 유저 합산 포인트에 따라 가구 배치 수가 증가하며, 이에 연동되어 획득 가능한 마일스톤 보상 수량이 변동된다</t>
  </si>
  <si>
    <t>기획서: 전체 유저 누적 포인트 연동 - 보상 변동</t>
  </si>
  <si>
    <t>전체 유저 포인트 실시간 반영</t>
  </si>
  <si>
    <t>다른 유저들의 포인트 획득으로 전체 유저 합산 포인트가 증가하면 방꾸미기 이벤트 화면의 전체 누적 포인트 수치가 갱신 반영된다</t>
  </si>
  <si>
    <t>기획서: (2) 포인트 정보 - 유저 전체가 모은 누적 포인트</t>
  </si>
  <si>
    <t>가구 배치 시 방 UI 갱신</t>
  </si>
  <si>
    <t>전체 유저 합산 포인트로 새 가구가 배치될 때 방꾸미기 이벤트 화면의 방 UI에 해당 가구가 추가 표시된다</t>
  </si>
  <si>
    <t>중점사항 10: 가구 오브젝트 배치 정상 적용</t>
  </si>
  <si>
    <t>다음 가구 정보 갱신</t>
  </si>
  <si>
    <t>전체 유저 합산 포인트 기반 가구 배치 후 다음 가구 정보(필요 포인트, 리소스 이미지)가 다음 단계로 갱신된다</t>
  </si>
  <si>
    <t>기획서: (3) 다음 가구 정보 연동</t>
  </si>
  <si>
    <t>가구 배치 연출</t>
  </si>
  <si>
    <t>전체 유저 합산 포인트로 새 가구 배치 시 배치 애니메이션/효과음 연출이 정상 재생된다</t>
  </si>
  <si>
    <t>TC 규칙: 애니메이션, 연출 확인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</si>
</sst>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sz val="12"/>
    </font>
    <font>
      <b/>
      <color rgb="FFFFFFFF"/>
      <sz val="11"/>
    </font>
    <font>
      <b/>
      <color rgb="FF92D050"/>
    </font>
    <font>
      <b/>
      <color rgb="FFFFC000"/>
    </font>
    <font>
      <b/>
      <color rgb="FFFF0000"/>
    </font>
    <font>
      <b/>
      <color rgb="FF7030A0"/>
    </font>
    <font>
      <b/>
      <color rgb="FFFFFFFF"/>
      <sz val="10"/>
    </font>
    <font>
      <color rgb="FF666666"/>
      <sz val="9"/>
    </font>
    <font>
      <b/>
      <color rgb="FF00B050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9" fontId="0" fillId="0" borderId="0" xfId="0" applyNumberFormat="1"/>
    <xf numFmtId="0" fontId="7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0" fillId="0" borderId="2" xfId="0" applyBorder="1" applyAlignment="1">
      <alignment horizontal="left" vertical="center"/>
    </xf>
    <xf numFmtId="0" fontId="0" fillId="0" borderId="2" xfId="0" applyBorder="1"/>
    <xf numFmtId="0" fontId="0" fillId="0" borderId="2" xfId="0" applyBorder="1" applyAlignment="1">
      <alignment wrapText="1"/>
    </xf>
    <xf numFmtId="0" fontId="8" fillId="0" borderId="2" xfId="0" applyFont="1" applyBorder="1" applyAlignment="1">
      <alignment wrapText="1"/>
    </xf>
    <xf numFmtId="0" fontId="4" fillId="0" borderId="2" xfId="0" applyFont="1" applyBorder="1" applyAlignment="1">
      <alignment horizontal="center"/>
    </xf>
    <xf numFmtId="0" fontId="9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123"/>
  <sheetViews>
    <sheetView workbookViewId="0">
      <pane ySplit="9" topLeftCell="A10" activePane="bottomLeft" state="frozen"/>
      <selection pane="bottomLeft"/>
    </sheetView>
  </sheetViews>
  <sheetFormatPr defaultRowHeight="15" outlineLevelRow="0" outlineLevelCol="0" x14ac:dyDescent="55"/>
  <cols>
    <col min="1" max="1" width="3" customWidth="1"/>
    <col min="2" max="2" width="6" customWidth="1"/>
    <col min="3" max="3" width="10" customWidth="1"/>
    <col min="4" max="7" width="18" customWidth="1"/>
    <col min="8" max="8" width="55" customWidth="1"/>
    <col min="9" max="10" width="10" customWidth="1"/>
    <col min="11" max="11" width="20" customWidth="1"/>
    <col min="12" max="13" width="5" customWidth="1"/>
    <col min="14" max="14" width="25" customWidth="1"/>
  </cols>
  <sheetData>
    <row r="2" spans="8:13" x14ac:dyDescent="0.25">
      <c r="H2" s="1" t="s">
        <v>0</v>
      </c>
      <c r="I2" s="2" t="s">
        <v>1</v>
      </c>
      <c r="M2" s="2" t="s">
        <v>2</v>
      </c>
    </row>
    <row r="3" spans="9:14" x14ac:dyDescent="0.25">
      <c r="I3" s="3" t="s">
        <v>3</v>
      </c>
      <c r="J3">
        <f>COUNTIF(I10:I123,"Pass")</f>
      </c>
      <c r="K3" t="s">
        <v>4</v>
      </c>
      <c r="L3">
        <f>COUNTIF(I10:I123,"")</f>
      </c>
      <c r="M3" s="3" t="s">
        <v>3</v>
      </c>
      <c r="N3">
        <f>COUNTIF(J10:J123,"Pass")</f>
      </c>
    </row>
    <row r="4" spans="9:14" x14ac:dyDescent="0.25">
      <c r="I4" s="4" t="s">
        <v>5</v>
      </c>
      <c r="J4">
        <f>COUNTIF(I10:I123,"N/T")</f>
      </c>
      <c r="K4" t="s">
        <v>6</v>
      </c>
      <c r="L4">
        <f>COUNTA(I10:I123)-COUNTIF(I10:I123,"")</f>
      </c>
      <c r="M4" s="4" t="s">
        <v>5</v>
      </c>
      <c r="N4">
        <f>COUNTIF(J10:J123,"N/T")</f>
      </c>
    </row>
    <row r="5" spans="9:14" x14ac:dyDescent="0.25">
      <c r="I5" s="5" t="s">
        <v>7</v>
      </c>
      <c r="J5">
        <f>COUNTIF(I10:I123,"Fail")</f>
      </c>
      <c r="K5" t="s">
        <v>8</v>
      </c>
      <c r="L5">
        <v>114</v>
      </c>
      <c r="M5" s="5" t="s">
        <v>7</v>
      </c>
      <c r="N5">
        <f>COUNTIF(J10:J123,"Fail")</f>
      </c>
    </row>
    <row r="6" spans="9:14" x14ac:dyDescent="0.25">
      <c r="I6" s="6" t="s">
        <v>9</v>
      </c>
      <c r="J6">
        <f>COUNTIF(I10:I123,"Block")</f>
      </c>
      <c r="K6" t="s">
        <v>10</v>
      </c>
      <c r="L6" s="7">
        <f>IF(L5=0,0,L4/L5)</f>
      </c>
      <c r="M6" s="6" t="s">
        <v>9</v>
      </c>
      <c r="N6">
        <f>COUNTIF(J10:J123,"Block")</f>
      </c>
    </row>
    <row r="9" spans="1:14" x14ac:dyDescent="0.25">
      <c r="A9" t="s">
        <v>11</v>
      </c>
      <c r="B9" s="8" t="s">
        <v>12</v>
      </c>
      <c r="C9" s="8" t="s">
        <v>13</v>
      </c>
      <c r="D9" s="8" t="s">
        <v>14</v>
      </c>
      <c r="E9" s="8" t="s">
        <v>15</v>
      </c>
      <c r="F9" s="8" t="s">
        <v>16</v>
      </c>
      <c r="G9" s="8" t="s">
        <v>17</v>
      </c>
      <c r="H9" s="8" t="s">
        <v>18</v>
      </c>
      <c r="I9" s="8" t="s">
        <v>19</v>
      </c>
      <c r="J9" s="8" t="s">
        <v>2</v>
      </c>
      <c r="K9" s="8" t="s">
        <v>20</v>
      </c>
      <c r="L9" t="s">
        <v>11</v>
      </c>
      <c r="M9" t="s">
        <v>11</v>
      </c>
      <c r="N9" s="8" t="s">
        <v>21</v>
      </c>
    </row>
    <row r="10" spans="2:14" x14ac:dyDescent="0.25">
      <c r="B10" s="9">
        <v>1</v>
      </c>
      <c r="C10" s="10" t="s">
        <v>22</v>
      </c>
      <c r="D10" s="11" t="s">
        <v>23</v>
      </c>
      <c r="E10" s="11" t="s">
        <v>24</v>
      </c>
      <c r="F10" s="12" t="s">
        <v>25</v>
      </c>
      <c r="G10" s="12" t="s">
        <v>11</v>
      </c>
      <c r="H10" s="13" t="s">
        <v>26</v>
      </c>
      <c r="I10" s="12"/>
      <c r="J10" s="12"/>
      <c r="K10" s="12"/>
      <c r="L10" s="12"/>
      <c r="M10" s="12"/>
      <c r="N10" s="14" t="s">
        <v>27</v>
      </c>
    </row>
    <row r="11" spans="2:14" x14ac:dyDescent="0.25">
      <c r="B11" s="9">
        <v>2</v>
      </c>
      <c r="C11" s="10" t="s">
        <v>22</v>
      </c>
      <c r="D11" s="11"/>
      <c r="E11" s="11"/>
      <c r="F11" s="12" t="s">
        <v>28</v>
      </c>
      <c r="G11" s="12" t="s">
        <v>11</v>
      </c>
      <c r="H11" s="13" t="s">
        <v>29</v>
      </c>
      <c r="I11" s="12"/>
      <c r="J11" s="12"/>
      <c r="K11" s="12"/>
      <c r="L11" s="12"/>
      <c r="M11" s="12"/>
      <c r="N11" s="14" t="s">
        <v>27</v>
      </c>
    </row>
    <row r="12" spans="2:14" x14ac:dyDescent="0.25">
      <c r="B12" s="9">
        <v>3</v>
      </c>
      <c r="C12" s="15" t="s">
        <v>30</v>
      </c>
      <c r="D12" s="11"/>
      <c r="E12" s="11"/>
      <c r="F12" s="12" t="s">
        <v>31</v>
      </c>
      <c r="G12" s="12" t="s">
        <v>11</v>
      </c>
      <c r="H12" s="13" t="s">
        <v>32</v>
      </c>
      <c r="I12" s="12"/>
      <c r="J12" s="12"/>
      <c r="K12" s="12"/>
      <c r="L12" s="12"/>
      <c r="M12" s="12"/>
      <c r="N12" s="14" t="s">
        <v>27</v>
      </c>
    </row>
    <row r="13" spans="2:14" x14ac:dyDescent="0.25">
      <c r="B13" s="9">
        <v>4</v>
      </c>
      <c r="C13" s="10" t="s">
        <v>22</v>
      </c>
      <c r="D13" s="11"/>
      <c r="E13" s="11" t="s">
        <v>33</v>
      </c>
      <c r="F13" s="12" t="s">
        <v>34</v>
      </c>
      <c r="G13" s="12" t="s">
        <v>11</v>
      </c>
      <c r="H13" s="13" t="s">
        <v>35</v>
      </c>
      <c r="I13" s="12"/>
      <c r="J13" s="12"/>
      <c r="K13" s="12"/>
      <c r="L13" s="12"/>
      <c r="M13" s="12"/>
      <c r="N13" s="14" t="s">
        <v>27</v>
      </c>
    </row>
    <row r="14" spans="2:14" x14ac:dyDescent="0.25">
      <c r="B14" s="9">
        <v>5</v>
      </c>
      <c r="C14" s="15" t="s">
        <v>30</v>
      </c>
      <c r="D14" s="11"/>
      <c r="E14" s="11"/>
      <c r="F14" s="12" t="s">
        <v>36</v>
      </c>
      <c r="G14" s="12" t="s">
        <v>11</v>
      </c>
      <c r="H14" s="13" t="s">
        <v>37</v>
      </c>
      <c r="I14" s="12"/>
      <c r="J14" s="12"/>
      <c r="K14" s="12"/>
      <c r="L14" s="12"/>
      <c r="M14" s="12"/>
      <c r="N14" s="14" t="s">
        <v>38</v>
      </c>
    </row>
    <row r="15" spans="2:14" x14ac:dyDescent="0.25">
      <c r="B15" s="9">
        <v>6</v>
      </c>
      <c r="C15" s="15" t="s">
        <v>30</v>
      </c>
      <c r="D15" s="11"/>
      <c r="E15" s="11"/>
      <c r="F15" s="12" t="s">
        <v>39</v>
      </c>
      <c r="G15" s="12" t="s">
        <v>11</v>
      </c>
      <c r="H15" s="13" t="s">
        <v>40</v>
      </c>
      <c r="I15" s="12"/>
      <c r="J15" s="12"/>
      <c r="K15" s="12"/>
      <c r="L15" s="12"/>
      <c r="M15" s="12"/>
      <c r="N15" s="14" t="s">
        <v>41</v>
      </c>
    </row>
    <row r="16" spans="2:14" x14ac:dyDescent="0.25">
      <c r="B16" s="9">
        <v>7</v>
      </c>
      <c r="C16" s="16" t="s">
        <v>42</v>
      </c>
      <c r="D16" s="11"/>
      <c r="E16" s="11"/>
      <c r="F16" s="12" t="s">
        <v>43</v>
      </c>
      <c r="G16" s="12" t="s">
        <v>11</v>
      </c>
      <c r="H16" s="13" t="s">
        <v>44</v>
      </c>
      <c r="I16" s="12"/>
      <c r="J16" s="12"/>
      <c r="K16" s="12"/>
      <c r="L16" s="12"/>
      <c r="M16" s="12"/>
      <c r="N16" s="14" t="s">
        <v>41</v>
      </c>
    </row>
    <row r="17" spans="2:14" x14ac:dyDescent="0.25">
      <c r="B17" s="9">
        <v>8</v>
      </c>
      <c r="C17" s="16" t="s">
        <v>42</v>
      </c>
      <c r="D17" s="11"/>
      <c r="E17" s="12" t="s">
        <v>45</v>
      </c>
      <c r="F17" s="12" t="s">
        <v>46</v>
      </c>
      <c r="G17" s="12" t="s">
        <v>11</v>
      </c>
      <c r="H17" s="13" t="s">
        <v>47</v>
      </c>
      <c r="I17" s="12"/>
      <c r="J17" s="12"/>
      <c r="K17" s="12"/>
      <c r="L17" s="12"/>
      <c r="M17" s="12"/>
      <c r="N17" s="14" t="s">
        <v>48</v>
      </c>
    </row>
    <row r="18" spans="2:14" x14ac:dyDescent="0.25">
      <c r="B18" s="9">
        <v>9</v>
      </c>
      <c r="C18" s="10" t="s">
        <v>22</v>
      </c>
      <c r="D18" s="11" t="s">
        <v>49</v>
      </c>
      <c r="E18" s="12" t="s">
        <v>50</v>
      </c>
      <c r="F18" s="12" t="s">
        <v>51</v>
      </c>
      <c r="G18" s="12" t="s">
        <v>11</v>
      </c>
      <c r="H18" s="13" t="s">
        <v>52</v>
      </c>
      <c r="I18" s="12"/>
      <c r="J18" s="12"/>
      <c r="K18" s="12"/>
      <c r="L18" s="12"/>
      <c r="M18" s="12"/>
      <c r="N18" s="14" t="s">
        <v>53</v>
      </c>
    </row>
    <row r="19" spans="2:14" x14ac:dyDescent="0.25">
      <c r="B19" s="9">
        <v>10</v>
      </c>
      <c r="C19" s="10" t="s">
        <v>22</v>
      </c>
      <c r="D19" s="11"/>
      <c r="E19" s="12" t="s">
        <v>54</v>
      </c>
      <c r="F19" s="12" t="s">
        <v>55</v>
      </c>
      <c r="G19" s="12" t="s">
        <v>11</v>
      </c>
      <c r="H19" s="13" t="s">
        <v>56</v>
      </c>
      <c r="I19" s="12"/>
      <c r="J19" s="12"/>
      <c r="K19" s="12"/>
      <c r="L19" s="12"/>
      <c r="M19" s="12"/>
      <c r="N19" s="14" t="s">
        <v>57</v>
      </c>
    </row>
    <row r="20" spans="2:14" x14ac:dyDescent="0.25">
      <c r="B20" s="9">
        <v>11</v>
      </c>
      <c r="C20" s="10" t="s">
        <v>22</v>
      </c>
      <c r="D20" s="11"/>
      <c r="E20" s="12" t="s">
        <v>58</v>
      </c>
      <c r="F20" s="12" t="s">
        <v>59</v>
      </c>
      <c r="G20" s="12" t="s">
        <v>11</v>
      </c>
      <c r="H20" s="13" t="s">
        <v>60</v>
      </c>
      <c r="I20" s="12"/>
      <c r="J20" s="12"/>
      <c r="K20" s="12"/>
      <c r="L20" s="12"/>
      <c r="M20" s="12"/>
      <c r="N20" s="14" t="s">
        <v>61</v>
      </c>
    </row>
    <row r="21" spans="2:14" x14ac:dyDescent="0.25">
      <c r="B21" s="9">
        <v>12</v>
      </c>
      <c r="C21" s="15" t="s">
        <v>30</v>
      </c>
      <c r="D21" s="11"/>
      <c r="E21" s="12" t="s">
        <v>62</v>
      </c>
      <c r="F21" s="12" t="s">
        <v>63</v>
      </c>
      <c r="G21" s="12" t="s">
        <v>11</v>
      </c>
      <c r="H21" s="13" t="s">
        <v>64</v>
      </c>
      <c r="I21" s="12"/>
      <c r="J21" s="12"/>
      <c r="K21" s="12"/>
      <c r="L21" s="12"/>
      <c r="M21" s="12"/>
      <c r="N21" s="14" t="s">
        <v>65</v>
      </c>
    </row>
    <row r="22" spans="2:14" x14ac:dyDescent="0.25">
      <c r="B22" s="9">
        <v>13</v>
      </c>
      <c r="C22" s="15" t="s">
        <v>30</v>
      </c>
      <c r="D22" s="11"/>
      <c r="E22" s="12" t="s">
        <v>50</v>
      </c>
      <c r="F22" s="12" t="s">
        <v>66</v>
      </c>
      <c r="G22" s="12" t="s">
        <v>11</v>
      </c>
      <c r="H22" s="13" t="s">
        <v>67</v>
      </c>
      <c r="I22" s="12"/>
      <c r="J22" s="12"/>
      <c r="K22" s="12"/>
      <c r="L22" s="12"/>
      <c r="M22" s="12"/>
      <c r="N22" s="14" t="s">
        <v>68</v>
      </c>
    </row>
    <row r="23" spans="2:14" x14ac:dyDescent="0.25">
      <c r="B23" s="9">
        <v>14</v>
      </c>
      <c r="C23" s="15" t="s">
        <v>30</v>
      </c>
      <c r="D23" s="11"/>
      <c r="E23" s="12" t="s">
        <v>54</v>
      </c>
      <c r="F23" s="12" t="s">
        <v>69</v>
      </c>
      <c r="G23" s="12" t="s">
        <v>11</v>
      </c>
      <c r="H23" s="13" t="s">
        <v>70</v>
      </c>
      <c r="I23" s="12"/>
      <c r="J23" s="12"/>
      <c r="K23" s="12"/>
      <c r="L23" s="12"/>
      <c r="M23" s="12"/>
      <c r="N23" s="14" t="s">
        <v>68</v>
      </c>
    </row>
    <row r="24" spans="2:14" x14ac:dyDescent="0.25">
      <c r="B24" s="9">
        <v>15</v>
      </c>
      <c r="C24" s="16" t="s">
        <v>42</v>
      </c>
      <c r="D24" s="11"/>
      <c r="E24" s="12" t="s">
        <v>58</v>
      </c>
      <c r="F24" s="12" t="s">
        <v>71</v>
      </c>
      <c r="G24" s="12" t="s">
        <v>11</v>
      </c>
      <c r="H24" s="13" t="s">
        <v>72</v>
      </c>
      <c r="I24" s="12"/>
      <c r="J24" s="12"/>
      <c r="K24" s="12"/>
      <c r="L24" s="12"/>
      <c r="M24" s="12"/>
      <c r="N24" s="14" t="s">
        <v>68</v>
      </c>
    </row>
    <row r="25" spans="2:14" x14ac:dyDescent="0.25">
      <c r="B25" s="9">
        <v>16</v>
      </c>
      <c r="C25" s="16" t="s">
        <v>42</v>
      </c>
      <c r="D25" s="11"/>
      <c r="E25" s="12" t="s">
        <v>73</v>
      </c>
      <c r="F25" s="12" t="s">
        <v>74</v>
      </c>
      <c r="G25" s="12" t="s">
        <v>11</v>
      </c>
      <c r="H25" s="13" t="s">
        <v>75</v>
      </c>
      <c r="I25" s="12"/>
      <c r="J25" s="12"/>
      <c r="K25" s="12"/>
      <c r="L25" s="12"/>
      <c r="M25" s="12"/>
      <c r="N25" s="14" t="s">
        <v>76</v>
      </c>
    </row>
    <row r="26" spans="2:14" x14ac:dyDescent="0.25">
      <c r="B26" s="9">
        <v>17</v>
      </c>
      <c r="C26" s="10" t="s">
        <v>22</v>
      </c>
      <c r="D26" s="11" t="s">
        <v>77</v>
      </c>
      <c r="E26" s="12" t="s">
        <v>78</v>
      </c>
      <c r="F26" s="12" t="s">
        <v>79</v>
      </c>
      <c r="G26" s="12" t="s">
        <v>11</v>
      </c>
      <c r="H26" s="13" t="s">
        <v>80</v>
      </c>
      <c r="I26" s="12"/>
      <c r="J26" s="12"/>
      <c r="K26" s="12"/>
      <c r="L26" s="12"/>
      <c r="M26" s="12"/>
      <c r="N26" s="14" t="s">
        <v>81</v>
      </c>
    </row>
    <row r="27" spans="2:14" x14ac:dyDescent="0.25">
      <c r="B27" s="9">
        <v>18</v>
      </c>
      <c r="C27" s="10" t="s">
        <v>22</v>
      </c>
      <c r="D27" s="11"/>
      <c r="E27" s="11" t="s">
        <v>82</v>
      </c>
      <c r="F27" s="12" t="s">
        <v>83</v>
      </c>
      <c r="G27" s="12" t="s">
        <v>11</v>
      </c>
      <c r="H27" s="13" t="s">
        <v>84</v>
      </c>
      <c r="I27" s="12"/>
      <c r="J27" s="12"/>
      <c r="K27" s="12"/>
      <c r="L27" s="12"/>
      <c r="M27" s="12"/>
      <c r="N27" s="14" t="s">
        <v>85</v>
      </c>
    </row>
    <row r="28" spans="2:14" x14ac:dyDescent="0.25">
      <c r="B28" s="9">
        <v>19</v>
      </c>
      <c r="C28" s="15" t="s">
        <v>30</v>
      </c>
      <c r="D28" s="11"/>
      <c r="E28" s="11"/>
      <c r="F28" s="12" t="s">
        <v>86</v>
      </c>
      <c r="G28" s="12" t="s">
        <v>11</v>
      </c>
      <c r="H28" s="13" t="s">
        <v>87</v>
      </c>
      <c r="I28" s="12"/>
      <c r="J28" s="12"/>
      <c r="K28" s="12"/>
      <c r="L28" s="12"/>
      <c r="M28" s="12"/>
      <c r="N28" s="14" t="s">
        <v>88</v>
      </c>
    </row>
    <row r="29" spans="2:14" x14ac:dyDescent="0.25">
      <c r="B29" s="9">
        <v>20</v>
      </c>
      <c r="C29" s="15" t="s">
        <v>30</v>
      </c>
      <c r="D29" s="11"/>
      <c r="E29" s="11"/>
      <c r="F29" s="12" t="s">
        <v>89</v>
      </c>
      <c r="G29" s="12" t="s">
        <v>11</v>
      </c>
      <c r="H29" s="13" t="s">
        <v>90</v>
      </c>
      <c r="I29" s="12"/>
      <c r="J29" s="12"/>
      <c r="K29" s="12"/>
      <c r="L29" s="12"/>
      <c r="M29" s="12"/>
      <c r="N29" s="14" t="s">
        <v>91</v>
      </c>
    </row>
    <row r="30" spans="2:14" x14ac:dyDescent="0.25">
      <c r="B30" s="9">
        <v>21</v>
      </c>
      <c r="C30" s="15" t="s">
        <v>30</v>
      </c>
      <c r="D30" s="11"/>
      <c r="E30" s="11"/>
      <c r="F30" s="12" t="s">
        <v>92</v>
      </c>
      <c r="G30" s="12" t="s">
        <v>11</v>
      </c>
      <c r="H30" s="13" t="s">
        <v>93</v>
      </c>
      <c r="I30" s="12"/>
      <c r="J30" s="12"/>
      <c r="K30" s="12"/>
      <c r="L30" s="12"/>
      <c r="M30" s="12"/>
      <c r="N30" s="14" t="s">
        <v>94</v>
      </c>
    </row>
    <row r="31" spans="2:14" x14ac:dyDescent="0.25">
      <c r="B31" s="9">
        <v>22</v>
      </c>
      <c r="C31" s="15" t="s">
        <v>30</v>
      </c>
      <c r="D31" s="11"/>
      <c r="E31" s="11" t="s">
        <v>95</v>
      </c>
      <c r="F31" s="12" t="s">
        <v>96</v>
      </c>
      <c r="G31" s="12" t="s">
        <v>11</v>
      </c>
      <c r="H31" s="13" t="s">
        <v>97</v>
      </c>
      <c r="I31" s="12"/>
      <c r="J31" s="12"/>
      <c r="K31" s="12"/>
      <c r="L31" s="12"/>
      <c r="M31" s="12"/>
      <c r="N31" s="14" t="s">
        <v>98</v>
      </c>
    </row>
    <row r="32" spans="2:14" x14ac:dyDescent="0.25">
      <c r="B32" s="9">
        <v>23</v>
      </c>
      <c r="C32" s="15" t="s">
        <v>30</v>
      </c>
      <c r="D32" s="11"/>
      <c r="E32" s="11"/>
      <c r="F32" s="12" t="s">
        <v>99</v>
      </c>
      <c r="G32" s="12" t="s">
        <v>11</v>
      </c>
      <c r="H32" s="13" t="s">
        <v>100</v>
      </c>
      <c r="I32" s="12"/>
      <c r="J32" s="12"/>
      <c r="K32" s="12"/>
      <c r="L32" s="12"/>
      <c r="M32" s="12"/>
      <c r="N32" s="14" t="s">
        <v>101</v>
      </c>
    </row>
    <row r="33" spans="2:14" x14ac:dyDescent="0.25">
      <c r="B33" s="9">
        <v>24</v>
      </c>
      <c r="C33" s="15" t="s">
        <v>30</v>
      </c>
      <c r="D33" s="11"/>
      <c r="E33" s="11" t="s">
        <v>102</v>
      </c>
      <c r="F33" s="12" t="s">
        <v>103</v>
      </c>
      <c r="G33" s="12" t="s">
        <v>11</v>
      </c>
      <c r="H33" s="13" t="s">
        <v>104</v>
      </c>
      <c r="I33" s="12"/>
      <c r="J33" s="12"/>
      <c r="K33" s="12"/>
      <c r="L33" s="12"/>
      <c r="M33" s="12"/>
      <c r="N33" s="14" t="s">
        <v>105</v>
      </c>
    </row>
    <row r="34" spans="2:14" x14ac:dyDescent="0.25">
      <c r="B34" s="9">
        <v>25</v>
      </c>
      <c r="C34" s="15" t="s">
        <v>30</v>
      </c>
      <c r="D34" s="11"/>
      <c r="E34" s="11"/>
      <c r="F34" s="12" t="s">
        <v>106</v>
      </c>
      <c r="G34" s="12" t="s">
        <v>11</v>
      </c>
      <c r="H34" s="13" t="s">
        <v>107</v>
      </c>
      <c r="I34" s="12"/>
      <c r="J34" s="12"/>
      <c r="K34" s="12"/>
      <c r="L34" s="12"/>
      <c r="M34" s="12"/>
      <c r="N34" s="14" t="s">
        <v>108</v>
      </c>
    </row>
    <row r="35" spans="2:14" x14ac:dyDescent="0.25">
      <c r="B35" s="9">
        <v>26</v>
      </c>
      <c r="C35" s="15" t="s">
        <v>30</v>
      </c>
      <c r="D35" s="11"/>
      <c r="E35" s="12" t="s">
        <v>109</v>
      </c>
      <c r="F35" s="12" t="s">
        <v>110</v>
      </c>
      <c r="G35" s="12" t="s">
        <v>11</v>
      </c>
      <c r="H35" s="13" t="s">
        <v>111</v>
      </c>
      <c r="I35" s="12"/>
      <c r="J35" s="12"/>
      <c r="K35" s="12"/>
      <c r="L35" s="12"/>
      <c r="M35" s="12"/>
      <c r="N35" s="14" t="s">
        <v>112</v>
      </c>
    </row>
    <row r="36" spans="2:14" x14ac:dyDescent="0.25">
      <c r="B36" s="9">
        <v>27</v>
      </c>
      <c r="C36" s="15" t="s">
        <v>30</v>
      </c>
      <c r="D36" s="11"/>
      <c r="E36" s="12" t="s">
        <v>113</v>
      </c>
      <c r="F36" s="12" t="s">
        <v>114</v>
      </c>
      <c r="G36" s="12" t="s">
        <v>11</v>
      </c>
      <c r="H36" s="13" t="s">
        <v>115</v>
      </c>
      <c r="I36" s="12"/>
      <c r="J36" s="12"/>
      <c r="K36" s="12"/>
      <c r="L36" s="12"/>
      <c r="M36" s="12"/>
      <c r="N36" s="14" t="s">
        <v>116</v>
      </c>
    </row>
    <row r="37" spans="2:14" x14ac:dyDescent="0.25">
      <c r="B37" s="9">
        <v>28</v>
      </c>
      <c r="C37" s="16" t="s">
        <v>42</v>
      </c>
      <c r="D37" s="11"/>
      <c r="E37" s="12" t="s">
        <v>78</v>
      </c>
      <c r="F37" s="12" t="s">
        <v>117</v>
      </c>
      <c r="G37" s="12" t="s">
        <v>11</v>
      </c>
      <c r="H37" s="13" t="s">
        <v>118</v>
      </c>
      <c r="I37" s="12"/>
      <c r="J37" s="12"/>
      <c r="K37" s="12"/>
      <c r="L37" s="12"/>
      <c r="M37" s="12"/>
      <c r="N37" s="14" t="s">
        <v>119</v>
      </c>
    </row>
    <row r="38" spans="2:14" x14ac:dyDescent="0.25">
      <c r="B38" s="9">
        <v>29</v>
      </c>
      <c r="C38" s="16" t="s">
        <v>42</v>
      </c>
      <c r="D38" s="11"/>
      <c r="E38" s="12" t="s">
        <v>102</v>
      </c>
      <c r="F38" s="12" t="s">
        <v>120</v>
      </c>
      <c r="G38" s="12" t="s">
        <v>11</v>
      </c>
      <c r="H38" s="13" t="s">
        <v>121</v>
      </c>
      <c r="I38" s="12"/>
      <c r="J38" s="12"/>
      <c r="K38" s="12"/>
      <c r="L38" s="12"/>
      <c r="M38" s="12"/>
      <c r="N38" s="14" t="s">
        <v>122</v>
      </c>
    </row>
    <row r="39" spans="2:14" x14ac:dyDescent="0.25">
      <c r="B39" s="9">
        <v>30</v>
      </c>
      <c r="C39" s="16" t="s">
        <v>42</v>
      </c>
      <c r="D39" s="11"/>
      <c r="E39" s="12" t="s">
        <v>78</v>
      </c>
      <c r="F39" s="12" t="s">
        <v>123</v>
      </c>
      <c r="G39" s="12" t="s">
        <v>11</v>
      </c>
      <c r="H39" s="13" t="s">
        <v>124</v>
      </c>
      <c r="I39" s="12"/>
      <c r="J39" s="12"/>
      <c r="K39" s="12"/>
      <c r="L39" s="12"/>
      <c r="M39" s="12"/>
      <c r="N39" s="14" t="s">
        <v>125</v>
      </c>
    </row>
    <row r="40" spans="2:14" x14ac:dyDescent="0.25">
      <c r="B40" s="9">
        <v>31</v>
      </c>
      <c r="C40" s="16" t="s">
        <v>42</v>
      </c>
      <c r="D40" s="11"/>
      <c r="E40" s="12" t="s">
        <v>109</v>
      </c>
      <c r="F40" s="11" t="s">
        <v>126</v>
      </c>
      <c r="G40" s="12" t="s">
        <v>11</v>
      </c>
      <c r="H40" s="13" t="s">
        <v>127</v>
      </c>
      <c r="I40" s="12"/>
      <c r="J40" s="12"/>
      <c r="K40" s="12"/>
      <c r="L40" s="12"/>
      <c r="M40" s="12"/>
      <c r="N40" s="14" t="s">
        <v>128</v>
      </c>
    </row>
    <row r="41" spans="2:14" x14ac:dyDescent="0.25">
      <c r="B41" s="9">
        <v>32</v>
      </c>
      <c r="C41" s="16" t="s">
        <v>42</v>
      </c>
      <c r="D41" s="11"/>
      <c r="E41" s="12" t="s">
        <v>113</v>
      </c>
      <c r="F41" s="11"/>
      <c r="G41" s="12" t="s">
        <v>11</v>
      </c>
      <c r="H41" s="13" t="s">
        <v>129</v>
      </c>
      <c r="I41" s="12"/>
      <c r="J41" s="12"/>
      <c r="K41" s="12"/>
      <c r="L41" s="12"/>
      <c r="M41" s="12"/>
      <c r="N41" s="14" t="s">
        <v>130</v>
      </c>
    </row>
    <row r="42" spans="2:14" x14ac:dyDescent="0.25">
      <c r="B42" s="9">
        <v>33</v>
      </c>
      <c r="C42" s="10" t="s">
        <v>22</v>
      </c>
      <c r="D42" s="11" t="s">
        <v>131</v>
      </c>
      <c r="E42" s="11" t="s">
        <v>132</v>
      </c>
      <c r="F42" s="12" t="s">
        <v>133</v>
      </c>
      <c r="G42" s="12" t="s">
        <v>11</v>
      </c>
      <c r="H42" s="13" t="s">
        <v>134</v>
      </c>
      <c r="I42" s="12"/>
      <c r="J42" s="12"/>
      <c r="K42" s="12"/>
      <c r="L42" s="12"/>
      <c r="M42" s="12"/>
      <c r="N42" s="14" t="s">
        <v>135</v>
      </c>
    </row>
    <row r="43" spans="2:14" x14ac:dyDescent="0.25">
      <c r="B43" s="9">
        <v>34</v>
      </c>
      <c r="C43" s="10" t="s">
        <v>22</v>
      </c>
      <c r="D43" s="11"/>
      <c r="E43" s="11"/>
      <c r="F43" s="12" t="s">
        <v>136</v>
      </c>
      <c r="G43" s="12" t="s">
        <v>11</v>
      </c>
      <c r="H43" s="13" t="s">
        <v>137</v>
      </c>
      <c r="I43" s="12"/>
      <c r="J43" s="12"/>
      <c r="K43" s="12"/>
      <c r="L43" s="12"/>
      <c r="M43" s="12"/>
      <c r="N43" s="14" t="s">
        <v>138</v>
      </c>
    </row>
    <row r="44" spans="2:14" x14ac:dyDescent="0.25">
      <c r="B44" s="9">
        <v>35</v>
      </c>
      <c r="C44" s="15" t="s">
        <v>30</v>
      </c>
      <c r="D44" s="11"/>
      <c r="E44" s="11" t="s">
        <v>139</v>
      </c>
      <c r="F44" s="12" t="s">
        <v>140</v>
      </c>
      <c r="G44" s="12" t="s">
        <v>11</v>
      </c>
      <c r="H44" s="13" t="s">
        <v>141</v>
      </c>
      <c r="I44" s="12"/>
      <c r="J44" s="12"/>
      <c r="K44" s="12"/>
      <c r="L44" s="12"/>
      <c r="M44" s="12"/>
      <c r="N44" s="14" t="s">
        <v>142</v>
      </c>
    </row>
    <row r="45" spans="2:14" x14ac:dyDescent="0.25">
      <c r="B45" s="9">
        <v>36</v>
      </c>
      <c r="C45" s="15" t="s">
        <v>30</v>
      </c>
      <c r="D45" s="11"/>
      <c r="E45" s="11"/>
      <c r="F45" s="11" t="s">
        <v>143</v>
      </c>
      <c r="G45" s="12" t="s">
        <v>144</v>
      </c>
      <c r="H45" s="13" t="s">
        <v>145</v>
      </c>
      <c r="I45" s="12"/>
      <c r="J45" s="12"/>
      <c r="K45" s="12"/>
      <c r="L45" s="12"/>
      <c r="M45" s="12"/>
      <c r="N45" s="14" t="s">
        <v>146</v>
      </c>
    </row>
    <row r="46" spans="2:14" x14ac:dyDescent="0.25">
      <c r="B46" s="9">
        <v>37</v>
      </c>
      <c r="C46" s="15" t="s">
        <v>30</v>
      </c>
      <c r="D46" s="11"/>
      <c r="E46" s="11"/>
      <c r="F46" s="11"/>
      <c r="G46" s="12" t="s">
        <v>147</v>
      </c>
      <c r="H46" s="13" t="s">
        <v>148</v>
      </c>
      <c r="I46" s="12"/>
      <c r="J46" s="12"/>
      <c r="K46" s="12"/>
      <c r="L46" s="12"/>
      <c r="M46" s="12"/>
      <c r="N46" s="14" t="s">
        <v>149</v>
      </c>
    </row>
    <row r="47" spans="2:14" x14ac:dyDescent="0.25">
      <c r="B47" s="9">
        <v>38</v>
      </c>
      <c r="C47" s="15" t="s">
        <v>30</v>
      </c>
      <c r="D47" s="11"/>
      <c r="E47" s="11"/>
      <c r="F47" s="12" t="s">
        <v>150</v>
      </c>
      <c r="G47" s="12" t="s">
        <v>11</v>
      </c>
      <c r="H47" s="13" t="s">
        <v>151</v>
      </c>
      <c r="I47" s="12"/>
      <c r="J47" s="12"/>
      <c r="K47" s="12"/>
      <c r="L47" s="12"/>
      <c r="M47" s="12"/>
      <c r="N47" s="14" t="s">
        <v>152</v>
      </c>
    </row>
    <row r="48" spans="2:14" x14ac:dyDescent="0.25">
      <c r="B48" s="9">
        <v>39</v>
      </c>
      <c r="C48" s="15" t="s">
        <v>30</v>
      </c>
      <c r="D48" s="11"/>
      <c r="E48" s="11" t="s">
        <v>153</v>
      </c>
      <c r="F48" s="12" t="s">
        <v>154</v>
      </c>
      <c r="G48" s="12" t="s">
        <v>11</v>
      </c>
      <c r="H48" s="13" t="s">
        <v>155</v>
      </c>
      <c r="I48" s="12"/>
      <c r="J48" s="12"/>
      <c r="K48" s="12"/>
      <c r="L48" s="12"/>
      <c r="M48" s="12"/>
      <c r="N48" s="14" t="s">
        <v>156</v>
      </c>
    </row>
    <row r="49" spans="2:14" x14ac:dyDescent="0.25">
      <c r="B49" s="9">
        <v>40</v>
      </c>
      <c r="C49" s="15" t="s">
        <v>30</v>
      </c>
      <c r="D49" s="11"/>
      <c r="E49" s="11"/>
      <c r="F49" s="12" t="s">
        <v>157</v>
      </c>
      <c r="G49" s="12" t="s">
        <v>11</v>
      </c>
      <c r="H49" s="13" t="s">
        <v>158</v>
      </c>
      <c r="I49" s="12"/>
      <c r="J49" s="12"/>
      <c r="K49" s="12"/>
      <c r="L49" s="12"/>
      <c r="M49" s="12"/>
      <c r="N49" s="14" t="s">
        <v>159</v>
      </c>
    </row>
    <row r="50" spans="2:14" x14ac:dyDescent="0.25">
      <c r="B50" s="9">
        <v>41</v>
      </c>
      <c r="C50" s="15" t="s">
        <v>30</v>
      </c>
      <c r="D50" s="11"/>
      <c r="E50" s="11"/>
      <c r="F50" s="12" t="s">
        <v>160</v>
      </c>
      <c r="G50" s="12" t="s">
        <v>11</v>
      </c>
      <c r="H50" s="13" t="s">
        <v>161</v>
      </c>
      <c r="I50" s="12"/>
      <c r="J50" s="12"/>
      <c r="K50" s="12"/>
      <c r="L50" s="12"/>
      <c r="M50" s="12"/>
      <c r="N50" s="14" t="s">
        <v>162</v>
      </c>
    </row>
    <row r="51" spans="2:14" x14ac:dyDescent="0.25">
      <c r="B51" s="9">
        <v>42</v>
      </c>
      <c r="C51" s="15" t="s">
        <v>30</v>
      </c>
      <c r="D51" s="11"/>
      <c r="E51" s="11"/>
      <c r="F51" s="12" t="s">
        <v>163</v>
      </c>
      <c r="G51" s="12" t="s">
        <v>164</v>
      </c>
      <c r="H51" s="13" t="s">
        <v>165</v>
      </c>
      <c r="I51" s="12"/>
      <c r="J51" s="12"/>
      <c r="K51" s="12"/>
      <c r="L51" s="12"/>
      <c r="M51" s="12"/>
      <c r="N51" s="14" t="s">
        <v>166</v>
      </c>
    </row>
    <row r="52" spans="2:14" x14ac:dyDescent="0.25">
      <c r="B52" s="9">
        <v>43</v>
      </c>
      <c r="C52" s="15" t="s">
        <v>30</v>
      </c>
      <c r="D52" s="11"/>
      <c r="E52" s="11" t="s">
        <v>167</v>
      </c>
      <c r="F52" s="12" t="s">
        <v>168</v>
      </c>
      <c r="G52" s="12" t="s">
        <v>11</v>
      </c>
      <c r="H52" s="13" t="s">
        <v>169</v>
      </c>
      <c r="I52" s="12"/>
      <c r="J52" s="12"/>
      <c r="K52" s="12"/>
      <c r="L52" s="12"/>
      <c r="M52" s="12"/>
      <c r="N52" s="14" t="s">
        <v>170</v>
      </c>
    </row>
    <row r="53" spans="2:14" x14ac:dyDescent="0.25">
      <c r="B53" s="9">
        <v>44</v>
      </c>
      <c r="C53" s="15" t="s">
        <v>30</v>
      </c>
      <c r="D53" s="11"/>
      <c r="E53" s="11"/>
      <c r="F53" s="12" t="s">
        <v>171</v>
      </c>
      <c r="G53" s="12" t="s">
        <v>11</v>
      </c>
      <c r="H53" s="13" t="s">
        <v>172</v>
      </c>
      <c r="I53" s="12"/>
      <c r="J53" s="12"/>
      <c r="K53" s="12"/>
      <c r="L53" s="12"/>
      <c r="M53" s="12"/>
      <c r="N53" s="14" t="s">
        <v>173</v>
      </c>
    </row>
    <row r="54" spans="2:14" x14ac:dyDescent="0.25">
      <c r="B54" s="9">
        <v>45</v>
      </c>
      <c r="C54" s="15" t="s">
        <v>30</v>
      </c>
      <c r="D54" s="11"/>
      <c r="E54" s="11"/>
      <c r="F54" s="12" t="s">
        <v>174</v>
      </c>
      <c r="G54" s="12" t="s">
        <v>11</v>
      </c>
      <c r="H54" s="13" t="s">
        <v>175</v>
      </c>
      <c r="I54" s="12"/>
      <c r="J54" s="12"/>
      <c r="K54" s="12"/>
      <c r="L54" s="12"/>
      <c r="M54" s="12"/>
      <c r="N54" s="14" t="s">
        <v>176</v>
      </c>
    </row>
    <row r="55" spans="2:14" x14ac:dyDescent="0.25">
      <c r="B55" s="9">
        <v>46</v>
      </c>
      <c r="C55" s="16" t="s">
        <v>42</v>
      </c>
      <c r="D55" s="11"/>
      <c r="E55" s="11"/>
      <c r="F55" s="11" t="s">
        <v>177</v>
      </c>
      <c r="G55" s="12" t="s">
        <v>178</v>
      </c>
      <c r="H55" s="13" t="s">
        <v>179</v>
      </c>
      <c r="I55" s="12"/>
      <c r="J55" s="12"/>
      <c r="K55" s="12"/>
      <c r="L55" s="12"/>
      <c r="M55" s="12"/>
      <c r="N55" s="14" t="s">
        <v>180</v>
      </c>
    </row>
    <row r="56" spans="2:14" x14ac:dyDescent="0.25">
      <c r="B56" s="9">
        <v>47</v>
      </c>
      <c r="C56" s="16" t="s">
        <v>42</v>
      </c>
      <c r="D56" s="11"/>
      <c r="E56" s="11"/>
      <c r="F56" s="11"/>
      <c r="G56" s="12" t="s">
        <v>181</v>
      </c>
      <c r="H56" s="13" t="s">
        <v>182</v>
      </c>
      <c r="I56" s="12"/>
      <c r="J56" s="12"/>
      <c r="K56" s="12"/>
      <c r="L56" s="12"/>
      <c r="M56" s="12"/>
      <c r="N56" s="14" t="s">
        <v>183</v>
      </c>
    </row>
    <row r="57" spans="2:14" x14ac:dyDescent="0.25">
      <c r="B57" s="9">
        <v>48</v>
      </c>
      <c r="C57" s="16" t="s">
        <v>42</v>
      </c>
      <c r="D57" s="11"/>
      <c r="E57" s="11"/>
      <c r="F57" s="11"/>
      <c r="G57" s="12" t="s">
        <v>184</v>
      </c>
      <c r="H57" s="13" t="s">
        <v>185</v>
      </c>
      <c r="I57" s="12"/>
      <c r="J57" s="12"/>
      <c r="K57" s="12"/>
      <c r="L57" s="12"/>
      <c r="M57" s="12"/>
      <c r="N57" s="14" t="s">
        <v>186</v>
      </c>
    </row>
    <row r="58" spans="2:14" x14ac:dyDescent="0.25">
      <c r="B58" s="9">
        <v>49</v>
      </c>
      <c r="C58" s="16" t="s">
        <v>42</v>
      </c>
      <c r="D58" s="11"/>
      <c r="E58" s="11"/>
      <c r="F58" s="12" t="s">
        <v>187</v>
      </c>
      <c r="G58" s="12" t="s">
        <v>11</v>
      </c>
      <c r="H58" s="13" t="s">
        <v>188</v>
      </c>
      <c r="I58" s="12"/>
      <c r="J58" s="12"/>
      <c r="K58" s="12"/>
      <c r="L58" s="12"/>
      <c r="M58" s="12"/>
      <c r="N58" s="14" t="s">
        <v>189</v>
      </c>
    </row>
    <row r="59" spans="2:14" x14ac:dyDescent="0.25">
      <c r="B59" s="9">
        <v>50</v>
      </c>
      <c r="C59" s="16" t="s">
        <v>42</v>
      </c>
      <c r="D59" s="11"/>
      <c r="E59" s="11"/>
      <c r="F59" s="12" t="s">
        <v>190</v>
      </c>
      <c r="G59" s="12" t="s">
        <v>11</v>
      </c>
      <c r="H59" s="13" t="s">
        <v>191</v>
      </c>
      <c r="I59" s="12"/>
      <c r="J59" s="12"/>
      <c r="K59" s="12"/>
      <c r="L59" s="12"/>
      <c r="M59" s="12"/>
      <c r="N59" s="14" t="s">
        <v>192</v>
      </c>
    </row>
    <row r="60" spans="2:14" x14ac:dyDescent="0.25">
      <c r="B60" s="9">
        <v>51</v>
      </c>
      <c r="C60" s="15" t="s">
        <v>30</v>
      </c>
      <c r="D60" s="11"/>
      <c r="E60" s="11" t="s">
        <v>193</v>
      </c>
      <c r="F60" s="12" t="s">
        <v>194</v>
      </c>
      <c r="G60" s="12" t="s">
        <v>11</v>
      </c>
      <c r="H60" s="13" t="s">
        <v>195</v>
      </c>
      <c r="I60" s="12"/>
      <c r="J60" s="12"/>
      <c r="K60" s="12"/>
      <c r="L60" s="12"/>
      <c r="M60" s="12"/>
      <c r="N60" s="14" t="s">
        <v>196</v>
      </c>
    </row>
    <row r="61" spans="2:14" x14ac:dyDescent="0.25">
      <c r="B61" s="9">
        <v>52</v>
      </c>
      <c r="C61" s="16" t="s">
        <v>42</v>
      </c>
      <c r="D61" s="11"/>
      <c r="E61" s="11"/>
      <c r="F61" s="12" t="s">
        <v>197</v>
      </c>
      <c r="G61" s="12" t="s">
        <v>11</v>
      </c>
      <c r="H61" s="13" t="s">
        <v>198</v>
      </c>
      <c r="I61" s="12"/>
      <c r="J61" s="12"/>
      <c r="K61" s="12"/>
      <c r="L61" s="12"/>
      <c r="M61" s="12"/>
      <c r="N61" s="14" t="s">
        <v>199</v>
      </c>
    </row>
    <row r="62" spans="2:14" x14ac:dyDescent="0.25">
      <c r="B62" s="9">
        <v>53</v>
      </c>
      <c r="C62" s="15" t="s">
        <v>30</v>
      </c>
      <c r="D62" s="11"/>
      <c r="E62" s="11" t="s">
        <v>200</v>
      </c>
      <c r="F62" s="12" t="s">
        <v>201</v>
      </c>
      <c r="G62" s="12" t="s">
        <v>11</v>
      </c>
      <c r="H62" s="13" t="s">
        <v>202</v>
      </c>
      <c r="I62" s="12"/>
      <c r="J62" s="12"/>
      <c r="K62" s="12"/>
      <c r="L62" s="12"/>
      <c r="M62" s="12"/>
      <c r="N62" s="14" t="s">
        <v>203</v>
      </c>
    </row>
    <row r="63" spans="2:14" x14ac:dyDescent="0.25">
      <c r="B63" s="9">
        <v>54</v>
      </c>
      <c r="C63" s="16" t="s">
        <v>42</v>
      </c>
      <c r="D63" s="11"/>
      <c r="E63" s="11"/>
      <c r="F63" s="12" t="s">
        <v>204</v>
      </c>
      <c r="G63" s="12" t="s">
        <v>11</v>
      </c>
      <c r="H63" s="13" t="s">
        <v>205</v>
      </c>
      <c r="I63" s="12"/>
      <c r="J63" s="12"/>
      <c r="K63" s="12"/>
      <c r="L63" s="12"/>
      <c r="M63" s="12"/>
      <c r="N63" s="14" t="s">
        <v>206</v>
      </c>
    </row>
    <row r="64" spans="2:14" x14ac:dyDescent="0.25">
      <c r="B64" s="9">
        <v>55</v>
      </c>
      <c r="C64" s="16" t="s">
        <v>42</v>
      </c>
      <c r="D64" s="11"/>
      <c r="E64" s="11" t="s">
        <v>207</v>
      </c>
      <c r="F64" s="12" t="s">
        <v>208</v>
      </c>
      <c r="G64" s="12" t="s">
        <v>11</v>
      </c>
      <c r="H64" s="13" t="s">
        <v>209</v>
      </c>
      <c r="I64" s="12"/>
      <c r="J64" s="12"/>
      <c r="K64" s="12"/>
      <c r="L64" s="12"/>
      <c r="M64" s="12"/>
      <c r="N64" s="14" t="s">
        <v>210</v>
      </c>
    </row>
    <row r="65" spans="2:14" x14ac:dyDescent="0.25">
      <c r="B65" s="9">
        <v>56</v>
      </c>
      <c r="C65" s="16" t="s">
        <v>42</v>
      </c>
      <c r="D65" s="11"/>
      <c r="E65" s="11"/>
      <c r="F65" s="12" t="s">
        <v>211</v>
      </c>
      <c r="G65" s="12" t="s">
        <v>11</v>
      </c>
      <c r="H65" s="13" t="s">
        <v>212</v>
      </c>
      <c r="I65" s="12"/>
      <c r="J65" s="12"/>
      <c r="K65" s="12"/>
      <c r="L65" s="12"/>
      <c r="M65" s="12"/>
      <c r="N65" s="14" t="s">
        <v>213</v>
      </c>
    </row>
    <row r="66" spans="2:14" x14ac:dyDescent="0.25">
      <c r="B66" s="9">
        <v>57</v>
      </c>
      <c r="C66" s="10" t="s">
        <v>22</v>
      </c>
      <c r="D66" s="11" t="s">
        <v>214</v>
      </c>
      <c r="E66" s="12" t="s">
        <v>215</v>
      </c>
      <c r="F66" s="12" t="s">
        <v>216</v>
      </c>
      <c r="G66" s="12" t="s">
        <v>11</v>
      </c>
      <c r="H66" s="13" t="s">
        <v>217</v>
      </c>
      <c r="I66" s="12"/>
      <c r="J66" s="12"/>
      <c r="K66" s="12"/>
      <c r="L66" s="12"/>
      <c r="M66" s="12"/>
      <c r="N66" s="14" t="s">
        <v>218</v>
      </c>
    </row>
    <row r="67" spans="2:14" x14ac:dyDescent="0.25">
      <c r="B67" s="9">
        <v>58</v>
      </c>
      <c r="C67" s="15" t="s">
        <v>30</v>
      </c>
      <c r="D67" s="11"/>
      <c r="E67" s="11" t="s">
        <v>219</v>
      </c>
      <c r="F67" s="12" t="s">
        <v>220</v>
      </c>
      <c r="G67" s="12" t="s">
        <v>11</v>
      </c>
      <c r="H67" s="13" t="s">
        <v>221</v>
      </c>
      <c r="I67" s="12"/>
      <c r="J67" s="12"/>
      <c r="K67" s="12"/>
      <c r="L67" s="12"/>
      <c r="M67" s="12"/>
      <c r="N67" s="14" t="s">
        <v>222</v>
      </c>
    </row>
    <row r="68" spans="2:14" x14ac:dyDescent="0.25">
      <c r="B68" s="9">
        <v>59</v>
      </c>
      <c r="C68" s="15" t="s">
        <v>30</v>
      </c>
      <c r="D68" s="11"/>
      <c r="E68" s="11"/>
      <c r="F68" s="12" t="s">
        <v>223</v>
      </c>
      <c r="G68" s="12" t="s">
        <v>11</v>
      </c>
      <c r="H68" s="13" t="s">
        <v>224</v>
      </c>
      <c r="I68" s="12"/>
      <c r="J68" s="12"/>
      <c r="K68" s="12"/>
      <c r="L68" s="12"/>
      <c r="M68" s="12"/>
      <c r="N68" s="14" t="s">
        <v>225</v>
      </c>
    </row>
    <row r="69" spans="2:14" x14ac:dyDescent="0.25">
      <c r="B69" s="9">
        <v>60</v>
      </c>
      <c r="C69" s="15" t="s">
        <v>30</v>
      </c>
      <c r="D69" s="11"/>
      <c r="E69" s="11" t="s">
        <v>226</v>
      </c>
      <c r="F69" s="12" t="s">
        <v>227</v>
      </c>
      <c r="G69" s="12" t="s">
        <v>11</v>
      </c>
      <c r="H69" s="13" t="s">
        <v>228</v>
      </c>
      <c r="I69" s="12"/>
      <c r="J69" s="12"/>
      <c r="K69" s="12"/>
      <c r="L69" s="12"/>
      <c r="M69" s="12"/>
      <c r="N69" s="14" t="s">
        <v>229</v>
      </c>
    </row>
    <row r="70" spans="2:14" x14ac:dyDescent="0.25">
      <c r="B70" s="9">
        <v>61</v>
      </c>
      <c r="C70" s="15" t="s">
        <v>30</v>
      </c>
      <c r="D70" s="11"/>
      <c r="E70" s="11"/>
      <c r="F70" s="12" t="s">
        <v>230</v>
      </c>
      <c r="G70" s="12" t="s">
        <v>11</v>
      </c>
      <c r="H70" s="13" t="s">
        <v>231</v>
      </c>
      <c r="I70" s="12"/>
      <c r="J70" s="12"/>
      <c r="K70" s="12"/>
      <c r="L70" s="12"/>
      <c r="M70" s="12"/>
      <c r="N70" s="14" t="s">
        <v>232</v>
      </c>
    </row>
    <row r="71" spans="2:14" x14ac:dyDescent="0.25">
      <c r="B71" s="9">
        <v>62</v>
      </c>
      <c r="C71" s="10" t="s">
        <v>22</v>
      </c>
      <c r="D71" s="11"/>
      <c r="E71" s="11"/>
      <c r="F71" s="12" t="s">
        <v>233</v>
      </c>
      <c r="G71" s="12" t="s">
        <v>11</v>
      </c>
      <c r="H71" s="13" t="s">
        <v>234</v>
      </c>
      <c r="I71" s="12"/>
      <c r="J71" s="12"/>
      <c r="K71" s="12"/>
      <c r="L71" s="12"/>
      <c r="M71" s="12"/>
      <c r="N71" s="14" t="s">
        <v>235</v>
      </c>
    </row>
    <row r="72" spans="2:14" x14ac:dyDescent="0.25">
      <c r="B72" s="9">
        <v>63</v>
      </c>
      <c r="C72" s="10" t="s">
        <v>22</v>
      </c>
      <c r="D72" s="11"/>
      <c r="E72" s="11"/>
      <c r="F72" s="12" t="s">
        <v>236</v>
      </c>
      <c r="G72" s="12" t="s">
        <v>11</v>
      </c>
      <c r="H72" s="13" t="s">
        <v>237</v>
      </c>
      <c r="I72" s="12"/>
      <c r="J72" s="12"/>
      <c r="K72" s="12"/>
      <c r="L72" s="12"/>
      <c r="M72" s="12"/>
      <c r="N72" s="14" t="s">
        <v>238</v>
      </c>
    </row>
    <row r="73" spans="2:14" x14ac:dyDescent="0.25">
      <c r="B73" s="9">
        <v>64</v>
      </c>
      <c r="C73" s="15" t="s">
        <v>30</v>
      </c>
      <c r="D73" s="11"/>
      <c r="E73" s="11"/>
      <c r="F73" s="12" t="s">
        <v>168</v>
      </c>
      <c r="G73" s="12" t="s">
        <v>11</v>
      </c>
      <c r="H73" s="13" t="s">
        <v>239</v>
      </c>
      <c r="I73" s="12"/>
      <c r="J73" s="12"/>
      <c r="K73" s="12"/>
      <c r="L73" s="12"/>
      <c r="M73" s="12"/>
      <c r="N73" s="14" t="s">
        <v>240</v>
      </c>
    </row>
    <row r="74" spans="2:14" x14ac:dyDescent="0.25">
      <c r="B74" s="9">
        <v>65</v>
      </c>
      <c r="C74" s="15" t="s">
        <v>30</v>
      </c>
      <c r="D74" s="11"/>
      <c r="E74" s="11"/>
      <c r="F74" s="12" t="s">
        <v>241</v>
      </c>
      <c r="G74" s="12" t="s">
        <v>11</v>
      </c>
      <c r="H74" s="13" t="s">
        <v>242</v>
      </c>
      <c r="I74" s="12"/>
      <c r="J74" s="12"/>
      <c r="K74" s="12"/>
      <c r="L74" s="12"/>
      <c r="M74" s="12"/>
      <c r="N74" s="14" t="s">
        <v>243</v>
      </c>
    </row>
    <row r="75" spans="2:14" x14ac:dyDescent="0.25">
      <c r="B75" s="9">
        <v>66</v>
      </c>
      <c r="C75" s="15" t="s">
        <v>30</v>
      </c>
      <c r="D75" s="11"/>
      <c r="E75" s="11"/>
      <c r="F75" s="12" t="s">
        <v>244</v>
      </c>
      <c r="G75" s="12" t="s">
        <v>11</v>
      </c>
      <c r="H75" s="13" t="s">
        <v>245</v>
      </c>
      <c r="I75" s="12"/>
      <c r="J75" s="12"/>
      <c r="K75" s="12"/>
      <c r="L75" s="12"/>
      <c r="M75" s="12"/>
      <c r="N75" s="14" t="s">
        <v>246</v>
      </c>
    </row>
    <row r="76" spans="2:14" x14ac:dyDescent="0.25">
      <c r="B76" s="9">
        <v>67</v>
      </c>
      <c r="C76" s="16" t="s">
        <v>42</v>
      </c>
      <c r="D76" s="11"/>
      <c r="E76" s="11" t="s">
        <v>247</v>
      </c>
      <c r="F76" s="12" t="s">
        <v>248</v>
      </c>
      <c r="G76" s="12" t="s">
        <v>11</v>
      </c>
      <c r="H76" s="13" t="s">
        <v>249</v>
      </c>
      <c r="I76" s="12"/>
      <c r="J76" s="12"/>
      <c r="K76" s="12"/>
      <c r="L76" s="12"/>
      <c r="M76" s="12"/>
      <c r="N76" s="14" t="s">
        <v>250</v>
      </c>
    </row>
    <row r="77" spans="2:14" x14ac:dyDescent="0.25">
      <c r="B77" s="9">
        <v>68</v>
      </c>
      <c r="C77" s="16" t="s">
        <v>42</v>
      </c>
      <c r="D77" s="11"/>
      <c r="E77" s="11"/>
      <c r="F77" s="12" t="s">
        <v>251</v>
      </c>
      <c r="G77" s="12" t="s">
        <v>11</v>
      </c>
      <c r="H77" s="13" t="s">
        <v>252</v>
      </c>
      <c r="I77" s="12"/>
      <c r="J77" s="12"/>
      <c r="K77" s="12"/>
      <c r="L77" s="12"/>
      <c r="M77" s="12"/>
      <c r="N77" s="14" t="s">
        <v>253</v>
      </c>
    </row>
    <row r="78" spans="2:14" x14ac:dyDescent="0.25">
      <c r="B78" s="9">
        <v>69</v>
      </c>
      <c r="C78" s="16" t="s">
        <v>42</v>
      </c>
      <c r="D78" s="11"/>
      <c r="E78" s="11" t="s">
        <v>226</v>
      </c>
      <c r="F78" s="12" t="s">
        <v>254</v>
      </c>
      <c r="G78" s="12" t="s">
        <v>11</v>
      </c>
      <c r="H78" s="13" t="s">
        <v>255</v>
      </c>
      <c r="I78" s="12"/>
      <c r="J78" s="12"/>
      <c r="K78" s="12"/>
      <c r="L78" s="12"/>
      <c r="M78" s="12"/>
      <c r="N78" s="14" t="s">
        <v>256</v>
      </c>
    </row>
    <row r="79" spans="2:14" x14ac:dyDescent="0.25">
      <c r="B79" s="9">
        <v>70</v>
      </c>
      <c r="C79" s="16" t="s">
        <v>42</v>
      </c>
      <c r="D79" s="11"/>
      <c r="E79" s="11"/>
      <c r="F79" s="12" t="s">
        <v>257</v>
      </c>
      <c r="G79" s="12" t="s">
        <v>11</v>
      </c>
      <c r="H79" s="13" t="s">
        <v>258</v>
      </c>
      <c r="I79" s="12"/>
      <c r="J79" s="12"/>
      <c r="K79" s="12"/>
      <c r="L79" s="12"/>
      <c r="M79" s="12"/>
      <c r="N79" s="14" t="s">
        <v>259</v>
      </c>
    </row>
    <row r="80" spans="2:14" x14ac:dyDescent="0.25">
      <c r="B80" s="9">
        <v>71</v>
      </c>
      <c r="C80" s="10" t="s">
        <v>22</v>
      </c>
      <c r="D80" s="11" t="s">
        <v>260</v>
      </c>
      <c r="E80" s="12" t="s">
        <v>261</v>
      </c>
      <c r="F80" s="12" t="s">
        <v>262</v>
      </c>
      <c r="G80" s="12" t="s">
        <v>11</v>
      </c>
      <c r="H80" s="13" t="s">
        <v>263</v>
      </c>
      <c r="I80" s="12"/>
      <c r="J80" s="12"/>
      <c r="K80" s="12"/>
      <c r="L80" s="12"/>
      <c r="M80" s="12"/>
      <c r="N80" s="14" t="s">
        <v>264</v>
      </c>
    </row>
    <row r="81" spans="2:14" x14ac:dyDescent="0.25">
      <c r="B81" s="9">
        <v>72</v>
      </c>
      <c r="C81" s="10" t="s">
        <v>22</v>
      </c>
      <c r="D81" s="11"/>
      <c r="E81" s="12" t="s">
        <v>265</v>
      </c>
      <c r="F81" s="12" t="s">
        <v>266</v>
      </c>
      <c r="G81" s="12" t="s">
        <v>11</v>
      </c>
      <c r="H81" s="13" t="s">
        <v>267</v>
      </c>
      <c r="I81" s="12"/>
      <c r="J81" s="12"/>
      <c r="K81" s="12"/>
      <c r="L81" s="12"/>
      <c r="M81" s="12"/>
      <c r="N81" s="14" t="s">
        <v>268</v>
      </c>
    </row>
    <row r="82" spans="2:14" x14ac:dyDescent="0.25">
      <c r="B82" s="9">
        <v>73</v>
      </c>
      <c r="C82" s="15" t="s">
        <v>30</v>
      </c>
      <c r="D82" s="11"/>
      <c r="E82" s="12" t="s">
        <v>261</v>
      </c>
      <c r="F82" s="12" t="s">
        <v>269</v>
      </c>
      <c r="G82" s="12" t="s">
        <v>11</v>
      </c>
      <c r="H82" s="13" t="s">
        <v>270</v>
      </c>
      <c r="I82" s="12"/>
      <c r="J82" s="12"/>
      <c r="K82" s="12"/>
      <c r="L82" s="12"/>
      <c r="M82" s="12"/>
      <c r="N82" s="14" t="s">
        <v>271</v>
      </c>
    </row>
    <row r="83" spans="2:14" x14ac:dyDescent="0.25">
      <c r="B83" s="9">
        <v>74</v>
      </c>
      <c r="C83" s="15" t="s">
        <v>30</v>
      </c>
      <c r="D83" s="11"/>
      <c r="E83" s="11" t="s">
        <v>272</v>
      </c>
      <c r="F83" s="12" t="s">
        <v>273</v>
      </c>
      <c r="G83" s="12" t="s">
        <v>11</v>
      </c>
      <c r="H83" s="13" t="s">
        <v>274</v>
      </c>
      <c r="I83" s="12"/>
      <c r="J83" s="12"/>
      <c r="K83" s="12"/>
      <c r="L83" s="12"/>
      <c r="M83" s="12"/>
      <c r="N83" s="14" t="s">
        <v>275</v>
      </c>
    </row>
    <row r="84" spans="2:14" x14ac:dyDescent="0.25">
      <c r="B84" s="9">
        <v>75</v>
      </c>
      <c r="C84" s="15" t="s">
        <v>30</v>
      </c>
      <c r="D84" s="11"/>
      <c r="E84" s="11"/>
      <c r="F84" s="12" t="s">
        <v>276</v>
      </c>
      <c r="G84" s="12" t="s">
        <v>11</v>
      </c>
      <c r="H84" s="13" t="s">
        <v>277</v>
      </c>
      <c r="I84" s="12"/>
      <c r="J84" s="12"/>
      <c r="K84" s="12"/>
      <c r="L84" s="12"/>
      <c r="M84" s="12"/>
      <c r="N84" s="14" t="s">
        <v>278</v>
      </c>
    </row>
    <row r="85" spans="2:14" x14ac:dyDescent="0.25">
      <c r="B85" s="9">
        <v>76</v>
      </c>
      <c r="C85" s="15" t="s">
        <v>30</v>
      </c>
      <c r="D85" s="11"/>
      <c r="E85" s="11"/>
      <c r="F85" s="12" t="s">
        <v>279</v>
      </c>
      <c r="G85" s="12" t="s">
        <v>11</v>
      </c>
      <c r="H85" s="13" t="s">
        <v>280</v>
      </c>
      <c r="I85" s="12"/>
      <c r="J85" s="12"/>
      <c r="K85" s="12"/>
      <c r="L85" s="12"/>
      <c r="M85" s="12"/>
      <c r="N85" s="14" t="s">
        <v>281</v>
      </c>
    </row>
    <row r="86" spans="2:14" x14ac:dyDescent="0.25">
      <c r="B86" s="9">
        <v>77</v>
      </c>
      <c r="C86" s="15" t="s">
        <v>30</v>
      </c>
      <c r="D86" s="11"/>
      <c r="E86" s="12" t="s">
        <v>265</v>
      </c>
      <c r="F86" s="12" t="s">
        <v>282</v>
      </c>
      <c r="G86" s="12" t="s">
        <v>11</v>
      </c>
      <c r="H86" s="13" t="s">
        <v>283</v>
      </c>
      <c r="I86" s="12"/>
      <c r="J86" s="12"/>
      <c r="K86" s="12"/>
      <c r="L86" s="12"/>
      <c r="M86" s="12"/>
      <c r="N86" s="14" t="s">
        <v>284</v>
      </c>
    </row>
    <row r="87" spans="2:14" x14ac:dyDescent="0.25">
      <c r="B87" s="9">
        <v>78</v>
      </c>
      <c r="C87" s="15" t="s">
        <v>30</v>
      </c>
      <c r="D87" s="11"/>
      <c r="E87" s="12" t="s">
        <v>261</v>
      </c>
      <c r="F87" s="12" t="s">
        <v>285</v>
      </c>
      <c r="G87" s="12" t="s">
        <v>11</v>
      </c>
      <c r="H87" s="13" t="s">
        <v>286</v>
      </c>
      <c r="I87" s="12"/>
      <c r="J87" s="12"/>
      <c r="K87" s="12"/>
      <c r="L87" s="12"/>
      <c r="M87" s="12"/>
      <c r="N87" s="14" t="s">
        <v>287</v>
      </c>
    </row>
    <row r="88" spans="2:14" x14ac:dyDescent="0.25">
      <c r="B88" s="9">
        <v>79</v>
      </c>
      <c r="C88" s="16" t="s">
        <v>42</v>
      </c>
      <c r="D88" s="11"/>
      <c r="E88" s="12" t="s">
        <v>265</v>
      </c>
      <c r="F88" s="12" t="s">
        <v>288</v>
      </c>
      <c r="G88" s="12" t="s">
        <v>11</v>
      </c>
      <c r="H88" s="13" t="s">
        <v>289</v>
      </c>
      <c r="I88" s="12"/>
      <c r="J88" s="12"/>
      <c r="K88" s="12"/>
      <c r="L88" s="12"/>
      <c r="M88" s="12"/>
      <c r="N88" s="14" t="s">
        <v>290</v>
      </c>
    </row>
    <row r="89" spans="2:14" x14ac:dyDescent="0.25">
      <c r="B89" s="9">
        <v>80</v>
      </c>
      <c r="C89" s="16" t="s">
        <v>42</v>
      </c>
      <c r="D89" s="11"/>
      <c r="E89" s="11" t="s">
        <v>261</v>
      </c>
      <c r="F89" s="12" t="s">
        <v>200</v>
      </c>
      <c r="G89" s="12" t="s">
        <v>11</v>
      </c>
      <c r="H89" s="13" t="s">
        <v>291</v>
      </c>
      <c r="I89" s="12"/>
      <c r="J89" s="12"/>
      <c r="K89" s="12"/>
      <c r="L89" s="12"/>
      <c r="M89" s="12"/>
      <c r="N89" s="14" t="s">
        <v>253</v>
      </c>
    </row>
    <row r="90" spans="2:14" x14ac:dyDescent="0.25">
      <c r="B90" s="9">
        <v>81</v>
      </c>
      <c r="C90" s="16" t="s">
        <v>42</v>
      </c>
      <c r="D90" s="11"/>
      <c r="E90" s="11"/>
      <c r="F90" s="12" t="s">
        <v>292</v>
      </c>
      <c r="G90" s="12" t="s">
        <v>11</v>
      </c>
      <c r="H90" s="13" t="s">
        <v>293</v>
      </c>
      <c r="I90" s="12"/>
      <c r="J90" s="12"/>
      <c r="K90" s="12"/>
      <c r="L90" s="12"/>
      <c r="M90" s="12"/>
      <c r="N90" s="14" t="s">
        <v>294</v>
      </c>
    </row>
    <row r="91" spans="2:14" x14ac:dyDescent="0.25">
      <c r="B91" s="9">
        <v>82</v>
      </c>
      <c r="C91" s="16" t="s">
        <v>42</v>
      </c>
      <c r="D91" s="11"/>
      <c r="E91" s="12" t="s">
        <v>265</v>
      </c>
      <c r="F91" s="12" t="s">
        <v>295</v>
      </c>
      <c r="G91" s="12" t="s">
        <v>11</v>
      </c>
      <c r="H91" s="13" t="s">
        <v>296</v>
      </c>
      <c r="I91" s="12"/>
      <c r="J91" s="12"/>
      <c r="K91" s="12"/>
      <c r="L91" s="12"/>
      <c r="M91" s="12"/>
      <c r="N91" s="14" t="s">
        <v>297</v>
      </c>
    </row>
    <row r="92" spans="2:14" x14ac:dyDescent="0.25">
      <c r="B92" s="9">
        <v>83</v>
      </c>
      <c r="C92" s="10" t="s">
        <v>22</v>
      </c>
      <c r="D92" s="11" t="s">
        <v>298</v>
      </c>
      <c r="E92" s="12" t="s">
        <v>285</v>
      </c>
      <c r="F92" s="12" t="s">
        <v>299</v>
      </c>
      <c r="G92" s="12" t="s">
        <v>11</v>
      </c>
      <c r="H92" s="13" t="s">
        <v>300</v>
      </c>
      <c r="I92" s="12"/>
      <c r="J92" s="12"/>
      <c r="K92" s="12"/>
      <c r="L92" s="12"/>
      <c r="M92" s="12"/>
      <c r="N92" s="14" t="s">
        <v>301</v>
      </c>
    </row>
    <row r="93" spans="2:14" x14ac:dyDescent="0.25">
      <c r="B93" s="9">
        <v>84</v>
      </c>
      <c r="C93" s="15" t="s">
        <v>30</v>
      </c>
      <c r="D93" s="11"/>
      <c r="E93" s="11" t="s">
        <v>302</v>
      </c>
      <c r="F93" s="12" t="s">
        <v>303</v>
      </c>
      <c r="G93" s="12" t="s">
        <v>11</v>
      </c>
      <c r="H93" s="13" t="s">
        <v>304</v>
      </c>
      <c r="I93" s="12"/>
      <c r="J93" s="12"/>
      <c r="K93" s="12"/>
      <c r="L93" s="12"/>
      <c r="M93" s="12"/>
      <c r="N93" s="14" t="s">
        <v>305</v>
      </c>
    </row>
    <row r="94" spans="2:14" x14ac:dyDescent="0.25">
      <c r="B94" s="9">
        <v>85</v>
      </c>
      <c r="C94" s="15" t="s">
        <v>30</v>
      </c>
      <c r="D94" s="11"/>
      <c r="E94" s="11"/>
      <c r="F94" s="12" t="s">
        <v>306</v>
      </c>
      <c r="G94" s="12" t="s">
        <v>11</v>
      </c>
      <c r="H94" s="13" t="s">
        <v>307</v>
      </c>
      <c r="I94" s="12"/>
      <c r="J94" s="12"/>
      <c r="K94" s="12"/>
      <c r="L94" s="12"/>
      <c r="M94" s="12"/>
      <c r="N94" s="14" t="s">
        <v>308</v>
      </c>
    </row>
    <row r="95" spans="2:14" x14ac:dyDescent="0.25">
      <c r="B95" s="9">
        <v>86</v>
      </c>
      <c r="C95" s="15" t="s">
        <v>30</v>
      </c>
      <c r="D95" s="11"/>
      <c r="E95" s="11" t="s">
        <v>309</v>
      </c>
      <c r="F95" s="12" t="s">
        <v>310</v>
      </c>
      <c r="G95" s="12" t="s">
        <v>11</v>
      </c>
      <c r="H95" s="13" t="s">
        <v>311</v>
      </c>
      <c r="I95" s="12"/>
      <c r="J95" s="12"/>
      <c r="K95" s="12"/>
      <c r="L95" s="12"/>
      <c r="M95" s="12"/>
      <c r="N95" s="14" t="s">
        <v>312</v>
      </c>
    </row>
    <row r="96" spans="2:14" x14ac:dyDescent="0.25">
      <c r="B96" s="9">
        <v>87</v>
      </c>
      <c r="C96" s="15" t="s">
        <v>30</v>
      </c>
      <c r="D96" s="11"/>
      <c r="E96" s="11"/>
      <c r="F96" s="12" t="s">
        <v>313</v>
      </c>
      <c r="G96" s="12" t="s">
        <v>11</v>
      </c>
      <c r="H96" s="13" t="s">
        <v>314</v>
      </c>
      <c r="I96" s="12"/>
      <c r="J96" s="12"/>
      <c r="K96" s="12"/>
      <c r="L96" s="12"/>
      <c r="M96" s="12"/>
      <c r="N96" s="14" t="s">
        <v>315</v>
      </c>
    </row>
    <row r="97" spans="2:14" x14ac:dyDescent="0.25">
      <c r="B97" s="9">
        <v>88</v>
      </c>
      <c r="C97" s="10" t="s">
        <v>22</v>
      </c>
      <c r="D97" s="11"/>
      <c r="E97" s="11"/>
      <c r="F97" s="11" t="s">
        <v>316</v>
      </c>
      <c r="G97" s="12" t="s">
        <v>317</v>
      </c>
      <c r="H97" s="13" t="s">
        <v>318</v>
      </c>
      <c r="I97" s="12"/>
      <c r="J97" s="12"/>
      <c r="K97" s="12"/>
      <c r="L97" s="12"/>
      <c r="M97" s="12"/>
      <c r="N97" s="14" t="s">
        <v>319</v>
      </c>
    </row>
    <row r="98" spans="2:14" x14ac:dyDescent="0.25">
      <c r="B98" s="9">
        <v>89</v>
      </c>
      <c r="C98" s="10" t="s">
        <v>22</v>
      </c>
      <c r="D98" s="11"/>
      <c r="E98" s="11"/>
      <c r="F98" s="11"/>
      <c r="G98" s="12" t="s">
        <v>11</v>
      </c>
      <c r="H98" s="13" t="s">
        <v>320</v>
      </c>
      <c r="I98" s="12"/>
      <c r="J98" s="12"/>
      <c r="K98" s="12"/>
      <c r="L98" s="12"/>
      <c r="M98" s="12"/>
      <c r="N98" s="14" t="s">
        <v>321</v>
      </c>
    </row>
    <row r="99" spans="2:14" x14ac:dyDescent="0.25">
      <c r="B99" s="9">
        <v>90</v>
      </c>
      <c r="C99" s="15" t="s">
        <v>30</v>
      </c>
      <c r="D99" s="11"/>
      <c r="E99" s="11"/>
      <c r="F99" s="12" t="s">
        <v>322</v>
      </c>
      <c r="G99" s="12" t="s">
        <v>11</v>
      </c>
      <c r="H99" s="13" t="s">
        <v>323</v>
      </c>
      <c r="I99" s="12"/>
      <c r="J99" s="12"/>
      <c r="K99" s="12"/>
      <c r="L99" s="12"/>
      <c r="M99" s="12"/>
      <c r="N99" s="14" t="s">
        <v>324</v>
      </c>
    </row>
    <row r="100" spans="2:14" x14ac:dyDescent="0.25">
      <c r="B100" s="9">
        <v>91</v>
      </c>
      <c r="C100" s="16" t="s">
        <v>42</v>
      </c>
      <c r="D100" s="11"/>
      <c r="E100" s="11"/>
      <c r="F100" s="12" t="s">
        <v>325</v>
      </c>
      <c r="G100" s="12" t="s">
        <v>11</v>
      </c>
      <c r="H100" s="13" t="s">
        <v>326</v>
      </c>
      <c r="I100" s="12"/>
      <c r="J100" s="12"/>
      <c r="K100" s="12"/>
      <c r="L100" s="12"/>
      <c r="M100" s="12"/>
      <c r="N100" s="14" t="s">
        <v>327</v>
      </c>
    </row>
    <row r="101" spans="2:14" x14ac:dyDescent="0.25">
      <c r="B101" s="9">
        <v>92</v>
      </c>
      <c r="C101" s="15" t="s">
        <v>30</v>
      </c>
      <c r="D101" s="11"/>
      <c r="E101" s="11"/>
      <c r="F101" s="12" t="s">
        <v>328</v>
      </c>
      <c r="G101" s="12" t="s">
        <v>11</v>
      </c>
      <c r="H101" s="13" t="s">
        <v>329</v>
      </c>
      <c r="I101" s="12"/>
      <c r="J101" s="12"/>
      <c r="K101" s="12"/>
      <c r="L101" s="12"/>
      <c r="M101" s="12"/>
      <c r="N101" s="14" t="s">
        <v>330</v>
      </c>
    </row>
    <row r="102" spans="2:14" x14ac:dyDescent="0.25">
      <c r="B102" s="9">
        <v>93</v>
      </c>
      <c r="C102" s="15" t="s">
        <v>30</v>
      </c>
      <c r="D102" s="11"/>
      <c r="E102" s="11" t="s">
        <v>302</v>
      </c>
      <c r="F102" s="12" t="s">
        <v>331</v>
      </c>
      <c r="G102" s="12" t="s">
        <v>11</v>
      </c>
      <c r="H102" s="13" t="s">
        <v>332</v>
      </c>
      <c r="I102" s="12"/>
      <c r="J102" s="12"/>
      <c r="K102" s="12"/>
      <c r="L102" s="12"/>
      <c r="M102" s="12"/>
      <c r="N102" s="14" t="s">
        <v>333</v>
      </c>
    </row>
    <row r="103" spans="2:14" x14ac:dyDescent="0.25">
      <c r="B103" s="9">
        <v>94</v>
      </c>
      <c r="C103" s="15" t="s">
        <v>30</v>
      </c>
      <c r="D103" s="11"/>
      <c r="E103" s="11"/>
      <c r="F103" s="12" t="s">
        <v>334</v>
      </c>
      <c r="G103" s="12" t="s">
        <v>11</v>
      </c>
      <c r="H103" s="13" t="s">
        <v>335</v>
      </c>
      <c r="I103" s="12"/>
      <c r="J103" s="12"/>
      <c r="K103" s="12"/>
      <c r="L103" s="12"/>
      <c r="M103" s="12"/>
      <c r="N103" s="14" t="s">
        <v>336</v>
      </c>
    </row>
    <row r="104" spans="2:14" x14ac:dyDescent="0.25">
      <c r="B104" s="9">
        <v>95</v>
      </c>
      <c r="C104" s="16" t="s">
        <v>42</v>
      </c>
      <c r="D104" s="11"/>
      <c r="E104" s="11" t="s">
        <v>200</v>
      </c>
      <c r="F104" s="12" t="s">
        <v>337</v>
      </c>
      <c r="G104" s="12" t="s">
        <v>11</v>
      </c>
      <c r="H104" s="13" t="s">
        <v>338</v>
      </c>
      <c r="I104" s="12"/>
      <c r="J104" s="12"/>
      <c r="K104" s="12"/>
      <c r="L104" s="12"/>
      <c r="M104" s="12"/>
      <c r="N104" s="14" t="s">
        <v>253</v>
      </c>
    </row>
    <row r="105" spans="2:14" x14ac:dyDescent="0.25">
      <c r="B105" s="9">
        <v>96</v>
      </c>
      <c r="C105" s="16" t="s">
        <v>42</v>
      </c>
      <c r="D105" s="11"/>
      <c r="E105" s="11"/>
      <c r="F105" s="12" t="s">
        <v>339</v>
      </c>
      <c r="G105" s="12" t="s">
        <v>11</v>
      </c>
      <c r="H105" s="13" t="s">
        <v>340</v>
      </c>
      <c r="I105" s="12"/>
      <c r="J105" s="12"/>
      <c r="K105" s="12"/>
      <c r="L105" s="12"/>
      <c r="M105" s="12"/>
      <c r="N105" s="14" t="s">
        <v>206</v>
      </c>
    </row>
    <row r="106" spans="2:14" x14ac:dyDescent="0.25">
      <c r="B106" s="9">
        <v>97</v>
      </c>
      <c r="C106" s="16" t="s">
        <v>42</v>
      </c>
      <c r="D106" s="11"/>
      <c r="E106" s="12" t="s">
        <v>309</v>
      </c>
      <c r="F106" s="12" t="s">
        <v>341</v>
      </c>
      <c r="G106" s="12" t="s">
        <v>11</v>
      </c>
      <c r="H106" s="13" t="s">
        <v>342</v>
      </c>
      <c r="I106" s="12"/>
      <c r="J106" s="12"/>
      <c r="K106" s="12"/>
      <c r="L106" s="12"/>
      <c r="M106" s="12"/>
      <c r="N106" s="14" t="s">
        <v>343</v>
      </c>
    </row>
    <row r="107" spans="2:14" x14ac:dyDescent="0.25">
      <c r="B107" s="9">
        <v>98</v>
      </c>
      <c r="C107" s="16" t="s">
        <v>42</v>
      </c>
      <c r="D107" s="11"/>
      <c r="E107" s="12" t="s">
        <v>344</v>
      </c>
      <c r="F107" s="12" t="s">
        <v>345</v>
      </c>
      <c r="G107" s="12" t="s">
        <v>11</v>
      </c>
      <c r="H107" s="13" t="s">
        <v>346</v>
      </c>
      <c r="I107" s="12"/>
      <c r="J107" s="12"/>
      <c r="K107" s="12"/>
      <c r="L107" s="12"/>
      <c r="M107" s="12"/>
      <c r="N107" s="14" t="s">
        <v>297</v>
      </c>
    </row>
    <row r="108" spans="2:14" x14ac:dyDescent="0.25">
      <c r="B108" s="9">
        <v>99</v>
      </c>
      <c r="C108" s="10" t="s">
        <v>22</v>
      </c>
      <c r="D108" s="11" t="s">
        <v>347</v>
      </c>
      <c r="E108" s="11" t="s">
        <v>348</v>
      </c>
      <c r="F108" s="12" t="s">
        <v>349</v>
      </c>
      <c r="G108" s="12" t="s">
        <v>11</v>
      </c>
      <c r="H108" s="13" t="s">
        <v>350</v>
      </c>
      <c r="I108" s="12"/>
      <c r="J108" s="12"/>
      <c r="K108" s="12"/>
      <c r="L108" s="12"/>
      <c r="M108" s="12"/>
      <c r="N108" s="14" t="s">
        <v>351</v>
      </c>
    </row>
    <row r="109" spans="2:14" x14ac:dyDescent="0.25">
      <c r="B109" s="9">
        <v>100</v>
      </c>
      <c r="C109" s="10" t="s">
        <v>22</v>
      </c>
      <c r="D109" s="11"/>
      <c r="E109" s="11"/>
      <c r="F109" s="12" t="s">
        <v>352</v>
      </c>
      <c r="G109" s="12" t="s">
        <v>11</v>
      </c>
      <c r="H109" s="13" t="s">
        <v>353</v>
      </c>
      <c r="I109" s="12"/>
      <c r="J109" s="12"/>
      <c r="K109" s="12"/>
      <c r="L109" s="12"/>
      <c r="M109" s="12"/>
      <c r="N109" s="14" t="s">
        <v>354</v>
      </c>
    </row>
    <row r="110" spans="2:14" x14ac:dyDescent="0.25">
      <c r="B110" s="9">
        <v>101</v>
      </c>
      <c r="C110" s="15" t="s">
        <v>30</v>
      </c>
      <c r="D110" s="11"/>
      <c r="E110" s="12" t="s">
        <v>355</v>
      </c>
      <c r="F110" s="12" t="s">
        <v>356</v>
      </c>
      <c r="G110" s="12" t="s">
        <v>11</v>
      </c>
      <c r="H110" s="13" t="s">
        <v>357</v>
      </c>
      <c r="I110" s="12"/>
      <c r="J110" s="12"/>
      <c r="K110" s="12"/>
      <c r="L110" s="12"/>
      <c r="M110" s="12"/>
      <c r="N110" s="14" t="s">
        <v>358</v>
      </c>
    </row>
    <row r="111" spans="2:14" x14ac:dyDescent="0.25">
      <c r="B111" s="9">
        <v>102</v>
      </c>
      <c r="C111" s="15" t="s">
        <v>30</v>
      </c>
      <c r="D111" s="11"/>
      <c r="E111" s="12" t="s">
        <v>359</v>
      </c>
      <c r="F111" s="12" t="s">
        <v>360</v>
      </c>
      <c r="G111" s="12" t="s">
        <v>11</v>
      </c>
      <c r="H111" s="13" t="s">
        <v>361</v>
      </c>
      <c r="I111" s="12"/>
      <c r="J111" s="12"/>
      <c r="K111" s="12"/>
      <c r="L111" s="12"/>
      <c r="M111" s="12"/>
      <c r="N111" s="14" t="s">
        <v>362</v>
      </c>
    </row>
    <row r="112" spans="2:14" x14ac:dyDescent="0.25">
      <c r="B112" s="9">
        <v>103</v>
      </c>
      <c r="C112" s="15" t="s">
        <v>30</v>
      </c>
      <c r="D112" s="11"/>
      <c r="E112" s="11" t="s">
        <v>363</v>
      </c>
      <c r="F112" s="12" t="s">
        <v>364</v>
      </c>
      <c r="G112" s="12" t="s">
        <v>11</v>
      </c>
      <c r="H112" s="13" t="s">
        <v>365</v>
      </c>
      <c r="I112" s="12"/>
      <c r="J112" s="12"/>
      <c r="K112" s="12"/>
      <c r="L112" s="12"/>
      <c r="M112" s="12"/>
      <c r="N112" s="14" t="s">
        <v>366</v>
      </c>
    </row>
    <row r="113" spans="2:14" x14ac:dyDescent="0.25">
      <c r="B113" s="9">
        <v>104</v>
      </c>
      <c r="C113" s="16" t="s">
        <v>42</v>
      </c>
      <c r="D113" s="11"/>
      <c r="E113" s="11"/>
      <c r="F113" s="12" t="s">
        <v>367</v>
      </c>
      <c r="G113" s="12" t="s">
        <v>11</v>
      </c>
      <c r="H113" s="13" t="s">
        <v>368</v>
      </c>
      <c r="I113" s="12"/>
      <c r="J113" s="12"/>
      <c r="K113" s="12"/>
      <c r="L113" s="12"/>
      <c r="M113" s="12"/>
      <c r="N113" s="14" t="s">
        <v>369</v>
      </c>
    </row>
    <row r="114" spans="2:14" x14ac:dyDescent="0.25">
      <c r="B114" s="9">
        <v>105</v>
      </c>
      <c r="C114" s="16" t="s">
        <v>42</v>
      </c>
      <c r="D114" s="11"/>
      <c r="E114" s="12" t="s">
        <v>348</v>
      </c>
      <c r="F114" s="12" t="s">
        <v>370</v>
      </c>
      <c r="G114" s="12" t="s">
        <v>11</v>
      </c>
      <c r="H114" s="13" t="s">
        <v>371</v>
      </c>
      <c r="I114" s="12"/>
      <c r="J114" s="12"/>
      <c r="K114" s="12"/>
      <c r="L114" s="12"/>
      <c r="M114" s="12"/>
      <c r="N114" s="14" t="s">
        <v>372</v>
      </c>
    </row>
    <row r="115" spans="2:14" x14ac:dyDescent="0.25">
      <c r="B115" s="9">
        <v>106</v>
      </c>
      <c r="C115" s="16" t="s">
        <v>42</v>
      </c>
      <c r="D115" s="11"/>
      <c r="E115" s="12" t="s">
        <v>359</v>
      </c>
      <c r="F115" s="12" t="s">
        <v>373</v>
      </c>
      <c r="G115" s="12" t="s">
        <v>11</v>
      </c>
      <c r="H115" s="13" t="s">
        <v>374</v>
      </c>
      <c r="I115" s="12"/>
      <c r="J115" s="12"/>
      <c r="K115" s="12"/>
      <c r="L115" s="12"/>
      <c r="M115" s="12"/>
      <c r="N115" s="14" t="s">
        <v>375</v>
      </c>
    </row>
    <row r="116" spans="2:14" x14ac:dyDescent="0.25">
      <c r="B116" s="9">
        <v>107</v>
      </c>
      <c r="C116" s="16" t="s">
        <v>42</v>
      </c>
      <c r="D116" s="11"/>
      <c r="E116" s="11" t="s">
        <v>355</v>
      </c>
      <c r="F116" s="12" t="s">
        <v>376</v>
      </c>
      <c r="G116" s="12" t="s">
        <v>11</v>
      </c>
      <c r="H116" s="13" t="s">
        <v>377</v>
      </c>
      <c r="I116" s="12"/>
      <c r="J116" s="12"/>
      <c r="K116" s="12"/>
      <c r="L116" s="12"/>
      <c r="M116" s="12"/>
      <c r="N116" s="14" t="s">
        <v>378</v>
      </c>
    </row>
    <row r="117" spans="2:14" x14ac:dyDescent="0.25">
      <c r="B117" s="9">
        <v>108</v>
      </c>
      <c r="C117" s="16" t="s">
        <v>42</v>
      </c>
      <c r="D117" s="11"/>
      <c r="E117" s="11"/>
      <c r="F117" s="12" t="s">
        <v>379</v>
      </c>
      <c r="G117" s="12" t="s">
        <v>11</v>
      </c>
      <c r="H117" s="13" t="s">
        <v>380</v>
      </c>
      <c r="I117" s="12"/>
      <c r="J117" s="12"/>
      <c r="K117" s="12"/>
      <c r="L117" s="12"/>
      <c r="M117" s="12"/>
      <c r="N117" s="14" t="s">
        <v>381</v>
      </c>
    </row>
    <row r="118" spans="2:14" x14ac:dyDescent="0.25">
      <c r="B118" s="9">
        <v>109</v>
      </c>
      <c r="C118" s="10" t="s">
        <v>22</v>
      </c>
      <c r="D118" s="11" t="s">
        <v>382</v>
      </c>
      <c r="E118" s="12" t="s">
        <v>383</v>
      </c>
      <c r="F118" s="12" t="s">
        <v>384</v>
      </c>
      <c r="G118" s="12" t="s">
        <v>11</v>
      </c>
      <c r="H118" s="13" t="s">
        <v>385</v>
      </c>
      <c r="I118" s="12"/>
      <c r="J118" s="12"/>
      <c r="K118" s="12"/>
      <c r="L118" s="12"/>
      <c r="M118" s="12"/>
      <c r="N118" s="14" t="s">
        <v>386</v>
      </c>
    </row>
    <row r="119" spans="2:14" x14ac:dyDescent="0.25">
      <c r="B119" s="9">
        <v>110</v>
      </c>
      <c r="C119" s="10" t="s">
        <v>22</v>
      </c>
      <c r="D119" s="11"/>
      <c r="E119" s="12" t="s">
        <v>387</v>
      </c>
      <c r="F119" s="12" t="s">
        <v>388</v>
      </c>
      <c r="G119" s="12" t="s">
        <v>11</v>
      </c>
      <c r="H119" s="13" t="s">
        <v>389</v>
      </c>
      <c r="I119" s="12"/>
      <c r="J119" s="12"/>
      <c r="K119" s="12"/>
      <c r="L119" s="12"/>
      <c r="M119" s="12"/>
      <c r="N119" s="14" t="s">
        <v>390</v>
      </c>
    </row>
    <row r="120" spans="2:14" x14ac:dyDescent="0.25">
      <c r="B120" s="9">
        <v>111</v>
      </c>
      <c r="C120" s="15" t="s">
        <v>30</v>
      </c>
      <c r="D120" s="11"/>
      <c r="E120" s="11" t="s">
        <v>383</v>
      </c>
      <c r="F120" s="12" t="s">
        <v>391</v>
      </c>
      <c r="G120" s="12" t="s">
        <v>11</v>
      </c>
      <c r="H120" s="13" t="s">
        <v>392</v>
      </c>
      <c r="I120" s="12"/>
      <c r="J120" s="12"/>
      <c r="K120" s="12"/>
      <c r="L120" s="12"/>
      <c r="M120" s="12"/>
      <c r="N120" s="14" t="s">
        <v>393</v>
      </c>
    </row>
    <row r="121" spans="2:14" x14ac:dyDescent="0.25">
      <c r="B121" s="9">
        <v>112</v>
      </c>
      <c r="C121" s="15" t="s">
        <v>30</v>
      </c>
      <c r="D121" s="11"/>
      <c r="E121" s="11"/>
      <c r="F121" s="12" t="s">
        <v>394</v>
      </c>
      <c r="G121" s="12" t="s">
        <v>11</v>
      </c>
      <c r="H121" s="13" t="s">
        <v>395</v>
      </c>
      <c r="I121" s="12"/>
      <c r="J121" s="12"/>
      <c r="K121" s="12"/>
      <c r="L121" s="12"/>
      <c r="M121" s="12"/>
      <c r="N121" s="14" t="s">
        <v>396</v>
      </c>
    </row>
    <row r="122" spans="2:14" x14ac:dyDescent="0.25">
      <c r="B122" s="9">
        <v>113</v>
      </c>
      <c r="C122" s="15" t="s">
        <v>30</v>
      </c>
      <c r="D122" s="11"/>
      <c r="E122" s="12" t="s">
        <v>387</v>
      </c>
      <c r="F122" s="12" t="s">
        <v>397</v>
      </c>
      <c r="G122" s="12" t="s">
        <v>11</v>
      </c>
      <c r="H122" s="13" t="s">
        <v>398</v>
      </c>
      <c r="I122" s="12"/>
      <c r="J122" s="12"/>
      <c r="K122" s="12"/>
      <c r="L122" s="12"/>
      <c r="M122" s="12"/>
      <c r="N122" s="14" t="s">
        <v>399</v>
      </c>
    </row>
    <row r="123" spans="2:14" x14ac:dyDescent="0.25">
      <c r="B123" s="9">
        <v>114</v>
      </c>
      <c r="C123" s="16" t="s">
        <v>42</v>
      </c>
      <c r="D123" s="11"/>
      <c r="E123" s="12" t="s">
        <v>383</v>
      </c>
      <c r="F123" s="12" t="s">
        <v>400</v>
      </c>
      <c r="G123" s="12" t="s">
        <v>11</v>
      </c>
      <c r="H123" s="13" t="s">
        <v>401</v>
      </c>
      <c r="I123" s="12"/>
      <c r="J123" s="12"/>
      <c r="K123" s="12"/>
      <c r="L123" s="12"/>
      <c r="M123" s="12"/>
      <c r="N123" s="14" t="s">
        <v>402</v>
      </c>
    </row>
  </sheetData>
  <mergeCells count="39">
    <mergeCell ref="D10:D17"/>
    <mergeCell ref="E10:E12"/>
    <mergeCell ref="E13:E16"/>
    <mergeCell ref="D18:D25"/>
    <mergeCell ref="D26:D41"/>
    <mergeCell ref="E27:E30"/>
    <mergeCell ref="E31:E32"/>
    <mergeCell ref="E33:E34"/>
    <mergeCell ref="F40:F41"/>
    <mergeCell ref="D42:D65"/>
    <mergeCell ref="E42:E43"/>
    <mergeCell ref="E44:E47"/>
    <mergeCell ref="F45:F46"/>
    <mergeCell ref="E48:E51"/>
    <mergeCell ref="E52:E59"/>
    <mergeCell ref="F55:F57"/>
    <mergeCell ref="E60:E61"/>
    <mergeCell ref="E62:E63"/>
    <mergeCell ref="E64:E65"/>
    <mergeCell ref="D66:D79"/>
    <mergeCell ref="E67:E68"/>
    <mergeCell ref="E69:E75"/>
    <mergeCell ref="E76:E77"/>
    <mergeCell ref="E78:E79"/>
    <mergeCell ref="D80:D91"/>
    <mergeCell ref="E83:E85"/>
    <mergeCell ref="E89:E90"/>
    <mergeCell ref="D92:D107"/>
    <mergeCell ref="E93:E94"/>
    <mergeCell ref="E95:E101"/>
    <mergeCell ref="F97:F98"/>
    <mergeCell ref="E102:E103"/>
    <mergeCell ref="E104:E105"/>
    <mergeCell ref="D108:D117"/>
    <mergeCell ref="E108:E109"/>
    <mergeCell ref="E112:E113"/>
    <mergeCell ref="E116:E117"/>
    <mergeCell ref="D118:D123"/>
    <mergeCell ref="E120:E121"/>
  </mergeCells>
  <dataValidations count="1">
    <dataValidation type="list" allowBlank="1" showErrorMessage="1" errorTitle="잘못된 값" error="Pass, Fail, N/T, Block 중 하나를 선택하세요." sqref="I10:J123">
      <formula1>"Pass,Fail,N/T,Block"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방꾸미기 이벤트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2026-05-14T01:33:50Z</dcterms:created>
  <dcterms:modified xsi:type="dcterms:W3CDTF">2026-05-14T01:33:50Z</dcterms:modified>
</cp:coreProperties>
</file>