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비용 테스트" state="visible" r:id="rId4"/>
  </sheets>
  <calcPr calcId="171027"/>
</workbook>
</file>

<file path=xl/sharedStrings.xml><?xml version="1.0" encoding="utf-8"?>
<sst xmlns="http://schemas.openxmlformats.org/spreadsheetml/2006/main" count="950" uniqueCount="541">
  <si>
    <t>(C)비용 테스트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</si>
  <si>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</si>
  <si>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</si>
  <si>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</si>
  <si>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</si>
  <si>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</si>
  <si>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</si>
  <si>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</si>
  <si>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</si>
  <si>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</si>
  <si>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</si>
  <si>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</si>
  <si>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</si>
  <si>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</si>
  <si>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</si>
  <si>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</si>
  <si>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</si>
  <si>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</si>
  <si>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</si>
  <si>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</si>
  <si>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</si>
  <si>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</si>
  <si>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</si>
  <si>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수면 시스템</t>
  </si>
  <si>
    <t>수면 걸림</t>
  </si>
  <si>
    <t>부여 조건</t>
  </si>
  <si>
    <t>오르골 작동</t>
  </si>
  <si>
    <t>오르골 작동 시, 범위 내 몬스터에게 수면 디버프가 부여된다.</t>
  </si>
  <si>
    <t>어드벤처 인게임 기믹_1.pdf (수면)</t>
  </si>
  <si>
    <t>달빛술사 공격</t>
  </si>
  <si>
    <t>달빛술사 쿠키의 일부 공격 적중 시, 대상 몬스터에게 수면 디버프가 부여된다.</t>
  </si>
  <si>
    <t>Critical</t>
  </si>
  <si>
    <t>적용 대상</t>
  </si>
  <si>
    <t>일반 몬스터 적용</t>
  </si>
  <si>
    <t>중간보스 및 보스를 제외한 모든 몬스터에게 수면이 적용된다.</t>
  </si>
  <si>
    <t>중간보스/보스 면역</t>
  </si>
  <si>
    <t>중간보스 및 보스에게는 수면 디버프가 적용되지 않는다.</t>
  </si>
  <si>
    <t>수면 중 상태</t>
  </si>
  <si>
    <t>행동 제어</t>
  </si>
  <si>
    <t>스킬 캔슬</t>
  </si>
  <si>
    <t>스킬 사용 중인 몬스터에 수면 적용 시, 사용 중인 스킬이 끊기고 BT 처음으로 돌아간다.</t>
  </si>
  <si>
    <t>행동 정지</t>
  </si>
  <si>
    <t>수면 상태의 몬스터는 시간 경과 또는 피격 전까지 아무런 행동을 하지 않는다.</t>
  </si>
  <si>
    <t>Normal</t>
  </si>
  <si>
    <t>전용 애니메이션</t>
  </si>
  <si>
    <t>Sleep 파라미터 재생</t>
  </si>
  <si>
    <t>수면 상태의 몬스터에게 Sleep 파라미터 기반 전용 애니메이션이 재생된다.</t>
  </si>
  <si>
    <t>Fly 몬스터 추락</t>
  </si>
  <si>
    <t>지상 강제 낙하</t>
  </si>
  <si>
    <t>Fly 속성 몬스터에게 수면 적용 시, 지상으로 추락된다.</t>
  </si>
  <si>
    <t>수면 해제</t>
  </si>
  <si>
    <t>시간 경과 해제</t>
  </si>
  <si>
    <t>자동 해제</t>
  </si>
  <si>
    <t>수면 적용 후 지정 시간(N초) 경과 시, 수면 디버프가 자동 해제된다.</t>
  </si>
  <si>
    <t>피격 해제</t>
  </si>
  <si>
    <t>일반 데미지</t>
  </si>
  <si>
    <t>수면 상태에서 일반 데미지 피격 시, 수면 디버프가 즉시 해제된다.</t>
  </si>
  <si>
    <t>틱뎀 예외</t>
  </si>
  <si>
    <t>수면 상태에서 틱뎀(DOT) 데미지 피격 시, 수면 디버프가 해제되지 않는다.</t>
  </si>
  <si>
    <t>수면 후 디버프</t>
  </si>
  <si>
    <t>달빛술사 피해 증가</t>
  </si>
  <si>
    <t>디버프 부여</t>
  </si>
  <si>
    <t>수면 해제 직후, 해당 몬스터에게 달빛술사 피해 증가 디버프가 부여된다.</t>
  </si>
  <si>
    <t>수면 이펙트</t>
  </si>
  <si>
    <t>머리 위 표시</t>
  </si>
  <si>
    <t>전용 이펙트 출력</t>
  </si>
  <si>
    <t>수면 상태 몬스터의 머리 위에 전용 수면 이펙트가 출력된다.</t>
  </si>
  <si>
    <t>동시 다수 적용</t>
  </si>
  <si>
    <t>다중 몬스터 출력</t>
  </si>
  <si>
    <t>여러 마리 몬스터가 동시에 수면에 빠진 경우, 각 몬스터 머리 위에 수면 이펙트가 모두 출력된다.</t>
  </si>
  <si>
    <t>오르골 기믹</t>
  </si>
  <si>
    <t>활성화 상태</t>
  </si>
  <si>
    <t>활성화 범위</t>
  </si>
  <si>
    <t>실선 출력</t>
  </si>
  <si>
    <t>오르골 활성화 상태 시, 오르골 중심으로부터 반지름 10.5m에 해당하는 실선이 출력된다.</t>
  </si>
  <si>
    <t>어드벤처 인게임 기믹_3.pdf (오르골)</t>
  </si>
  <si>
    <t>바닥 차오름 이펙트 출력</t>
  </si>
  <si>
    <t>오르골 활성화 상태 시, 오르골 중심에서 바닥 선까지 차오름 이펙트가 출력된다.</t>
  </si>
  <si>
    <t>게이지 차오름</t>
  </si>
  <si>
    <t>진입 시 차오름 시작</t>
  </si>
  <si>
    <t>플레이어가 실선 범위 내 진입 시, 약 6초에 걸쳐 게이지가 차오른다.</t>
  </si>
  <si>
    <t>적 사망 시 가속</t>
  </si>
  <si>
    <t>실선 범위 안에서 몬스터 사망 시, 게이지 차오름 시간이 0.5초 단축된다.</t>
  </si>
  <si>
    <t>범위 이탈 시 감소</t>
  </si>
  <si>
    <t>플레이어가 실선 범위 밖으로 이탈 시, 설정된 Delay 후 게이지가 감소되기 시작한다.</t>
  </si>
  <si>
    <t>차오름 색상 표현</t>
  </si>
  <si>
    <t>게이지 차오름 시 푸른/노란 빛, 줄어듦 시 붉은 빛으로 색상이 다르게 표현된다.</t>
  </si>
  <si>
    <t>활성화 애니메이션</t>
  </si>
  <si>
    <t>Loop 재생</t>
  </si>
  <si>
    <t>오르골 활성화 상태 시, 별과 우측 태엽이 천천히 회전하는 Loop 애니메이션이 재생된다.</t>
  </si>
  <si>
    <t>작동 상태</t>
  </si>
  <si>
    <t>작동 발동</t>
  </si>
  <si>
    <t>게이지 가득 참</t>
  </si>
  <si>
    <t>게이지가 가득 차면, 오르골이 활성화 상태에서 작동 상태로 전환된다.</t>
  </si>
  <si>
    <t>수면 디버프 부여</t>
  </si>
  <si>
    <t>범위 내 Enemy 적용</t>
  </si>
  <si>
    <t>오르골 작동 시, 정해진 영역 내 모든 Enemy에게 수면 디버프가 부여된다.</t>
  </si>
  <si>
    <t>작동 애니메이션</t>
  </si>
  <si>
    <t>재생</t>
  </si>
  <si>
    <t>오르골 작동 시, 별이 빠르게 회전하며 밝은 빛을 뿜는 약 0.8초 애니메이션이 재생된다.</t>
  </si>
  <si>
    <t>수면 퍼짐 이펙트</t>
  </si>
  <si>
    <t>이펙트 출력</t>
  </si>
  <si>
    <t>오르골 작동 시, 중앙으로부터 최대 반지름 8m까지 수면 퍼짐 이펙트가 출력된다.</t>
  </si>
  <si>
    <t>비활성화 상태</t>
  </si>
  <si>
    <t>실선 미표시</t>
  </si>
  <si>
    <t>범위 미출력</t>
  </si>
  <si>
    <t>오르골 비활성화 상태 시, 실선 범위가 출력되지 않는다.</t>
  </si>
  <si>
    <t>게이지 미동작</t>
  </si>
  <si>
    <t>차오름 미발생</t>
  </si>
  <si>
    <t>오르골 비활성화 상태에서 플레이어가 주변에 있어도 게이지가 차오르지 않는다.</t>
  </si>
  <si>
    <t>재활성화 대기</t>
  </si>
  <si>
    <t>지정 시간 후 재활성화</t>
  </si>
  <si>
    <t>오르골 비활성화 후 지정 시간(N초) 경과 시, 다시 활성화 상태로 전환된다.</t>
  </si>
  <si>
    <t>비활성화 애니메이션</t>
  </si>
  <si>
    <t>오르골 비활성화 시, 별이 멈춘 뒤 회색으로 변하고 모든 움직임이 정지하는 애니메이션이 재생된다.</t>
  </si>
  <si>
    <t>GmTile별 개별 설정</t>
  </si>
  <si>
    <t>비활성화 시간은 GmTile별로 따로 설정된 값이 적용된다.</t>
  </si>
  <si>
    <t>작동 시 실선 사라짐</t>
  </si>
  <si>
    <t>오르골 작동 상태로 전환 시, 바닥 실선이 사라진다.</t>
  </si>
  <si>
    <t>적 사망 시 순간 차오름 표현</t>
  </si>
  <si>
    <t>실선 범위 안에서 적 사망 시, 바닥 차오름 이펙트가 순간적으로 차오르는 연출이 출력된다.</t>
  </si>
  <si>
    <t>수면 보호막</t>
  </si>
  <si>
    <t>보호막 부여</t>
  </si>
  <si>
    <t>부여자 체력 비례</t>
  </si>
  <si>
    <t>보호막 양 산정</t>
  </si>
  <si>
    <t>수면 보호막 부여 시, 보호막 부여자의 최대 체력에 비례한 양으로 부여된다.</t>
  </si>
  <si>
    <t>어드벤처 인게임 기믹_2.pdf (수면 보호막)</t>
  </si>
  <si>
    <t>중첩 처리</t>
  </si>
  <si>
    <t>중첩 불가</t>
  </si>
  <si>
    <t>이미 수면 보호막을 보유한 몬스터는 추가 보호막이 중첩되지 않는다.</t>
  </si>
  <si>
    <t>보호막 해제</t>
  </si>
  <si>
    <t>수면 피격 시 소멸</t>
  </si>
  <si>
    <t>즉시 제거</t>
  </si>
  <si>
    <t>수면 보호막 보유 상태에서 수면 상태이상 적용 시, 보호막이 즉시 소멸된다.</t>
  </si>
  <si>
    <t>일반 피격 시 소멸</t>
  </si>
  <si>
    <t>피격 누적 시 제거</t>
  </si>
  <si>
    <t>수면 보호막 보유 몬스터에 일반 피격이 누적될 경우, 보호막이 소멸된다.</t>
  </si>
  <si>
    <t>적용 제외 대상</t>
  </si>
  <si>
    <t>중간보스 이상 미사용</t>
  </si>
  <si>
    <t>중간보스 이상의 몬스터에게는 수면 보호막이 부여되지 않는다.</t>
  </si>
  <si>
    <t>보호막 UI</t>
  </si>
  <si>
    <t>전용 UI 표시</t>
  </si>
  <si>
    <t>수면 보호막 보유 몬스터의 체력바 위에 전용 보호막 게이지 UI가 출력된다.</t>
  </si>
  <si>
    <t>이펙트 색상 매칭</t>
  </si>
  <si>
    <t>수면 보호막 UI는 이펙트와 어울리는 색상으로 표시된다.</t>
  </si>
  <si>
    <t>악몽 요정</t>
  </si>
  <si>
    <t>대기 패턴</t>
  </si>
  <si>
    <t>패트롤 및 인식</t>
  </si>
  <si>
    <t>랜덤 위치 패트롤</t>
  </si>
  <si>
    <t>플레이어 미발견 상태 시, 악몽 요정이 랜덤 위치를 패트롤한다.</t>
  </si>
  <si>
    <t>어드벤처 인게임 몬스터_1.pdf (악몽 요정)</t>
  </si>
  <si>
    <t>20m 인식</t>
  </si>
  <si>
    <t>악몽 요정의 플레이어 인식 거리는 20m 이상으로 적용된다.</t>
  </si>
  <si>
    <t>이동 패턴</t>
  </si>
  <si>
    <t>발견 시 "!" 표시</t>
  </si>
  <si>
    <t>출력</t>
  </si>
  <si>
    <t>악몽 요정이 플레이어 발견 시, 머리 위에 "!" 표시가 출력된 뒤 잠깐 대기한다.</t>
  </si>
  <si>
    <t>추적 이동</t>
  </si>
  <si>
    <t>이동속도 적용</t>
  </si>
  <si>
    <t>악몽 요정이 플레이어 추적 시, 이동속도 700이 적용된다.</t>
  </si>
  <si>
    <t>Skill_A (Sting)</t>
  </si>
  <si>
    <t>공격 시작 조건</t>
  </si>
  <si>
    <t>12m 진입</t>
  </si>
  <si>
    <t>플레이어가 12m 앞에 위치 시, 악몽 요정의 Sting 스킬이 시작된다.</t>
  </si>
  <si>
    <t>데미지 적용 범위</t>
  </si>
  <si>
    <t>1.5m 데미지</t>
  </si>
  <si>
    <t>악몽 요정 주변 영역 1.5m 안에 플레이어가 들어올 시, 지속 데미지가 적용된다.</t>
  </si>
  <si>
    <t>Stagger 중단 처리</t>
  </si>
  <si>
    <t>_Skill_A_03 전환 후 복귀</t>
  </si>
  <si>
    <t>Stagger 효과로 공격이 끊긴 경우, _Skill_A_03 애니로 전환된 후 플레이어를 응시한 뒤 _Skill_A_01로 복귀된다.</t>
  </si>
  <si>
    <t>배치</t>
  </si>
  <si>
    <t>전투 공간 배치 수</t>
  </si>
  <si>
    <t>악몽 요정은 전투 공간당 4~6마리 범위로 배치된다.</t>
  </si>
  <si>
    <t>악몽의 아가양</t>
  </si>
  <si>
    <t>플레이어 미발견 상태 시, 악몽의 아가양이 랜덤 위치를 통통 튀듯 패트롤한다.</t>
  </si>
  <si>
    <t>어드벤처 인게임 몬스터_2.pdf (악몽의 아가양)</t>
  </si>
  <si>
    <t>악몽의 아가양이 플레이어 발견 시, 머리 위에 "!" 표시가 출력된 뒤 잠깐 대기한다.</t>
  </si>
  <si>
    <t>악몽의 아가양 추적 이동 시, 기본 이동속도 600이 적용된다.</t>
  </si>
  <si>
    <t>Skill_A (Rush)</t>
  </si>
  <si>
    <t>15m 진입</t>
  </si>
  <si>
    <t>플레이어가 15m 앞에 위치 시, 악몽의 아가양의 돌진 공격이 시작된다.</t>
  </si>
  <si>
    <t>가속도 처리</t>
  </si>
  <si>
    <t>Curve 가속</t>
  </si>
  <si>
    <t>악몽의 아가양 돌진 시, 속도가 처음에는 느렸다가 2초에 걸쳐 점점 빨라지는 Curve 가속이 적용된다.</t>
  </si>
  <si>
    <t>타겟 지나침 정지</t>
  </si>
  <si>
    <t>90도 이상 이탈 시 정지</t>
  </si>
  <si>
    <t>돌진 중 진행방향 기준 타겟이 90도 이상 떨어진 경우, 지나친 것으로 판정되어 정지된다.</t>
  </si>
  <si>
    <t>공격 판정 소멸</t>
  </si>
  <si>
    <t>돌진으로 타겟을 한 번 지나친 후에는 공격 판정이 발생하지 않는다.</t>
  </si>
  <si>
    <t>낙사 지형 정지</t>
  </si>
  <si>
    <t>즉시 멈춤</t>
  </si>
  <si>
    <t>돌진 중 전방이 낙사 지형으로 감지될 시, 악몽의 아가양이 즉시 멈춘다.</t>
  </si>
  <si>
    <t>충돌 성공 애니</t>
  </si>
  <si>
    <t>돌진 중 쿠키/벽/상자 등 오브젝트에 충돌 시, _Skill_A_03 충돌 성공 애니가 재생된다.</t>
  </si>
  <si>
    <t>충돌 실패 애니</t>
  </si>
  <si>
    <t>돌진 중 어떤 오브젝트와도 충돌하지 않고 종료 시, _Skill_A_04 충돌 실패 애니가 재생된다.</t>
  </si>
  <si>
    <t>충돌 시 플레이어 밀림</t>
  </si>
  <si>
    <t>넉백 적용</t>
  </si>
  <si>
    <t>돌진이 플레이어에 적중 시, 플레이어가 뒤쪽으로 밀려나는 넉백이 적용된다.</t>
  </si>
  <si>
    <t>배치 및 면역</t>
  </si>
  <si>
    <t>공격 중 경직 면역</t>
  </si>
  <si>
    <t>악몽의 아가양이 공격을 실행하는 동안에는 경직에 면역된다.</t>
  </si>
  <si>
    <t>노래하는 인형</t>
  </si>
  <si>
    <t>대기 및 이동</t>
  </si>
  <si>
    <t>패트롤</t>
  </si>
  <si>
    <t>졸린 듯 배회</t>
  </si>
  <si>
    <t>노래하는 인형은 대기 상태에서 몽롱하게 졸린 듯이 주변을 배회한다.</t>
  </si>
  <si>
    <t>어드벤처 인게임 몬스터_3.pdf (노래하는 인형)</t>
  </si>
  <si>
    <t>노래하는 인형이 플레이어 발견 시, 머리 위에 "!" 표시가 출력된 뒤 잠깐 대기한다.</t>
  </si>
  <si>
    <t>타겟 이동</t>
  </si>
  <si>
    <t>가장 가까운 몬스터 추적</t>
  </si>
  <si>
    <t>노래하는 인형은 플레이어 발견 시, 가장 가까운 몬스터를 타겟으로 잡은 후 4m 거리까지 이동된다.</t>
  </si>
  <si>
    <t>Skill_A (노래)</t>
  </si>
  <si>
    <t>공격 시작 범위</t>
  </si>
  <si>
    <t>15m 진입 시 발동</t>
  </si>
  <si>
    <t>노래하는 인형은 플레이어가 공격 시작 범위 15m 안으로 들어오면 Skill_A 노래를 시작한다.</t>
  </si>
  <si>
    <t>보호막 부여 처리</t>
  </si>
  <si>
    <t>3회 부여</t>
  </si>
  <si>
    <t>Skill_A 시전 시, 3초간 노래를 부르며 처음 실행 시와 이후 1초 간격으로 총 3회 보호막이 부여된다.</t>
  </si>
  <si>
    <t>보호막 보유자 TargetList 제외</t>
  </si>
  <si>
    <t>이미 수면 보호막을 보유한 몬스터는 Skill_A의 TargetList에서 제외된다.</t>
  </si>
  <si>
    <t>9m 범위 적용</t>
  </si>
  <si>
    <t>Skill_A 시전 시, 자신을 중심으로 반지름 9m 안의 모든 몬스터에게 보호막이 부여된다.</t>
  </si>
  <si>
    <t>노래 애니메이션</t>
  </si>
  <si>
    <t>Skill_A 시전 시, 노래 준비(0.5초) → 노래 Loop(3초) → 노래 끝(0.5초) 애니메이션이 순차 재생된다.</t>
  </si>
  <si>
    <t>수면 및 기상</t>
  </si>
  <si>
    <t>수면 진입 자세</t>
  </si>
  <si>
    <t>엎어져 잠</t>
  </si>
  <si>
    <t>노래하는 인형은 수면에 걸리는 순간 엎어져서 자는 자세의 _Sleep_01 애니가 재생된다.</t>
  </si>
  <si>
    <t>기상 복귀 시간</t>
  </si>
  <si>
    <t>3초 소요</t>
  </si>
  <si>
    <t>노래하는 인형의 수면이 끝났을 때, 약 3초에 걸쳐 전투에 복귀된다.</t>
  </si>
  <si>
    <t>도망</t>
  </si>
  <si>
    <t>발동 조건</t>
  </si>
  <si>
    <t>주변 몬스터 0 + 2초 경과</t>
  </si>
  <si>
    <t>주위 다른 몬스터가 1마리도 없어진 후 약 2초가 지나면, 노래하는 인형의 도망이 시작된다.</t>
  </si>
  <si>
    <t>포탈 소환 및 Despawn</t>
  </si>
  <si>
    <t>3초간 사라짐</t>
  </si>
  <si>
    <t>도망 발동 시, 포탈을 소환한 후 약 3초에 걸쳐 화면에서 사라지며 Despawn 처리된다.</t>
  </si>
  <si>
    <t>도주 중 경직 면역</t>
  </si>
  <si>
    <t>면역 적용</t>
  </si>
  <si>
    <t>노래하는 인형이 도망 행동 중에는 경직에 면역된다.</t>
  </si>
  <si>
    <t>카운트 처리</t>
  </si>
  <si>
    <t>Enemy remains 포함 / 수집품 미포함</t>
  </si>
  <si>
    <t>Despawn 처리된 노래하는 인형은 Enemy remains 조건에는 포함되지만, 수집품 수에는 카운트되지 않는다.</t>
  </si>
  <si>
    <t>노래하는 인형은 전투 공간당 1~2마리 범위로 배치된다.</t>
  </si>
  <si>
    <t>악몽 램프</t>
  </si>
  <si>
    <t>랜덤 방향 응시</t>
  </si>
  <si>
    <t>악몽 램프는 플레이어 발견 전까지 이동 없이 랜덤한 방향을 바라본다.</t>
  </si>
  <si>
    <t>어드벤처 인게임 몬스터_4.pdf (악몽 램프)</t>
  </si>
  <si>
    <t>Skill_A (Area Attack)</t>
  </si>
  <si>
    <t>공격 발동</t>
  </si>
  <si>
    <t>인지 즉시 공격</t>
  </si>
  <si>
    <t>악몽 램프는 플레이어 인지 시작 시 즉시 Skill_A 공격을 시작한다.</t>
  </si>
  <si>
    <t>십자 패턴</t>
  </si>
  <si>
    <t>4방향 인디케이터 생성</t>
  </si>
  <si>
    <t>Skill_A 시전 시, 쿠키 발 아래 및 4방향으로 사각 인디케이터가 십자 형태로 생성된다.</t>
  </si>
  <si>
    <t>X자 회전 분기</t>
  </si>
  <si>
    <t>45도 회전 스폰</t>
  </si>
  <si>
    <t>악몽 램프 Skill_A 사용 시, 경우에 따라 45도 돌려진 마름모형 패턴으로 스폰된다.</t>
  </si>
  <si>
    <t>인디케이터 출력</t>
  </si>
  <si>
    <t>약 2초간 차오름</t>
  </si>
  <si>
    <t>Skill_A 시전 시, 인디케이터가 약 2초에 걸쳐 차오른 후 폭발 데미지가 발생한다.</t>
  </si>
  <si>
    <t>경직 면역 적용</t>
  </si>
  <si>
    <t>악몽 램프는 경직에 면역되며 느린 공격 속도가 적용된다.</t>
  </si>
  <si>
    <t>2마리 배치 시 1초 텀</t>
  </si>
  <si>
    <t>악몽 램프 2마리 배치 시, 출현 시간에 1초 이상의 텀을 두어 번갈아 공격된다.</t>
  </si>
  <si>
    <t>꿈꾸는 모빌</t>
  </si>
  <si>
    <t>꿈꾸는 모빌은 플레이어 미발견 시 랜덤 위치를 패트롤한다.</t>
  </si>
  <si>
    <t>어드벤처 인게임 몬스터_5.pdf (꿈꾸는 모빌)</t>
  </si>
  <si>
    <t>꿈꾸는 모빌이 플레이어 발견 시, 머리 위에 "!" 표시가 출력된 뒤 잠깐 대기한 후 소환이 시작된다.</t>
  </si>
  <si>
    <t>Skill_A (몬스터 소환)</t>
  </si>
  <si>
    <t>별 투사체 발사</t>
  </si>
  <si>
    <t>4.5~9m 범위 발사</t>
  </si>
  <si>
    <t>Skill_A 사용 시, 꿈꾸는 모빌 주변 4.5m~9m 범위로 별 모양 투사체가 발사된다.</t>
  </si>
  <si>
    <t>최대 소환 수 제한</t>
  </si>
  <si>
    <t>3마리 제한</t>
  </si>
  <si>
    <t>꿈꾸는 모빌은 최대 3마리까지만 몬스터를 소환한다.</t>
  </si>
  <si>
    <t>소환 종류 랜덤</t>
  </si>
  <si>
    <t>3종 중 1종 선정</t>
  </si>
  <si>
    <t>꿈꾸는 모빌이 소환하는 몬스터는 아가양/악몽요정/악몽램프 중 1종이 랜덤으로 선정된다.</t>
  </si>
  <si>
    <t>Skill_B (모여드는 항성)</t>
  </si>
  <si>
    <t>영역 소환</t>
  </si>
  <si>
    <t>3m 범위 Area Attack 소환</t>
  </si>
  <si>
    <t>Skill_B 시전 시, 플레이어 중심 근처 3m 범위에 항성 모양 Area Attack 투사체가 소환된다.</t>
  </si>
  <si>
    <t>흔들림 대기</t>
  </si>
  <si>
    <t>3.5초 대기</t>
  </si>
  <si>
    <t>Skill_B 투사체는 약 3.5초간 불안정하게 흔들리며 대기하는 동안 어떤 영향도 주지 않는다.</t>
  </si>
  <si>
    <t>가운데 흡인 발동</t>
  </si>
  <si>
    <t>영역 내 끌어당김</t>
  </si>
  <si>
    <t>Skill_B 발동 시, 5m 영역 내 모든 적과 플레이어가 가운데로 빨려들어가며 약간의 데미지를 받는다.</t>
  </si>
  <si>
    <t>수면 시 추락</t>
  </si>
  <si>
    <t>지상 낙하</t>
  </si>
  <si>
    <t>꿈꾸는 모빌은 수면에 걸리는 순간 빠르게 바닥으로 추락한다.</t>
  </si>
  <si>
    <t>소환 몬스터 전부 사망</t>
  </si>
  <si>
    <t>동시 사망 처리</t>
  </si>
  <si>
    <t>꿈꾸는 모빌이 수면에 걸릴 시, 자신이 소환했던 모든 몬스터가 사망 처리된다.</t>
  </si>
  <si>
    <t>기상 시 공중 복귀</t>
  </si>
  <si>
    <t>3초간 부상</t>
  </si>
  <si>
    <t>꿈꾸는 모빌의 수면이 끝나면 약 3초에 걸쳐 다시 공중으로 떠오른다.</t>
  </si>
  <si>
    <t>꿈꾸는 모빌은 경직에 면역되며, 전투 공간당 1마리만 배치된다.</t>
  </si>
  <si>
    <t>투사체 데미지 없음</t>
  </si>
  <si>
    <t>꿈꾸는 모빌의 소환 별 투사체 자체에는 데미지가 적용되지 않는다.</t>
  </si>
  <si>
    <t>악몽의 양 (중간보스)</t>
  </si>
  <si>
    <t>악몽의 양은 대기 상태에서 가볍게 공중을 통통 튀듯 랜덤 위치를 패트롤한다.</t>
  </si>
  <si>
    <t>어드벤처 인게임 몬스터_6.pdf (악몽의 양)</t>
  </si>
  <si>
    <t>Skill_A (돌진)</t>
  </si>
  <si>
    <t>돌진 기본 동작</t>
  </si>
  <si>
    <t>가속 돌진</t>
  </si>
  <si>
    <t>악몽의 양 Skill_A 시전 시, 기본 이동 속도의 절반~2배까지 2초에 걸쳐 가속되는 돌진 공격이 발동된다.</t>
  </si>
  <si>
    <t>충돌 시 스턴 부여</t>
  </si>
  <si>
    <t>플레이어 스턴</t>
  </si>
  <si>
    <t>악몽의 양의 돌진 공격에 플레이어가 적중 시, 스턴 상태이상이 부여된다.</t>
  </si>
  <si>
    <t>3연속 사용</t>
  </si>
  <si>
    <t>연속 발동</t>
  </si>
  <si>
    <t>악몽의 양 Skill_A는 한 번에 최대 3번까지 연속으로 사용된다.</t>
  </si>
  <si>
    <t>고난이도 추가 투사체</t>
  </si>
  <si>
    <t>Skill_B 투사체 1회 낙하</t>
  </si>
  <si>
    <t>높은 난이도에서 악몽의 양 Skill_A가 오브젝트에 부딪힐 경우, 주변에 Skill_B의 투사체가 1회 낙하된다.</t>
  </si>
  <si>
    <t>Skill_B (High Angle Fire)</t>
  </si>
  <si>
    <t>투사체 발사</t>
  </si>
  <si>
    <t>12m 사거리 곡선 발사</t>
  </si>
  <si>
    <t>악몽의 양 Skill_B는 공격 시작 범위 12m에서 Flight Time 1초로 별 투사체를 곡선 발사한다.</t>
  </si>
  <si>
    <t>바닥 충돌 후 튕김</t>
  </si>
  <si>
    <t>4m 거리 2회 추가 튕김</t>
  </si>
  <si>
    <t>Skill_B 투사체는 바닥 첫 충돌 이후 랜덤 방향 4m 거리로 2회 추가 튕긴 뒤 제거된다.</t>
  </si>
  <si>
    <t>Skill_B 시전 시, 인디케이터가 잠시 출력된다.</t>
  </si>
  <si>
    <t>Skill_C (Area Attack)</t>
  </si>
  <si>
    <t>별똥별 낙하</t>
  </si>
  <si>
    <t>2초 후 영역 공격</t>
  </si>
  <si>
    <t>악몽의 양 Skill_C는 공격까지 2초 대기 후 반지름 3.5m 범위로 별똥별 영역 공격이 발동된다.</t>
  </si>
  <si>
    <t>플레이어 위치 표시</t>
  </si>
  <si>
    <t>Skill_C 시전 시, 플레이어 위치로 잠시 인디케이터가 출력된다.</t>
  </si>
  <si>
    <t>높은 난이도에서 Skill_C 발동 후, 주변에 Skill_B의 투사체가 1회 추가로 낙하된다.</t>
  </si>
  <si>
    <t>낮은 체력 강화</t>
  </si>
  <si>
    <t>별똥별 갯수 증가</t>
  </si>
  <si>
    <t>낮은 체력 시 Skill_C의 함성 시간이 길어지고, 낙하하는 별똥별의 갯수가 증가된다.</t>
  </si>
  <si>
    <t>악몽의 양은 한 번 공격을 실행하는 동안 경직에 면역된다.</t>
  </si>
  <si>
    <t>꿈을 쏟아내는 모빌 (중간보스)</t>
  </si>
  <si>
    <t>공중 부유 및 선회</t>
  </si>
  <si>
    <t>맵 주변 선회</t>
  </si>
  <si>
    <t>꿈을 쏟아내는 모빌은 공중에서 둥둥 떠있는 상태로 맵 주변을 빙글빙글 선회한다.</t>
  </si>
  <si>
    <t>어드벤처 인게임 몬스터_7.pdf (꿈을 쏟아내는 모빌)</t>
  </si>
  <si>
    <t>Skill_A (다중 소환)</t>
  </si>
  <si>
    <t>3개 동시 투사체</t>
  </si>
  <si>
    <t>한 번에 3개 발사</t>
  </si>
  <si>
    <t>꿈을 쏟아내는 모빌의 Skill_A는 플레이어 주변 3m~12m 범위로 별 투사체 3개를 동시에 발사한다.</t>
  </si>
  <si>
    <t>재소환 조건</t>
  </si>
  <si>
    <t>2마리 이하 재발동</t>
  </si>
  <si>
    <t>꿈을 쏟아내는 모빌은 소환한 몬스터가 2마리 이하로 남았을 때 Skill_A를 재사용한다.</t>
  </si>
  <si>
    <t>소환 종류</t>
  </si>
  <si>
    <t>3종 중 1종 랜덤</t>
  </si>
  <si>
    <t>꿈을 쏟아내는 모빌의 소환 몬스터는 아가양/악몽요정/노래하는 인형 중 1종이 랜덤으로 선정된다.</t>
  </si>
  <si>
    <t>Skill_B (강화 항성)</t>
  </si>
  <si>
    <t>15m 범위 Area Attack</t>
  </si>
  <si>
    <t>꿈을 쏟아내는 모빌의 Skill_B는 플레이어 중심 근처 15m 범위에 Area Attack을 소환하며, 기본 몬스터보다 더 자주 사용된다.</t>
  </si>
  <si>
    <t>지상 빠른 낙하</t>
  </si>
  <si>
    <t>꿈을 쏟아내는 모빌은 수면에 걸리는 순간 빠르게 바닥으로 떨어진다.</t>
  </si>
  <si>
    <t>꿈을 쏟아내는 모빌이 수면에 걸릴 시, 자신이 소환했던 몬스터가 전부 사망 처리된다.</t>
  </si>
  <si>
    <t>기상 후 지상 체류</t>
  </si>
  <si>
    <t>5초간 타격 가능</t>
  </si>
  <si>
    <t>꿈을 쏟아내는 모빌이 수면에서 깨어난 후 약 5초간 지상에 가까이 머물며 추가 타격이 가능하다.</t>
  </si>
  <si>
    <t>공중 복귀</t>
  </si>
  <si>
    <t>0.5초간 부상</t>
  </si>
  <si>
    <t>지상 체류 5초 종료 후, 약 0.5초간 다시 공중으로 떠오른다.</t>
  </si>
  <si>
    <t>Hide 상태 처리</t>
  </si>
  <si>
    <t>기믹 작동 전 타격 불가</t>
  </si>
  <si>
    <t>꿈을 쏟아내는 모빌은 맵 중앙 기믹 작동 전까지 Hide 상태로 타격이 불가하다.</t>
  </si>
  <si>
    <t>거대한 악몽 램프 (중간보스)</t>
  </si>
  <si>
    <t>대기</t>
  </si>
  <si>
    <t>고정형 유지</t>
  </si>
  <si>
    <t>거대한 악몽 램프는 이동하지 않는 고정형으로 대기 상태가 유지된다.</t>
  </si>
  <si>
    <t>어드벤처 인게임 몬스터_8.pdf (거대한 악몽 램프)</t>
  </si>
  <si>
    <t>Skill_A (십자 장판)</t>
  </si>
  <si>
    <t>25 포인트 선정</t>
  </si>
  <si>
    <t>TargetPosition 산출</t>
  </si>
  <si>
    <t>Skill_A 시전 시, 몬스터 중심 좌우 12m 내 25개 포인트 중 쿠키 근처를 Center로 잡고 상하좌우 4개 포인트가 선정된다.</t>
  </si>
  <si>
    <t>인디케이터 차오름</t>
  </si>
  <si>
    <t>약 2초 차오름</t>
  </si>
  <si>
    <t>Skill_A 시전 시, 약 2초간 인디케이터가 차오른 뒤 6m×6m 십자 패턴 폭발이 발생한다.</t>
  </si>
  <si>
    <t>단독 위치 타격 분기</t>
  </si>
  <si>
    <t>쿠키 포지션 단독 공격</t>
  </si>
  <si>
    <t>Skill_A 사용 시 가끔 십자 패턴이 아닌 쿠키가 서있는 단독 포지션을 타격하는 분기가 발동된다.</t>
  </si>
  <si>
    <t>Skill_B (부채꼴 빛)</t>
  </si>
  <si>
    <t>1.8초 차오름</t>
  </si>
  <si>
    <t>Skill_B 시전 시, 약 1.8초간 반지름 8m / 120도 부채꼴 인디케이터가 차오른다.</t>
  </si>
  <si>
    <t>빛 분사</t>
  </si>
  <si>
    <t>Melee 공격 발동</t>
  </si>
  <si>
    <t>Skill_B 인디케이터 차오름 종료 후, 갓이 위로 들리며 전방으로 강한 빛 공격이 분사된다.</t>
  </si>
  <si>
    <t>Skill_C (레이저)</t>
  </si>
  <si>
    <t>1초 출력</t>
  </si>
  <si>
    <t>Skill_C 시전 시, 쿠키가 있던 위치로 약 1초간 인디케이터가 출력된 뒤 사라진다.</t>
  </si>
  <si>
    <t>레이저 발사</t>
  </si>
  <si>
    <t>3~15m 직선 발사</t>
  </si>
  <si>
    <t>Skill_C는 자신의 바로 앞 3m~15m 범위로 약 0.5초간 직선 레이저가 발사된다.</t>
  </si>
  <si>
    <t>페이즈 전환</t>
  </si>
  <si>
    <t>2페이즈 진입</t>
  </si>
  <si>
    <t>패턴 변경</t>
  </si>
  <si>
    <t>일정 체력 이하 진입 시, 거대한 악몽 램프는 1페이즈에서 2페이즈로 전환되어 정해진 모양의 패턴 공격을 수행한다.</t>
  </si>
  <si>
    <t>카메라 고정 패턴 공격</t>
  </si>
  <si>
    <t>카메라 후방 고정</t>
  </si>
  <si>
    <t>2페이즈 진입 시, 카메라가 후방으로 고정되며 바닥에 정해진 패턴을 그리는 공격이 발동된다.</t>
  </si>
  <si>
    <t>2페이즈 연속 폭발</t>
  </si>
  <si>
    <t>2페이즈에서는 Skill_A 사용 시 매당 한번에 여러번 연속으로 바닥이 폭발한다.</t>
  </si>
  <si>
    <t>빛 차오름 연출</t>
  </si>
  <si>
    <t>Skill_A 준비 단계에서 램프의 몸에서 빛이 서서히 밝아지는 연출이 출력된다.</t>
  </si>
  <si>
    <t>고개 숙임 연출</t>
  </si>
  <si>
    <t>Skill_B 준비 단계에서 램프가 플레이어 방향으로 고개를 숙이는 애니가 재생된다.</t>
  </si>
  <si>
    <t>어비스레이드: 악몽A (보스)</t>
  </si>
  <si>
    <t>맵 구성</t>
  </si>
  <si>
    <t>1페이즈 맵</t>
  </si>
  <si>
    <t>낙사 불가</t>
  </si>
  <si>
    <t>1페이즈 진입 시, 3가지 컨셉이 섞인 직사각형 맵(x:66m, z:54m)에서 낙사가 불가능하다.</t>
  </si>
  <si>
    <t>어드벤처 인게임 보스.pdf (악몽A)</t>
  </si>
  <si>
    <t>2페이즈 맵</t>
  </si>
  <si>
    <t>낙사 가능 전환</t>
  </si>
  <si>
    <t>2페이즈 진입 시, 뒤틀리고 어두운 공간으로 변경되며 낙사가 가능한 상태로 전환된다.</t>
  </si>
  <si>
    <t>낙사 시스템</t>
  </si>
  <si>
    <t>맵 가장자리 소멸</t>
  </si>
  <si>
    <t>별의 분노 발동</t>
  </si>
  <si>
    <t>2페이즈 진입 후 보스 오프닝 패턴 '별의 분노' 발동 시, 맵 가장자리가 소멸되어 전투 공간이 줄어든다.</t>
  </si>
  <si>
    <t>낙사 시 피해</t>
  </si>
  <si>
    <t>최대 체력 비례 피해</t>
  </si>
  <si>
    <t>낙사 시점에 플레이어 최대 체력 비례 20%~30%의 피해가 즉시 적용된다.</t>
  </si>
  <si>
    <t>안개 붙잡힘 상태</t>
  </si>
  <si>
    <t>매초 5~10% 피해</t>
  </si>
  <si>
    <t>낙사 후 안개에 붙잡힌 상태에서, 매초 최대 체력 비례 5%~10%의 피해가 적용된다.</t>
  </si>
  <si>
    <t>버튼 연타 탈출</t>
  </si>
  <si>
    <t>필드 복귀</t>
  </si>
  <si>
    <t>안개 붙잡힘 상태에서 버튼 연타 시, 플레이어가 탈출하여 필드로 복귀된다.</t>
  </si>
  <si>
    <t>누적 횟수 증가</t>
  </si>
  <si>
    <t>개인 단위로 낙사가 누적될수록, 탈출에 요구되는 버튼 연타 횟수가 증가된다.</t>
  </si>
  <si>
    <t>악몽의 허상 기믹</t>
  </si>
  <si>
    <t>허상 시각 효과</t>
  </si>
  <si>
    <t>공통 색상 표시</t>
  </si>
  <si>
    <t>보스가 가하는 모든 공격에 허상이 섞여 발생하며, 모든 허상은 공통 시각 효과(동일 색상)로 표시된다.</t>
  </si>
  <si>
    <t>허상 데미지 무효</t>
  </si>
  <si>
    <t>피격 시 피해 X</t>
  </si>
  <si>
    <t>허상 투사체 적중 시, 플레이어에게 피해가 적용되지 않는다.</t>
  </si>
  <si>
    <t>인디케이터 구분 불가</t>
  </si>
  <si>
    <t>동일 인디케이터 출력</t>
  </si>
  <si>
    <t>허상 공격은 인디케이터로 실제 공격과 구분할 수 없도록 동일하게 출력된다.</t>
  </si>
  <si>
    <t>악몽 방출</t>
  </si>
  <si>
    <t>거리 벌리기</t>
  </si>
  <si>
    <t>타겟 방향 방출</t>
  </si>
  <si>
    <t>악몽 방출 시, 보스가 빠르게 타겟과 거리를 벌린 후 타겟 방향으로 악몽을 방출한다.</t>
  </si>
  <si>
    <t>관통 발사 및 고정</t>
  </si>
  <si>
    <t>최대 거리 고정</t>
  </si>
  <si>
    <t>방출된 악몽은 관통되어 날아가다가 최대 거리에 도달하면 해당 위치에 고정되어 대기한다.</t>
  </si>
  <si>
    <t>강화 발사</t>
  </si>
  <si>
    <t>다채로운 발사 방향</t>
  </si>
  <si>
    <t>강화 시, 동시에 발사하는 수와 발사 방향이 다채롭게 구성되어 직선/전방위 발사 형태로 진행된다.</t>
  </si>
  <si>
    <t>악몽 회수</t>
  </si>
  <si>
    <t>이동 후 회수</t>
  </si>
  <si>
    <t>타겟 근처 이동</t>
  </si>
  <si>
    <t>악몽 회수 시, 보스가 타겟 근처로 빠르게 이동한 후 필드의 고정된 악몽을 자신을 향해 회수한다.</t>
  </si>
  <si>
    <t>경로 피해</t>
  </si>
  <si>
    <t>경로 대상 피해</t>
  </si>
  <si>
    <t>악몽 회수 중 회수 경로상에 있는 대상에게 피해가 적용된다.</t>
  </si>
  <si>
    <t>심연의 손길</t>
  </si>
  <si>
    <t>1차 손 솟음</t>
  </si>
  <si>
    <t>타겟 아래 손 출현</t>
  </si>
  <si>
    <t>심연의 손길 1차 공격 시, 필드 위 모든 타겟 아래에서 빠른 속도로 손이 솟아난다.</t>
  </si>
  <si>
    <t>속박 적용</t>
  </si>
  <si>
    <t>N초 속박</t>
  </si>
  <si>
    <t>심연의 손길에 붙잡힌 대상은 N초 동안 속박된다.</t>
  </si>
  <si>
    <t>2차 폭발</t>
  </si>
  <si>
    <t>속박 대상 폭발 피해</t>
  </si>
  <si>
    <t>캐스팅 종료 시 속박된 대상이 있는 경우, 손이 폭발하며 주변에 강력한 피해가 적용된다.</t>
  </si>
  <si>
    <t>대상 없을 시 종료</t>
  </si>
  <si>
    <t>즉시 스킬 종료</t>
  </si>
  <si>
    <t>캐스팅 종료 시 속박된 대상이 없는 경우, 심연의 손길 스킬이 즉시 종료된다.</t>
  </si>
  <si>
    <t>진짜 찾기</t>
  </si>
  <si>
    <t>분신 생성</t>
  </si>
  <si>
    <t>보스 위치 랜덤</t>
  </si>
  <si>
    <t>진짜 찾기 발동 시, 본체와 분신이 생성되며 보스 위치가 랜덤으로 배치된다.</t>
  </si>
  <si>
    <t>A/B 캐스팅 분기</t>
  </si>
  <si>
    <t>본체/분신 다른 공격</t>
  </si>
  <si>
    <t>보스는 A/B 두 가지 공격 중 하나를 본체가 시전하며, 분신은 본체와 다른 공격을 시전한다.</t>
  </si>
  <si>
    <t>본체 무력화 성공</t>
  </si>
  <si>
    <t>공격 저지 및 기절</t>
  </si>
  <si>
    <t>시간 안에 본체 무력화 성공 시, 보스 공격이 저지되고 짧은 시간 보스가 기절되며 분신이 소멸된다.</t>
  </si>
  <si>
    <t>분신 타격 무효</t>
  </si>
  <si>
    <t>스탯 영향 X</t>
  </si>
  <si>
    <t>진짜 찾기 진행 중 분신을 타격해도 보스의 체력 및 무력화 수치에 영향이 적용되지 않는다.</t>
  </si>
  <si>
    <t>실패 시 광역 공격</t>
  </si>
  <si>
    <t>본체 기준 넓은 범위</t>
  </si>
  <si>
    <t>시간 안에 무력화 실패 시, 본체 기준 넓은 범위 공격이 시전되며 분신이 소멸된다.</t>
  </si>
  <si>
    <t>악몽 폭주</t>
  </si>
  <si>
    <t>즉시 시전</t>
  </si>
  <si>
    <t>별도 애니 없이 발동</t>
  </si>
  <si>
    <t>보스가 악몽을 흡수한 경우, 별도 애니메이션 없이 악몽 폭주가 즉시 시전된다.</t>
  </si>
  <si>
    <t>흡수 수 비례 데미지</t>
  </si>
  <si>
    <t>최대 체력 비례 고정 피해</t>
  </si>
  <si>
    <t>악몽 폭주 발동 시, 모든 플레이어에게 흡수한 악몽 수에 비례한 최대 체력 비례 고정 피해가 적용된다.</t>
  </si>
  <si>
    <t>잠식</t>
  </si>
  <si>
    <t>기본 덩어리 낙하</t>
  </si>
  <si>
    <t>랜덤 위치 낙하</t>
  </si>
  <si>
    <t>잠식 기본 패턴 발동 시, 보스 주변 랜덤한 위치에 악몽 덩어리가 낙하된다.</t>
  </si>
  <si>
    <t>웅덩이 효과</t>
  </si>
  <si>
    <t>이동속도 감소 및 주기 피해</t>
  </si>
  <si>
    <t>악몽 웅덩이 범위 안에 들어온 대상에게 이동속도 감소 효과와 일정 시간마다 피해가 적용된다.</t>
  </si>
  <si>
    <t>강화 점점 커짐</t>
  </si>
  <si>
    <t>공간 압박</t>
  </si>
  <si>
    <t>잠식 강화 패턴 시, 떨어진 위치에 생성된 웅덩이가 일정 시간 동안 크기가 증가되어 공간을 압박한다.</t>
  </si>
  <si>
    <t>강화2 허상 분기</t>
  </si>
  <si>
    <t>허상 즉시 소멸</t>
  </si>
  <si>
    <t>잠식 강화2 시, 큰 악몽 덩어리 4개 중 n개는 허상으로 떨어지는 동시에 소멸되며, 진짜는 광역 피해와 웅덩이를 생성한다.</t>
  </si>
  <si>
    <t>악몽 정화 필살기</t>
  </si>
  <si>
    <t>보스 무적 진입</t>
  </si>
  <si>
    <t>맵 전역 잠식</t>
  </si>
  <si>
    <t>악몽 정화 필살기 시작 시, 보스가 필드 중앙으로 이동 후 맵 전역을 악몽으로 물들이며 무적 상태가 된다.</t>
  </si>
  <si>
    <t>밀쳐냄 정화</t>
  </si>
  <si>
    <t>경로 정화</t>
  </si>
  <si>
    <t>맵이 악몽으로 물든 직후 플레이어가 강하게 밀쳐지며, 밀쳐진 경로만큼 공간이 정화된다.</t>
  </si>
  <si>
    <t>파괴 보호막 분신</t>
  </si>
  <si>
    <t>성공 처리</t>
  </si>
  <si>
    <t>파괴 보호막 보스 분신에 대해 제한 시간 안에 보호막 파괴 성공 시, 공격이 저지되고 주변 필드가 정화된다.</t>
  </si>
  <si>
    <t>실패 처리</t>
  </si>
  <si>
    <t>파괴 보호막 분신 보호막 파괴 실패 시, 광역 공격이 시전되어 주변 필드가 악몽으로 물든다.</t>
  </si>
  <si>
    <t>무력화 분신</t>
  </si>
  <si>
    <t>무력화를 요구하는 분신에 대해 제한 시간 안에 무력화 성공 시, 공격이 저지되고 주변 필드가 정화된다.</t>
  </si>
  <si>
    <t>무력화 분신 무력화 실패 시, 광역 공격이 시전되어 주변 필드가 악몽으로 물든다.</t>
  </si>
  <si>
    <t>상쇄 분신</t>
  </si>
  <si>
    <t>상쇄 가능한 공격을 시전하는 보스 분신에 대해 상쇄 성공 시, 공격이 저지되고 주변 필드가 정화된다.</t>
  </si>
  <si>
    <t>상쇄 분신 상쇄 실패 시, 광역 공격이 시전되어 주변 필드가 악몽으로 물든다.</t>
  </si>
  <si>
    <t>정화 불가 필드 전환</t>
  </si>
  <si>
    <t>일정 시간 방치 시 전환</t>
  </si>
  <si>
    <t>악몽으로 물든 구역을 일정 시간 동안 정화하지 않고 방치 시, 해당 구역이 정화 불가능한 필드로 전환된다.</t>
  </si>
  <si>
    <t>결과 판정</t>
  </si>
  <si>
    <t>성공 그로기</t>
  </si>
  <si>
    <t>시간 종료 시 필드의 정화 정도가 성공 기준 충족 시, 보스가 그로기 상태로 전환된다.</t>
  </si>
  <si>
    <t>실패 전투 지속</t>
  </si>
  <si>
    <t>시간 종료 시 정화 실패 판정 시, 기믹 종료 후 전투가 이어지며 일반 몬스터가 계속 생성되어 압박한다.</t>
  </si>
  <si>
    <t>유틸 패턴</t>
  </si>
  <si>
    <t>이동기</t>
  </si>
  <si>
    <t>정해진 방향 고속 이동</t>
  </si>
  <si>
    <t>이동기 사용 시, 보스가 정해진 방향으로 빠른 속도로 이동되며 악몽 방출 &amp; 회수에 연계되어 사용된다.</t>
  </si>
  <si>
    <t>텔레포트</t>
  </si>
  <si>
    <t>순간이동 + 전조</t>
  </si>
  <si>
    <t>텔레포트 사용 시, 약간의 전조 시간을 보장한 후 보스가 목표 지점으로 빠른 속도로 순간이동된다.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</si>
</sst>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82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COUNTIF(I10:I182,"Pass")</f>
      </c>
      <c r="K3" t="s">
        <v>4</v>
      </c>
      <c r="L3">
        <f>COUNTIF(I10:I182,"")</f>
      </c>
      <c r="M3" s="3" t="s">
        <v>3</v>
      </c>
      <c r="N3">
        <f>COUNTIF(J10:J182,"Pass")</f>
      </c>
    </row>
    <row r="4" spans="9:14" x14ac:dyDescent="0.25">
      <c r="I4" s="4" t="s">
        <v>5</v>
      </c>
      <c r="J4">
        <f>COUNTIF(I10:I182,"N/T")</f>
      </c>
      <c r="K4" t="s">
        <v>6</v>
      </c>
      <c r="L4">
        <f>COUNTA(I10:I182)-COUNTIF(I10:I182,"")</f>
      </c>
      <c r="M4" s="4" t="s">
        <v>5</v>
      </c>
      <c r="N4">
        <f>COUNTIF(J10:J182,"N/T")</f>
      </c>
    </row>
    <row r="5" spans="9:14" x14ac:dyDescent="0.25">
      <c r="I5" s="5" t="s">
        <v>7</v>
      </c>
      <c r="J5">
        <f>COUNTIF(I10:I182,"Fail")</f>
      </c>
      <c r="K5" t="s">
        <v>8</v>
      </c>
      <c r="L5">
        <v>173</v>
      </c>
      <c r="M5" s="5" t="s">
        <v>7</v>
      </c>
      <c r="N5">
        <f>COUNTIF(J10:J182,"Fail")</f>
      </c>
    </row>
    <row r="6" spans="9:14" x14ac:dyDescent="0.25">
      <c r="I6" s="6" t="s">
        <v>9</v>
      </c>
      <c r="J6">
        <f>COUNTIF(I10:I182,"Block")</f>
      </c>
      <c r="K6" t="s">
        <v>10</v>
      </c>
      <c r="L6" s="7">
        <f>IF(L5=0,0,L4/L5)</f>
      </c>
      <c r="M6" s="6" t="s">
        <v>9</v>
      </c>
      <c r="N6">
        <f>COUNTIF(J10:J182,"Block")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0" t="s">
        <v>22</v>
      </c>
      <c r="D11" s="11"/>
      <c r="E11" s="11"/>
      <c r="F11" s="11"/>
      <c r="G11" s="12" t="s">
        <v>29</v>
      </c>
      <c r="H11" s="13" t="s">
        <v>30</v>
      </c>
      <c r="I11" s="12"/>
      <c r="J11" s="12"/>
      <c r="K11" s="12"/>
      <c r="L11" s="12"/>
      <c r="M11" s="12"/>
      <c r="N11" s="14" t="s">
        <v>28</v>
      </c>
    </row>
    <row r="12" spans="2:14" x14ac:dyDescent="0.25">
      <c r="B12" s="9">
        <v>3</v>
      </c>
      <c r="C12" s="15" t="s">
        <v>31</v>
      </c>
      <c r="D12" s="11"/>
      <c r="E12" s="11"/>
      <c r="F12" s="11" t="s">
        <v>32</v>
      </c>
      <c r="G12" s="12" t="s">
        <v>33</v>
      </c>
      <c r="H12" s="13" t="s">
        <v>34</v>
      </c>
      <c r="I12" s="12"/>
      <c r="J12" s="12"/>
      <c r="K12" s="12"/>
      <c r="L12" s="12"/>
      <c r="M12" s="12"/>
      <c r="N12" s="14" t="s">
        <v>28</v>
      </c>
    </row>
    <row r="13" spans="2:14" x14ac:dyDescent="0.25">
      <c r="B13" s="9">
        <v>4</v>
      </c>
      <c r="C13" s="15" t="s">
        <v>31</v>
      </c>
      <c r="D13" s="11"/>
      <c r="E13" s="11"/>
      <c r="F13" s="11"/>
      <c r="G13" s="12" t="s">
        <v>35</v>
      </c>
      <c r="H13" s="13" t="s">
        <v>36</v>
      </c>
      <c r="I13" s="12"/>
      <c r="J13" s="12"/>
      <c r="K13" s="12"/>
      <c r="L13" s="12"/>
      <c r="M13" s="12"/>
      <c r="N13" s="14" t="s">
        <v>28</v>
      </c>
    </row>
    <row r="14" spans="2:14" x14ac:dyDescent="0.25">
      <c r="B14" s="9">
        <v>5</v>
      </c>
      <c r="C14" s="10" t="s">
        <v>22</v>
      </c>
      <c r="D14" s="11"/>
      <c r="E14" s="11" t="s">
        <v>37</v>
      </c>
      <c r="F14" s="11" t="s">
        <v>38</v>
      </c>
      <c r="G14" s="12" t="s">
        <v>39</v>
      </c>
      <c r="H14" s="13" t="s">
        <v>40</v>
      </c>
      <c r="I14" s="12"/>
      <c r="J14" s="12"/>
      <c r="K14" s="12"/>
      <c r="L14" s="12"/>
      <c r="M14" s="12"/>
      <c r="N14" s="14" t="s">
        <v>28</v>
      </c>
    </row>
    <row r="15" spans="2:14" x14ac:dyDescent="0.25">
      <c r="B15" s="9">
        <v>6</v>
      </c>
      <c r="C15" s="10" t="s">
        <v>22</v>
      </c>
      <c r="D15" s="11"/>
      <c r="E15" s="11"/>
      <c r="F15" s="11"/>
      <c r="G15" s="12" t="s">
        <v>41</v>
      </c>
      <c r="H15" s="13" t="s">
        <v>42</v>
      </c>
      <c r="I15" s="12"/>
      <c r="J15" s="12"/>
      <c r="K15" s="12"/>
      <c r="L15" s="12"/>
      <c r="M15" s="12"/>
      <c r="N15" s="14" t="s">
        <v>28</v>
      </c>
    </row>
    <row r="16" spans="2:14" x14ac:dyDescent="0.25">
      <c r="B16" s="9">
        <v>7</v>
      </c>
      <c r="C16" s="16" t="s">
        <v>43</v>
      </c>
      <c r="D16" s="11"/>
      <c r="E16" s="11"/>
      <c r="F16" s="12" t="s">
        <v>44</v>
      </c>
      <c r="G16" s="12" t="s">
        <v>45</v>
      </c>
      <c r="H16" s="13" t="s">
        <v>46</v>
      </c>
      <c r="I16" s="12"/>
      <c r="J16" s="12"/>
      <c r="K16" s="12"/>
      <c r="L16" s="12"/>
      <c r="M16" s="12"/>
      <c r="N16" s="14" t="s">
        <v>28</v>
      </c>
    </row>
    <row r="17" spans="2:14" x14ac:dyDescent="0.25">
      <c r="B17" s="9">
        <v>8</v>
      </c>
      <c r="C17" s="10" t="s">
        <v>22</v>
      </c>
      <c r="D17" s="11"/>
      <c r="E17" s="11"/>
      <c r="F17" s="12" t="s">
        <v>47</v>
      </c>
      <c r="G17" s="12" t="s">
        <v>48</v>
      </c>
      <c r="H17" s="13" t="s">
        <v>49</v>
      </c>
      <c r="I17" s="12"/>
      <c r="J17" s="12"/>
      <c r="K17" s="12"/>
      <c r="L17" s="12"/>
      <c r="M17" s="12"/>
      <c r="N17" s="14" t="s">
        <v>28</v>
      </c>
    </row>
    <row r="18" spans="2:14" x14ac:dyDescent="0.25">
      <c r="B18" s="9">
        <v>9</v>
      </c>
      <c r="C18" s="10" t="s">
        <v>22</v>
      </c>
      <c r="D18" s="11"/>
      <c r="E18" s="11" t="s">
        <v>50</v>
      </c>
      <c r="F18" s="12" t="s">
        <v>51</v>
      </c>
      <c r="G18" s="12" t="s">
        <v>52</v>
      </c>
      <c r="H18" s="13" t="s">
        <v>53</v>
      </c>
      <c r="I18" s="12"/>
      <c r="J18" s="12"/>
      <c r="K18" s="12"/>
      <c r="L18" s="12"/>
      <c r="M18" s="12"/>
      <c r="N18" s="14" t="s">
        <v>28</v>
      </c>
    </row>
    <row r="19" spans="2:14" x14ac:dyDescent="0.25">
      <c r="B19" s="9">
        <v>10</v>
      </c>
      <c r="C19" s="10" t="s">
        <v>22</v>
      </c>
      <c r="D19" s="11"/>
      <c r="E19" s="11"/>
      <c r="F19" s="11" t="s">
        <v>54</v>
      </c>
      <c r="G19" s="12" t="s">
        <v>55</v>
      </c>
      <c r="H19" s="13" t="s">
        <v>56</v>
      </c>
      <c r="I19" s="12"/>
      <c r="J19" s="12"/>
      <c r="K19" s="12"/>
      <c r="L19" s="12"/>
      <c r="M19" s="12"/>
      <c r="N19" s="14" t="s">
        <v>28</v>
      </c>
    </row>
    <row r="20" spans="2:14" x14ac:dyDescent="0.25">
      <c r="B20" s="9">
        <v>11</v>
      </c>
      <c r="C20" s="10" t="s">
        <v>22</v>
      </c>
      <c r="D20" s="11"/>
      <c r="E20" s="11"/>
      <c r="F20" s="11"/>
      <c r="G20" s="12" t="s">
        <v>57</v>
      </c>
      <c r="H20" s="13" t="s">
        <v>58</v>
      </c>
      <c r="I20" s="12"/>
      <c r="J20" s="12"/>
      <c r="K20" s="12"/>
      <c r="L20" s="12"/>
      <c r="M20" s="12"/>
      <c r="N20" s="14" t="s">
        <v>28</v>
      </c>
    </row>
    <row r="21" spans="2:14" x14ac:dyDescent="0.25">
      <c r="B21" s="9">
        <v>12</v>
      </c>
      <c r="C21" s="10" t="s">
        <v>22</v>
      </c>
      <c r="D21" s="11"/>
      <c r="E21" s="12" t="s">
        <v>59</v>
      </c>
      <c r="F21" s="12" t="s">
        <v>60</v>
      </c>
      <c r="G21" s="12" t="s">
        <v>61</v>
      </c>
      <c r="H21" s="13" t="s">
        <v>62</v>
      </c>
      <c r="I21" s="12"/>
      <c r="J21" s="12"/>
      <c r="K21" s="12"/>
      <c r="L21" s="12"/>
      <c r="M21" s="12"/>
      <c r="N21" s="14" t="s">
        <v>28</v>
      </c>
    </row>
    <row r="22" spans="2:14" x14ac:dyDescent="0.25">
      <c r="B22" s="9">
        <v>13</v>
      </c>
      <c r="C22" s="16" t="s">
        <v>43</v>
      </c>
      <c r="D22" s="11"/>
      <c r="E22" s="11" t="s">
        <v>63</v>
      </c>
      <c r="F22" s="12" t="s">
        <v>64</v>
      </c>
      <c r="G22" s="12" t="s">
        <v>65</v>
      </c>
      <c r="H22" s="13" t="s">
        <v>66</v>
      </c>
      <c r="I22" s="12"/>
      <c r="J22" s="12"/>
      <c r="K22" s="12"/>
      <c r="L22" s="12"/>
      <c r="M22" s="12"/>
      <c r="N22" s="14" t="s">
        <v>28</v>
      </c>
    </row>
    <row r="23" spans="2:14" x14ac:dyDescent="0.25">
      <c r="B23" s="9">
        <v>14</v>
      </c>
      <c r="C23" s="16" t="s">
        <v>43</v>
      </c>
      <c r="D23" s="11"/>
      <c r="E23" s="11"/>
      <c r="F23" s="12" t="s">
        <v>67</v>
      </c>
      <c r="G23" s="12" t="s">
        <v>68</v>
      </c>
      <c r="H23" s="13" t="s">
        <v>69</v>
      </c>
      <c r="I23" s="12"/>
      <c r="J23" s="12"/>
      <c r="K23" s="12"/>
      <c r="L23" s="12"/>
      <c r="M23" s="12"/>
      <c r="N23" s="14" t="s">
        <v>28</v>
      </c>
    </row>
    <row r="24" spans="2:14" x14ac:dyDescent="0.25">
      <c r="B24" s="9">
        <v>15</v>
      </c>
      <c r="C24" s="15" t="s">
        <v>31</v>
      </c>
      <c r="D24" s="11" t="s">
        <v>70</v>
      </c>
      <c r="E24" s="11" t="s">
        <v>71</v>
      </c>
      <c r="F24" s="11" t="s">
        <v>72</v>
      </c>
      <c r="G24" s="12" t="s">
        <v>73</v>
      </c>
      <c r="H24" s="13" t="s">
        <v>74</v>
      </c>
      <c r="I24" s="12"/>
      <c r="J24" s="12"/>
      <c r="K24" s="12"/>
      <c r="L24" s="12"/>
      <c r="M24" s="12"/>
      <c r="N24" s="14" t="s">
        <v>75</v>
      </c>
    </row>
    <row r="25" spans="2:14" x14ac:dyDescent="0.25">
      <c r="B25" s="9">
        <v>16</v>
      </c>
      <c r="C25" s="16" t="s">
        <v>43</v>
      </c>
      <c r="D25" s="11"/>
      <c r="E25" s="11"/>
      <c r="F25" s="11"/>
      <c r="G25" s="12" t="s">
        <v>76</v>
      </c>
      <c r="H25" s="13" t="s">
        <v>77</v>
      </c>
      <c r="I25" s="12"/>
      <c r="J25" s="12"/>
      <c r="K25" s="12"/>
      <c r="L25" s="12"/>
      <c r="M25" s="12"/>
      <c r="N25" s="14" t="s">
        <v>75</v>
      </c>
    </row>
    <row r="26" spans="2:14" x14ac:dyDescent="0.25">
      <c r="B26" s="9">
        <v>17</v>
      </c>
      <c r="C26" s="15" t="s">
        <v>31</v>
      </c>
      <c r="D26" s="11"/>
      <c r="E26" s="11"/>
      <c r="F26" s="11" t="s">
        <v>78</v>
      </c>
      <c r="G26" s="12" t="s">
        <v>79</v>
      </c>
      <c r="H26" s="13" t="s">
        <v>80</v>
      </c>
      <c r="I26" s="12"/>
      <c r="J26" s="12"/>
      <c r="K26" s="12"/>
      <c r="L26" s="12"/>
      <c r="M26" s="12"/>
      <c r="N26" s="14" t="s">
        <v>75</v>
      </c>
    </row>
    <row r="27" spans="2:14" x14ac:dyDescent="0.25">
      <c r="B27" s="9">
        <v>18</v>
      </c>
      <c r="C27" s="10" t="s">
        <v>22</v>
      </c>
      <c r="D27" s="11"/>
      <c r="E27" s="11"/>
      <c r="F27" s="11"/>
      <c r="G27" s="12" t="s">
        <v>81</v>
      </c>
      <c r="H27" s="13" t="s">
        <v>82</v>
      </c>
      <c r="I27" s="12"/>
      <c r="J27" s="12"/>
      <c r="K27" s="12"/>
      <c r="L27" s="12"/>
      <c r="M27" s="12"/>
      <c r="N27" s="14" t="s">
        <v>75</v>
      </c>
    </row>
    <row r="28" spans="2:14" x14ac:dyDescent="0.25">
      <c r="B28" s="9">
        <v>19</v>
      </c>
      <c r="C28" s="10" t="s">
        <v>22</v>
      </c>
      <c r="D28" s="11"/>
      <c r="E28" s="11"/>
      <c r="F28" s="11"/>
      <c r="G28" s="12" t="s">
        <v>83</v>
      </c>
      <c r="H28" s="13" t="s">
        <v>84</v>
      </c>
      <c r="I28" s="12"/>
      <c r="J28" s="12"/>
      <c r="K28" s="12"/>
      <c r="L28" s="12"/>
      <c r="M28" s="12"/>
      <c r="N28" s="14" t="s">
        <v>75</v>
      </c>
    </row>
    <row r="29" spans="2:14" x14ac:dyDescent="0.25">
      <c r="B29" s="9">
        <v>20</v>
      </c>
      <c r="C29" s="16" t="s">
        <v>43</v>
      </c>
      <c r="D29" s="11"/>
      <c r="E29" s="11"/>
      <c r="F29" s="11"/>
      <c r="G29" s="12" t="s">
        <v>85</v>
      </c>
      <c r="H29" s="13" t="s">
        <v>86</v>
      </c>
      <c r="I29" s="12"/>
      <c r="J29" s="12"/>
      <c r="K29" s="12"/>
      <c r="L29" s="12"/>
      <c r="M29" s="12"/>
      <c r="N29" s="14" t="s">
        <v>75</v>
      </c>
    </row>
    <row r="30" spans="2:14" x14ac:dyDescent="0.25">
      <c r="B30" s="9">
        <v>21</v>
      </c>
      <c r="C30" s="16" t="s">
        <v>43</v>
      </c>
      <c r="D30" s="11"/>
      <c r="E30" s="11"/>
      <c r="F30" s="12" t="s">
        <v>87</v>
      </c>
      <c r="G30" s="12" t="s">
        <v>88</v>
      </c>
      <c r="H30" s="13" t="s">
        <v>89</v>
      </c>
      <c r="I30" s="12"/>
      <c r="J30" s="12"/>
      <c r="K30" s="12"/>
      <c r="L30" s="12"/>
      <c r="M30" s="12"/>
      <c r="N30" s="14" t="s">
        <v>75</v>
      </c>
    </row>
    <row r="31" spans="2:14" x14ac:dyDescent="0.25">
      <c r="B31" s="9">
        <v>22</v>
      </c>
      <c r="C31" s="15" t="s">
        <v>31</v>
      </c>
      <c r="D31" s="11"/>
      <c r="E31" s="11" t="s">
        <v>90</v>
      </c>
      <c r="F31" s="12" t="s">
        <v>91</v>
      </c>
      <c r="G31" s="12" t="s">
        <v>92</v>
      </c>
      <c r="H31" s="13" t="s">
        <v>93</v>
      </c>
      <c r="I31" s="12"/>
      <c r="J31" s="12"/>
      <c r="K31" s="12"/>
      <c r="L31" s="12"/>
      <c r="M31" s="12"/>
      <c r="N31" s="14" t="s">
        <v>75</v>
      </c>
    </row>
    <row r="32" spans="2:14" x14ac:dyDescent="0.25">
      <c r="B32" s="9">
        <v>23</v>
      </c>
      <c r="C32" s="15" t="s">
        <v>31</v>
      </c>
      <c r="D32" s="11"/>
      <c r="E32" s="11"/>
      <c r="F32" s="12" t="s">
        <v>94</v>
      </c>
      <c r="G32" s="12" t="s">
        <v>95</v>
      </c>
      <c r="H32" s="13" t="s">
        <v>96</v>
      </c>
      <c r="I32" s="12"/>
      <c r="J32" s="12"/>
      <c r="K32" s="12"/>
      <c r="L32" s="12"/>
      <c r="M32" s="12"/>
      <c r="N32" s="14" t="s">
        <v>75</v>
      </c>
    </row>
    <row r="33" spans="2:14" x14ac:dyDescent="0.25">
      <c r="B33" s="9">
        <v>24</v>
      </c>
      <c r="C33" s="16" t="s">
        <v>43</v>
      </c>
      <c r="D33" s="11"/>
      <c r="E33" s="11"/>
      <c r="F33" s="12" t="s">
        <v>97</v>
      </c>
      <c r="G33" s="12" t="s">
        <v>98</v>
      </c>
      <c r="H33" s="13" t="s">
        <v>99</v>
      </c>
      <c r="I33" s="12"/>
      <c r="J33" s="12"/>
      <c r="K33" s="12"/>
      <c r="L33" s="12"/>
      <c r="M33" s="12"/>
      <c r="N33" s="14" t="s">
        <v>75</v>
      </c>
    </row>
    <row r="34" spans="2:14" x14ac:dyDescent="0.25">
      <c r="B34" s="9">
        <v>25</v>
      </c>
      <c r="C34" s="16" t="s">
        <v>43</v>
      </c>
      <c r="D34" s="11"/>
      <c r="E34" s="11"/>
      <c r="F34" s="12" t="s">
        <v>100</v>
      </c>
      <c r="G34" s="12" t="s">
        <v>101</v>
      </c>
      <c r="H34" s="13" t="s">
        <v>102</v>
      </c>
      <c r="I34" s="12"/>
      <c r="J34" s="12"/>
      <c r="K34" s="12"/>
      <c r="L34" s="12"/>
      <c r="M34" s="12"/>
      <c r="N34" s="14" t="s">
        <v>75</v>
      </c>
    </row>
    <row r="35" spans="2:14" x14ac:dyDescent="0.25">
      <c r="B35" s="9">
        <v>26</v>
      </c>
      <c r="C35" s="10" t="s">
        <v>22</v>
      </c>
      <c r="D35" s="11"/>
      <c r="E35" s="11" t="s">
        <v>103</v>
      </c>
      <c r="F35" s="12" t="s">
        <v>104</v>
      </c>
      <c r="G35" s="12" t="s">
        <v>105</v>
      </c>
      <c r="H35" s="13" t="s">
        <v>106</v>
      </c>
      <c r="I35" s="12"/>
      <c r="J35" s="12"/>
      <c r="K35" s="12"/>
      <c r="L35" s="12"/>
      <c r="M35" s="12"/>
      <c r="N35" s="14" t="s">
        <v>75</v>
      </c>
    </row>
    <row r="36" spans="2:14" x14ac:dyDescent="0.25">
      <c r="B36" s="9">
        <v>27</v>
      </c>
      <c r="C36" s="10" t="s">
        <v>22</v>
      </c>
      <c r="D36" s="11"/>
      <c r="E36" s="11"/>
      <c r="F36" s="12" t="s">
        <v>107</v>
      </c>
      <c r="G36" s="12" t="s">
        <v>108</v>
      </c>
      <c r="H36" s="13" t="s">
        <v>109</v>
      </c>
      <c r="I36" s="12"/>
      <c r="J36" s="12"/>
      <c r="K36" s="12"/>
      <c r="L36" s="12"/>
      <c r="M36" s="12"/>
      <c r="N36" s="14" t="s">
        <v>75</v>
      </c>
    </row>
    <row r="37" spans="2:14" x14ac:dyDescent="0.25">
      <c r="B37" s="9">
        <v>28</v>
      </c>
      <c r="C37" s="10" t="s">
        <v>22</v>
      </c>
      <c r="D37" s="11"/>
      <c r="E37" s="11"/>
      <c r="F37" s="12" t="s">
        <v>110</v>
      </c>
      <c r="G37" s="12" t="s">
        <v>111</v>
      </c>
      <c r="H37" s="13" t="s">
        <v>112</v>
      </c>
      <c r="I37" s="12"/>
      <c r="J37" s="12"/>
      <c r="K37" s="12"/>
      <c r="L37" s="12"/>
      <c r="M37" s="12"/>
      <c r="N37" s="14" t="s">
        <v>75</v>
      </c>
    </row>
    <row r="38" spans="2:14" x14ac:dyDescent="0.25">
      <c r="B38" s="9">
        <v>29</v>
      </c>
      <c r="C38" s="16" t="s">
        <v>43</v>
      </c>
      <c r="D38" s="11"/>
      <c r="E38" s="11"/>
      <c r="F38" s="12" t="s">
        <v>113</v>
      </c>
      <c r="G38" s="12" t="s">
        <v>98</v>
      </c>
      <c r="H38" s="13" t="s">
        <v>114</v>
      </c>
      <c r="I38" s="12"/>
      <c r="J38" s="12"/>
      <c r="K38" s="12"/>
      <c r="L38" s="12"/>
      <c r="M38" s="12"/>
      <c r="N38" s="14" t="s">
        <v>75</v>
      </c>
    </row>
    <row r="39" spans="2:14" x14ac:dyDescent="0.25">
      <c r="B39" s="9">
        <v>30</v>
      </c>
      <c r="C39" s="16" t="s">
        <v>43</v>
      </c>
      <c r="D39" s="11"/>
      <c r="E39" s="11"/>
      <c r="F39" s="12" t="s">
        <v>110</v>
      </c>
      <c r="G39" s="12" t="s">
        <v>115</v>
      </c>
      <c r="H39" s="13" t="s">
        <v>116</v>
      </c>
      <c r="I39" s="12"/>
      <c r="J39" s="12"/>
      <c r="K39" s="12"/>
      <c r="L39" s="12"/>
      <c r="M39" s="12"/>
      <c r="N39" s="14" t="s">
        <v>75</v>
      </c>
    </row>
    <row r="40" spans="2:14" x14ac:dyDescent="0.25">
      <c r="B40" s="9">
        <v>31</v>
      </c>
      <c r="C40" s="16" t="s">
        <v>43</v>
      </c>
      <c r="D40" s="11"/>
      <c r="E40" s="11" t="s">
        <v>71</v>
      </c>
      <c r="F40" s="12" t="s">
        <v>72</v>
      </c>
      <c r="G40" s="12" t="s">
        <v>117</v>
      </c>
      <c r="H40" s="13" t="s">
        <v>118</v>
      </c>
      <c r="I40" s="12"/>
      <c r="J40" s="12"/>
      <c r="K40" s="12"/>
      <c r="L40" s="12"/>
      <c r="M40" s="12"/>
      <c r="N40" s="14" t="s">
        <v>75</v>
      </c>
    </row>
    <row r="41" spans="2:14" x14ac:dyDescent="0.25">
      <c r="B41" s="9">
        <v>32</v>
      </c>
      <c r="C41" s="16" t="s">
        <v>43</v>
      </c>
      <c r="D41" s="11"/>
      <c r="E41" s="11"/>
      <c r="F41" s="12" t="s">
        <v>78</v>
      </c>
      <c r="G41" s="12" t="s">
        <v>119</v>
      </c>
      <c r="H41" s="13" t="s">
        <v>120</v>
      </c>
      <c r="I41" s="12"/>
      <c r="J41" s="12"/>
      <c r="K41" s="12"/>
      <c r="L41" s="12"/>
      <c r="M41" s="12"/>
      <c r="N41" s="14" t="s">
        <v>75</v>
      </c>
    </row>
    <row r="42" spans="2:14" x14ac:dyDescent="0.25">
      <c r="B42" s="9">
        <v>33</v>
      </c>
      <c r="C42" s="15" t="s">
        <v>31</v>
      </c>
      <c r="D42" s="11" t="s">
        <v>121</v>
      </c>
      <c r="E42" s="11" t="s">
        <v>122</v>
      </c>
      <c r="F42" s="12" t="s">
        <v>123</v>
      </c>
      <c r="G42" s="12" t="s">
        <v>124</v>
      </c>
      <c r="H42" s="13" t="s">
        <v>125</v>
      </c>
      <c r="I42" s="12"/>
      <c r="J42" s="12"/>
      <c r="K42" s="12"/>
      <c r="L42" s="12"/>
      <c r="M42" s="12"/>
      <c r="N42" s="14" t="s">
        <v>126</v>
      </c>
    </row>
    <row r="43" spans="2:14" x14ac:dyDescent="0.25">
      <c r="B43" s="9">
        <v>34</v>
      </c>
      <c r="C43" s="10" t="s">
        <v>22</v>
      </c>
      <c r="D43" s="11"/>
      <c r="E43" s="11"/>
      <c r="F43" s="12" t="s">
        <v>127</v>
      </c>
      <c r="G43" s="12" t="s">
        <v>128</v>
      </c>
      <c r="H43" s="13" t="s">
        <v>129</v>
      </c>
      <c r="I43" s="12"/>
      <c r="J43" s="12"/>
      <c r="K43" s="12"/>
      <c r="L43" s="12"/>
      <c r="M43" s="12"/>
      <c r="N43" s="14" t="s">
        <v>126</v>
      </c>
    </row>
    <row r="44" spans="2:14" x14ac:dyDescent="0.25">
      <c r="B44" s="9">
        <v>35</v>
      </c>
      <c r="C44" s="10" t="s">
        <v>22</v>
      </c>
      <c r="D44" s="11"/>
      <c r="E44" s="11" t="s">
        <v>130</v>
      </c>
      <c r="F44" s="12" t="s">
        <v>131</v>
      </c>
      <c r="G44" s="12" t="s">
        <v>132</v>
      </c>
      <c r="H44" s="13" t="s">
        <v>133</v>
      </c>
      <c r="I44" s="12"/>
      <c r="J44" s="12"/>
      <c r="K44" s="12"/>
      <c r="L44" s="12"/>
      <c r="M44" s="12"/>
      <c r="N44" s="14" t="s">
        <v>126</v>
      </c>
    </row>
    <row r="45" spans="2:14" x14ac:dyDescent="0.25">
      <c r="B45" s="9">
        <v>36</v>
      </c>
      <c r="C45" s="10" t="s">
        <v>22</v>
      </c>
      <c r="D45" s="11"/>
      <c r="E45" s="11"/>
      <c r="F45" s="12" t="s">
        <v>134</v>
      </c>
      <c r="G45" s="12" t="s">
        <v>135</v>
      </c>
      <c r="H45" s="13" t="s">
        <v>136</v>
      </c>
      <c r="I45" s="12"/>
      <c r="J45" s="12"/>
      <c r="K45" s="12"/>
      <c r="L45" s="12"/>
      <c r="M45" s="12"/>
      <c r="N45" s="14" t="s">
        <v>126</v>
      </c>
    </row>
    <row r="46" spans="2:14" x14ac:dyDescent="0.25">
      <c r="B46" s="9">
        <v>37</v>
      </c>
      <c r="C46" s="10" t="s">
        <v>22</v>
      </c>
      <c r="D46" s="11"/>
      <c r="E46" s="12" t="s">
        <v>137</v>
      </c>
      <c r="F46" s="12" t="s">
        <v>11</v>
      </c>
      <c r="G46" s="12" t="s">
        <v>138</v>
      </c>
      <c r="H46" s="13" t="s">
        <v>139</v>
      </c>
      <c r="I46" s="12"/>
      <c r="J46" s="12"/>
      <c r="K46" s="12"/>
      <c r="L46" s="12"/>
      <c r="M46" s="12"/>
      <c r="N46" s="14" t="s">
        <v>126</v>
      </c>
    </row>
    <row r="47" spans="2:14" x14ac:dyDescent="0.25">
      <c r="B47" s="9">
        <v>38</v>
      </c>
      <c r="C47" s="16" t="s">
        <v>43</v>
      </c>
      <c r="D47" s="11"/>
      <c r="E47" s="11" t="s">
        <v>140</v>
      </c>
      <c r="F47" s="12" t="s">
        <v>11</v>
      </c>
      <c r="G47" s="12" t="s">
        <v>141</v>
      </c>
      <c r="H47" s="13" t="s">
        <v>142</v>
      </c>
      <c r="I47" s="12"/>
      <c r="J47" s="12"/>
      <c r="K47" s="12"/>
      <c r="L47" s="12"/>
      <c r="M47" s="12"/>
      <c r="N47" s="14" t="s">
        <v>126</v>
      </c>
    </row>
    <row r="48" spans="2:14" x14ac:dyDescent="0.25">
      <c r="B48" s="9">
        <v>39</v>
      </c>
      <c r="C48" s="16" t="s">
        <v>43</v>
      </c>
      <c r="D48" s="11"/>
      <c r="E48" s="11"/>
      <c r="F48" s="12" t="s">
        <v>11</v>
      </c>
      <c r="G48" s="12" t="s">
        <v>143</v>
      </c>
      <c r="H48" s="13" t="s">
        <v>144</v>
      </c>
      <c r="I48" s="12"/>
      <c r="J48" s="12"/>
      <c r="K48" s="12"/>
      <c r="L48" s="12"/>
      <c r="M48" s="12"/>
      <c r="N48" s="14" t="s">
        <v>126</v>
      </c>
    </row>
    <row r="49" spans="2:14" x14ac:dyDescent="0.25">
      <c r="B49" s="9">
        <v>40</v>
      </c>
      <c r="C49" s="16" t="s">
        <v>43</v>
      </c>
      <c r="D49" s="11" t="s">
        <v>145</v>
      </c>
      <c r="E49" s="11" t="s">
        <v>146</v>
      </c>
      <c r="F49" s="11" t="s">
        <v>147</v>
      </c>
      <c r="G49" s="12" t="s">
        <v>148</v>
      </c>
      <c r="H49" s="13" t="s">
        <v>149</v>
      </c>
      <c r="I49" s="12"/>
      <c r="J49" s="12"/>
      <c r="K49" s="12"/>
      <c r="L49" s="12"/>
      <c r="M49" s="12"/>
      <c r="N49" s="14" t="s">
        <v>150</v>
      </c>
    </row>
    <row r="50" spans="2:14" x14ac:dyDescent="0.25">
      <c r="B50" s="9">
        <v>41</v>
      </c>
      <c r="C50" s="10" t="s">
        <v>22</v>
      </c>
      <c r="D50" s="11"/>
      <c r="E50" s="11"/>
      <c r="F50" s="11"/>
      <c r="G50" s="12" t="s">
        <v>151</v>
      </c>
      <c r="H50" s="13" t="s">
        <v>152</v>
      </c>
      <c r="I50" s="12"/>
      <c r="J50" s="12"/>
      <c r="K50" s="12"/>
      <c r="L50" s="12"/>
      <c r="M50" s="12"/>
      <c r="N50" s="14" t="s">
        <v>150</v>
      </c>
    </row>
    <row r="51" spans="2:14" x14ac:dyDescent="0.25">
      <c r="B51" s="9">
        <v>42</v>
      </c>
      <c r="C51" s="16" t="s">
        <v>43</v>
      </c>
      <c r="D51" s="11"/>
      <c r="E51" s="11" t="s">
        <v>153</v>
      </c>
      <c r="F51" s="12" t="s">
        <v>154</v>
      </c>
      <c r="G51" s="12" t="s">
        <v>155</v>
      </c>
      <c r="H51" s="13" t="s">
        <v>156</v>
      </c>
      <c r="I51" s="12"/>
      <c r="J51" s="12"/>
      <c r="K51" s="12"/>
      <c r="L51" s="12"/>
      <c r="M51" s="12"/>
      <c r="N51" s="14" t="s">
        <v>150</v>
      </c>
    </row>
    <row r="52" spans="2:14" x14ac:dyDescent="0.25">
      <c r="B52" s="9">
        <v>43</v>
      </c>
      <c r="C52" s="10" t="s">
        <v>22</v>
      </c>
      <c r="D52" s="11"/>
      <c r="E52" s="11"/>
      <c r="F52" s="12" t="s">
        <v>157</v>
      </c>
      <c r="G52" s="12" t="s">
        <v>158</v>
      </c>
      <c r="H52" s="13" t="s">
        <v>159</v>
      </c>
      <c r="I52" s="12"/>
      <c r="J52" s="12"/>
      <c r="K52" s="12"/>
      <c r="L52" s="12"/>
      <c r="M52" s="12"/>
      <c r="N52" s="14" t="s">
        <v>150</v>
      </c>
    </row>
    <row r="53" spans="2:14" x14ac:dyDescent="0.25">
      <c r="B53" s="9">
        <v>44</v>
      </c>
      <c r="C53" s="15" t="s">
        <v>31</v>
      </c>
      <c r="D53" s="11"/>
      <c r="E53" s="11" t="s">
        <v>160</v>
      </c>
      <c r="F53" s="12" t="s">
        <v>161</v>
      </c>
      <c r="G53" s="12" t="s">
        <v>162</v>
      </c>
      <c r="H53" s="13" t="s">
        <v>163</v>
      </c>
      <c r="I53" s="12"/>
      <c r="J53" s="12"/>
      <c r="K53" s="12"/>
      <c r="L53" s="12"/>
      <c r="M53" s="12"/>
      <c r="N53" s="14" t="s">
        <v>150</v>
      </c>
    </row>
    <row r="54" spans="2:14" x14ac:dyDescent="0.25">
      <c r="B54" s="9">
        <v>45</v>
      </c>
      <c r="C54" s="10" t="s">
        <v>22</v>
      </c>
      <c r="D54" s="11"/>
      <c r="E54" s="11"/>
      <c r="F54" s="12" t="s">
        <v>164</v>
      </c>
      <c r="G54" s="12" t="s">
        <v>165</v>
      </c>
      <c r="H54" s="13" t="s">
        <v>166</v>
      </c>
      <c r="I54" s="12"/>
      <c r="J54" s="12"/>
      <c r="K54" s="12"/>
      <c r="L54" s="12"/>
      <c r="M54" s="12"/>
      <c r="N54" s="14" t="s">
        <v>150</v>
      </c>
    </row>
    <row r="55" spans="2:14" x14ac:dyDescent="0.25">
      <c r="B55" s="9">
        <v>46</v>
      </c>
      <c r="C55" s="10" t="s">
        <v>22</v>
      </c>
      <c r="D55" s="11"/>
      <c r="E55" s="11"/>
      <c r="F55" s="12" t="s">
        <v>167</v>
      </c>
      <c r="G55" s="12" t="s">
        <v>168</v>
      </c>
      <c r="H55" s="13" t="s">
        <v>169</v>
      </c>
      <c r="I55" s="12"/>
      <c r="J55" s="12"/>
      <c r="K55" s="12"/>
      <c r="L55" s="12"/>
      <c r="M55" s="12"/>
      <c r="N55" s="14" t="s">
        <v>150</v>
      </c>
    </row>
    <row r="56" spans="2:14" x14ac:dyDescent="0.25">
      <c r="B56" s="9">
        <v>47</v>
      </c>
      <c r="C56" s="10" t="s">
        <v>22</v>
      </c>
      <c r="D56" s="11"/>
      <c r="E56" s="12" t="s">
        <v>170</v>
      </c>
      <c r="F56" s="12" t="s">
        <v>11</v>
      </c>
      <c r="G56" s="12" t="s">
        <v>171</v>
      </c>
      <c r="H56" s="13" t="s">
        <v>172</v>
      </c>
      <c r="I56" s="12"/>
      <c r="J56" s="12"/>
      <c r="K56" s="12"/>
      <c r="L56" s="12"/>
      <c r="M56" s="12"/>
      <c r="N56" s="14" t="s">
        <v>150</v>
      </c>
    </row>
    <row r="57" spans="2:14" x14ac:dyDescent="0.25">
      <c r="B57" s="9">
        <v>48</v>
      </c>
      <c r="C57" s="16" t="s">
        <v>43</v>
      </c>
      <c r="D57" s="11" t="s">
        <v>173</v>
      </c>
      <c r="E57" s="12" t="s">
        <v>146</v>
      </c>
      <c r="F57" s="12" t="s">
        <v>11</v>
      </c>
      <c r="G57" s="12" t="s">
        <v>148</v>
      </c>
      <c r="H57" s="13" t="s">
        <v>174</v>
      </c>
      <c r="I57" s="12"/>
      <c r="J57" s="12"/>
      <c r="K57" s="12"/>
      <c r="L57" s="12"/>
      <c r="M57" s="12"/>
      <c r="N57" s="14" t="s">
        <v>175</v>
      </c>
    </row>
    <row r="58" spans="2:14" x14ac:dyDescent="0.25">
      <c r="B58" s="9">
        <v>49</v>
      </c>
      <c r="C58" s="16" t="s">
        <v>43</v>
      </c>
      <c r="D58" s="11"/>
      <c r="E58" s="11" t="s">
        <v>153</v>
      </c>
      <c r="F58" s="12" t="s">
        <v>154</v>
      </c>
      <c r="G58" s="12" t="s">
        <v>155</v>
      </c>
      <c r="H58" s="13" t="s">
        <v>176</v>
      </c>
      <c r="I58" s="12"/>
      <c r="J58" s="12"/>
      <c r="K58" s="12"/>
      <c r="L58" s="12"/>
      <c r="M58" s="12"/>
      <c r="N58" s="14" t="s">
        <v>175</v>
      </c>
    </row>
    <row r="59" spans="2:14" x14ac:dyDescent="0.25">
      <c r="B59" s="9">
        <v>50</v>
      </c>
      <c r="C59" s="10" t="s">
        <v>22</v>
      </c>
      <c r="D59" s="11"/>
      <c r="E59" s="11"/>
      <c r="F59" s="12" t="s">
        <v>157</v>
      </c>
      <c r="G59" s="12" t="s">
        <v>158</v>
      </c>
      <c r="H59" s="13" t="s">
        <v>177</v>
      </c>
      <c r="I59" s="12"/>
      <c r="J59" s="12"/>
      <c r="K59" s="12"/>
      <c r="L59" s="12"/>
      <c r="M59" s="12"/>
      <c r="N59" s="14" t="s">
        <v>175</v>
      </c>
    </row>
    <row r="60" spans="2:14" x14ac:dyDescent="0.25">
      <c r="B60" s="9">
        <v>51</v>
      </c>
      <c r="C60" s="15" t="s">
        <v>31</v>
      </c>
      <c r="D60" s="11"/>
      <c r="E60" s="11" t="s">
        <v>178</v>
      </c>
      <c r="F60" s="12" t="s">
        <v>161</v>
      </c>
      <c r="G60" s="12" t="s">
        <v>179</v>
      </c>
      <c r="H60" s="13" t="s">
        <v>180</v>
      </c>
      <c r="I60" s="12"/>
      <c r="J60" s="12"/>
      <c r="K60" s="12"/>
      <c r="L60" s="12"/>
      <c r="M60" s="12"/>
      <c r="N60" s="14" t="s">
        <v>175</v>
      </c>
    </row>
    <row r="61" spans="2:14" x14ac:dyDescent="0.25">
      <c r="B61" s="9">
        <v>52</v>
      </c>
      <c r="C61" s="10" t="s">
        <v>22</v>
      </c>
      <c r="D61" s="11"/>
      <c r="E61" s="11"/>
      <c r="F61" s="12" t="s">
        <v>181</v>
      </c>
      <c r="G61" s="12" t="s">
        <v>182</v>
      </c>
      <c r="H61" s="13" t="s">
        <v>183</v>
      </c>
      <c r="I61" s="12"/>
      <c r="J61" s="12"/>
      <c r="K61" s="12"/>
      <c r="L61" s="12"/>
      <c r="M61" s="12"/>
      <c r="N61" s="14" t="s">
        <v>175</v>
      </c>
    </row>
    <row r="62" spans="2:14" x14ac:dyDescent="0.25">
      <c r="B62" s="9">
        <v>53</v>
      </c>
      <c r="C62" s="10" t="s">
        <v>22</v>
      </c>
      <c r="D62" s="11"/>
      <c r="E62" s="11"/>
      <c r="F62" s="11" t="s">
        <v>184</v>
      </c>
      <c r="G62" s="12" t="s">
        <v>185</v>
      </c>
      <c r="H62" s="13" t="s">
        <v>186</v>
      </c>
      <c r="I62" s="12"/>
      <c r="J62" s="12"/>
      <c r="K62" s="12"/>
      <c r="L62" s="12"/>
      <c r="M62" s="12"/>
      <c r="N62" s="14" t="s">
        <v>175</v>
      </c>
    </row>
    <row r="63" spans="2:14" x14ac:dyDescent="0.25">
      <c r="B63" s="9">
        <v>54</v>
      </c>
      <c r="C63" s="10" t="s">
        <v>22</v>
      </c>
      <c r="D63" s="11"/>
      <c r="E63" s="11"/>
      <c r="F63" s="11"/>
      <c r="G63" s="12" t="s">
        <v>187</v>
      </c>
      <c r="H63" s="13" t="s">
        <v>188</v>
      </c>
      <c r="I63" s="12"/>
      <c r="J63" s="12"/>
      <c r="K63" s="12"/>
      <c r="L63" s="12"/>
      <c r="M63" s="12"/>
      <c r="N63" s="14" t="s">
        <v>175</v>
      </c>
    </row>
    <row r="64" spans="2:14" x14ac:dyDescent="0.25">
      <c r="B64" s="9">
        <v>55</v>
      </c>
      <c r="C64" s="10" t="s">
        <v>22</v>
      </c>
      <c r="D64" s="11"/>
      <c r="E64" s="11"/>
      <c r="F64" s="12" t="s">
        <v>189</v>
      </c>
      <c r="G64" s="12" t="s">
        <v>190</v>
      </c>
      <c r="H64" s="13" t="s">
        <v>191</v>
      </c>
      <c r="I64" s="12"/>
      <c r="J64" s="12"/>
      <c r="K64" s="12"/>
      <c r="L64" s="12"/>
      <c r="M64" s="12"/>
      <c r="N64" s="14" t="s">
        <v>175</v>
      </c>
    </row>
    <row r="65" spans="2:14" x14ac:dyDescent="0.25">
      <c r="B65" s="9">
        <v>56</v>
      </c>
      <c r="C65" s="10" t="s">
        <v>22</v>
      </c>
      <c r="D65" s="11"/>
      <c r="E65" s="11"/>
      <c r="F65" s="12" t="s">
        <v>192</v>
      </c>
      <c r="G65" s="12" t="s">
        <v>98</v>
      </c>
      <c r="H65" s="13" t="s">
        <v>193</v>
      </c>
      <c r="I65" s="12"/>
      <c r="J65" s="12"/>
      <c r="K65" s="12"/>
      <c r="L65" s="12"/>
      <c r="M65" s="12"/>
      <c r="N65" s="14" t="s">
        <v>175</v>
      </c>
    </row>
    <row r="66" spans="2:14" x14ac:dyDescent="0.25">
      <c r="B66" s="9">
        <v>57</v>
      </c>
      <c r="C66" s="10" t="s">
        <v>22</v>
      </c>
      <c r="D66" s="11"/>
      <c r="E66" s="11"/>
      <c r="F66" s="12" t="s">
        <v>194</v>
      </c>
      <c r="G66" s="12" t="s">
        <v>98</v>
      </c>
      <c r="H66" s="13" t="s">
        <v>195</v>
      </c>
      <c r="I66" s="12"/>
      <c r="J66" s="12"/>
      <c r="K66" s="12"/>
      <c r="L66" s="12"/>
      <c r="M66" s="12"/>
      <c r="N66" s="14" t="s">
        <v>175</v>
      </c>
    </row>
    <row r="67" spans="2:14" x14ac:dyDescent="0.25">
      <c r="B67" s="9">
        <v>58</v>
      </c>
      <c r="C67" s="10" t="s">
        <v>22</v>
      </c>
      <c r="D67" s="11"/>
      <c r="E67" s="11"/>
      <c r="F67" s="12" t="s">
        <v>196</v>
      </c>
      <c r="G67" s="12" t="s">
        <v>197</v>
      </c>
      <c r="H67" s="13" t="s">
        <v>198</v>
      </c>
      <c r="I67" s="12"/>
      <c r="J67" s="12"/>
      <c r="K67" s="12"/>
      <c r="L67" s="12"/>
      <c r="M67" s="12"/>
      <c r="N67" s="14" t="s">
        <v>175</v>
      </c>
    </row>
    <row r="68" spans="2:14" x14ac:dyDescent="0.25">
      <c r="B68" s="9">
        <v>59</v>
      </c>
      <c r="C68" s="10" t="s">
        <v>22</v>
      </c>
      <c r="D68" s="11"/>
      <c r="E68" s="12" t="s">
        <v>199</v>
      </c>
      <c r="F68" s="12" t="s">
        <v>11</v>
      </c>
      <c r="G68" s="12" t="s">
        <v>200</v>
      </c>
      <c r="H68" s="13" t="s">
        <v>201</v>
      </c>
      <c r="I68" s="12"/>
      <c r="J68" s="12"/>
      <c r="K68" s="12"/>
      <c r="L68" s="12"/>
      <c r="M68" s="12"/>
      <c r="N68" s="14" t="s">
        <v>175</v>
      </c>
    </row>
    <row r="69" spans="2:14" x14ac:dyDescent="0.25">
      <c r="B69" s="9">
        <v>60</v>
      </c>
      <c r="C69" s="16" t="s">
        <v>43</v>
      </c>
      <c r="D69" s="11" t="s">
        <v>202</v>
      </c>
      <c r="E69" s="11" t="s">
        <v>203</v>
      </c>
      <c r="F69" s="12" t="s">
        <v>204</v>
      </c>
      <c r="G69" s="12" t="s">
        <v>205</v>
      </c>
      <c r="H69" s="13" t="s">
        <v>206</v>
      </c>
      <c r="I69" s="12"/>
      <c r="J69" s="12"/>
      <c r="K69" s="12"/>
      <c r="L69" s="12"/>
      <c r="M69" s="12"/>
      <c r="N69" s="14" t="s">
        <v>207</v>
      </c>
    </row>
    <row r="70" spans="2:14" x14ac:dyDescent="0.25">
      <c r="B70" s="9">
        <v>61</v>
      </c>
      <c r="C70" s="16" t="s">
        <v>43</v>
      </c>
      <c r="D70" s="11"/>
      <c r="E70" s="11"/>
      <c r="F70" s="12" t="s">
        <v>154</v>
      </c>
      <c r="G70" s="12" t="s">
        <v>155</v>
      </c>
      <c r="H70" s="13" t="s">
        <v>208</v>
      </c>
      <c r="I70" s="12"/>
      <c r="J70" s="12"/>
      <c r="K70" s="12"/>
      <c r="L70" s="12"/>
      <c r="M70" s="12"/>
      <c r="N70" s="14" t="s">
        <v>207</v>
      </c>
    </row>
    <row r="71" spans="2:14" x14ac:dyDescent="0.25">
      <c r="B71" s="9">
        <v>62</v>
      </c>
      <c r="C71" s="10" t="s">
        <v>22</v>
      </c>
      <c r="D71" s="11"/>
      <c r="E71" s="11"/>
      <c r="F71" s="12" t="s">
        <v>209</v>
      </c>
      <c r="G71" s="12" t="s">
        <v>210</v>
      </c>
      <c r="H71" s="13" t="s">
        <v>211</v>
      </c>
      <c r="I71" s="12"/>
      <c r="J71" s="12"/>
      <c r="K71" s="12"/>
      <c r="L71" s="12"/>
      <c r="M71" s="12"/>
      <c r="N71" s="14" t="s">
        <v>207</v>
      </c>
    </row>
    <row r="72" spans="2:14" x14ac:dyDescent="0.25">
      <c r="B72" s="9">
        <v>63</v>
      </c>
      <c r="C72" s="10" t="s">
        <v>22</v>
      </c>
      <c r="D72" s="11"/>
      <c r="E72" s="11" t="s">
        <v>212</v>
      </c>
      <c r="F72" s="12" t="s">
        <v>213</v>
      </c>
      <c r="G72" s="12" t="s">
        <v>214</v>
      </c>
      <c r="H72" s="13" t="s">
        <v>215</v>
      </c>
      <c r="I72" s="12"/>
      <c r="J72" s="12"/>
      <c r="K72" s="12"/>
      <c r="L72" s="12"/>
      <c r="M72" s="12"/>
      <c r="N72" s="14" t="s">
        <v>207</v>
      </c>
    </row>
    <row r="73" spans="2:14" x14ac:dyDescent="0.25">
      <c r="B73" s="9">
        <v>64</v>
      </c>
      <c r="C73" s="15" t="s">
        <v>31</v>
      </c>
      <c r="D73" s="11"/>
      <c r="E73" s="11"/>
      <c r="F73" s="11" t="s">
        <v>216</v>
      </c>
      <c r="G73" s="12" t="s">
        <v>217</v>
      </c>
      <c r="H73" s="13" t="s">
        <v>218</v>
      </c>
      <c r="I73" s="12"/>
      <c r="J73" s="12"/>
      <c r="K73" s="12"/>
      <c r="L73" s="12"/>
      <c r="M73" s="12"/>
      <c r="N73" s="14" t="s">
        <v>207</v>
      </c>
    </row>
    <row r="74" spans="2:14" x14ac:dyDescent="0.25">
      <c r="B74" s="9">
        <v>65</v>
      </c>
      <c r="C74" s="10" t="s">
        <v>22</v>
      </c>
      <c r="D74" s="11"/>
      <c r="E74" s="11"/>
      <c r="F74" s="11"/>
      <c r="G74" s="12" t="s">
        <v>219</v>
      </c>
      <c r="H74" s="13" t="s">
        <v>220</v>
      </c>
      <c r="I74" s="12"/>
      <c r="J74" s="12"/>
      <c r="K74" s="12"/>
      <c r="L74" s="12"/>
      <c r="M74" s="12"/>
      <c r="N74" s="14" t="s">
        <v>207</v>
      </c>
    </row>
    <row r="75" spans="2:14" x14ac:dyDescent="0.25">
      <c r="B75" s="9">
        <v>66</v>
      </c>
      <c r="C75" s="10" t="s">
        <v>22</v>
      </c>
      <c r="D75" s="11"/>
      <c r="E75" s="11"/>
      <c r="F75" s="11"/>
      <c r="G75" s="12" t="s">
        <v>221</v>
      </c>
      <c r="H75" s="13" t="s">
        <v>222</v>
      </c>
      <c r="I75" s="12"/>
      <c r="J75" s="12"/>
      <c r="K75" s="12"/>
      <c r="L75" s="12"/>
      <c r="M75" s="12"/>
      <c r="N75" s="14" t="s">
        <v>207</v>
      </c>
    </row>
    <row r="76" spans="2:14" x14ac:dyDescent="0.25">
      <c r="B76" s="9">
        <v>67</v>
      </c>
      <c r="C76" s="16" t="s">
        <v>43</v>
      </c>
      <c r="D76" s="11"/>
      <c r="E76" s="11"/>
      <c r="F76" s="12" t="s">
        <v>223</v>
      </c>
      <c r="G76" s="12" t="s">
        <v>98</v>
      </c>
      <c r="H76" s="13" t="s">
        <v>224</v>
      </c>
      <c r="I76" s="12"/>
      <c r="J76" s="12"/>
      <c r="K76" s="12"/>
      <c r="L76" s="12"/>
      <c r="M76" s="12"/>
      <c r="N76" s="14" t="s">
        <v>207</v>
      </c>
    </row>
    <row r="77" spans="2:14" x14ac:dyDescent="0.25">
      <c r="B77" s="9">
        <v>68</v>
      </c>
      <c r="C77" s="16" t="s">
        <v>43</v>
      </c>
      <c r="D77" s="11"/>
      <c r="E77" s="11" t="s">
        <v>225</v>
      </c>
      <c r="F77" s="12" t="s">
        <v>226</v>
      </c>
      <c r="G77" s="12" t="s">
        <v>227</v>
      </c>
      <c r="H77" s="13" t="s">
        <v>228</v>
      </c>
      <c r="I77" s="12"/>
      <c r="J77" s="12"/>
      <c r="K77" s="12"/>
      <c r="L77" s="12"/>
      <c r="M77" s="12"/>
      <c r="N77" s="14" t="s">
        <v>207</v>
      </c>
    </row>
    <row r="78" spans="2:14" x14ac:dyDescent="0.25">
      <c r="B78" s="9">
        <v>69</v>
      </c>
      <c r="C78" s="10" t="s">
        <v>22</v>
      </c>
      <c r="D78" s="11"/>
      <c r="E78" s="11"/>
      <c r="F78" s="12" t="s">
        <v>229</v>
      </c>
      <c r="G78" s="12" t="s">
        <v>230</v>
      </c>
      <c r="H78" s="13" t="s">
        <v>231</v>
      </c>
      <c r="I78" s="12"/>
      <c r="J78" s="12"/>
      <c r="K78" s="12"/>
      <c r="L78" s="12"/>
      <c r="M78" s="12"/>
      <c r="N78" s="14" t="s">
        <v>207</v>
      </c>
    </row>
    <row r="79" spans="2:14" x14ac:dyDescent="0.25">
      <c r="B79" s="9">
        <v>70</v>
      </c>
      <c r="C79" s="10" t="s">
        <v>22</v>
      </c>
      <c r="D79" s="11"/>
      <c r="E79" s="11" t="s">
        <v>232</v>
      </c>
      <c r="F79" s="12" t="s">
        <v>233</v>
      </c>
      <c r="G79" s="12" t="s">
        <v>234</v>
      </c>
      <c r="H79" s="13" t="s">
        <v>235</v>
      </c>
      <c r="I79" s="12"/>
      <c r="J79" s="12"/>
      <c r="K79" s="12"/>
      <c r="L79" s="12"/>
      <c r="M79" s="12"/>
      <c r="N79" s="14" t="s">
        <v>207</v>
      </c>
    </row>
    <row r="80" spans="2:14" x14ac:dyDescent="0.25">
      <c r="B80" s="9">
        <v>71</v>
      </c>
      <c r="C80" s="10" t="s">
        <v>22</v>
      </c>
      <c r="D80" s="11"/>
      <c r="E80" s="11"/>
      <c r="F80" s="12" t="s">
        <v>236</v>
      </c>
      <c r="G80" s="12" t="s">
        <v>237</v>
      </c>
      <c r="H80" s="13" t="s">
        <v>238</v>
      </c>
      <c r="I80" s="12"/>
      <c r="J80" s="12"/>
      <c r="K80" s="12"/>
      <c r="L80" s="12"/>
      <c r="M80" s="12"/>
      <c r="N80" s="14" t="s">
        <v>207</v>
      </c>
    </row>
    <row r="81" spans="2:14" x14ac:dyDescent="0.25">
      <c r="B81" s="9">
        <v>72</v>
      </c>
      <c r="C81" s="10" t="s">
        <v>22</v>
      </c>
      <c r="D81" s="11"/>
      <c r="E81" s="11"/>
      <c r="F81" s="12" t="s">
        <v>239</v>
      </c>
      <c r="G81" s="12" t="s">
        <v>240</v>
      </c>
      <c r="H81" s="13" t="s">
        <v>241</v>
      </c>
      <c r="I81" s="12"/>
      <c r="J81" s="12"/>
      <c r="K81" s="12"/>
      <c r="L81" s="12"/>
      <c r="M81" s="12"/>
      <c r="N81" s="14" t="s">
        <v>207</v>
      </c>
    </row>
    <row r="82" spans="2:14" x14ac:dyDescent="0.25">
      <c r="B82" s="9">
        <v>73</v>
      </c>
      <c r="C82" s="15" t="s">
        <v>31</v>
      </c>
      <c r="D82" s="11"/>
      <c r="E82" s="11"/>
      <c r="F82" s="12" t="s">
        <v>242</v>
      </c>
      <c r="G82" s="12" t="s">
        <v>243</v>
      </c>
      <c r="H82" s="13" t="s">
        <v>244</v>
      </c>
      <c r="I82" s="12"/>
      <c r="J82" s="12"/>
      <c r="K82" s="12"/>
      <c r="L82" s="12"/>
      <c r="M82" s="12"/>
      <c r="N82" s="14" t="s">
        <v>207</v>
      </c>
    </row>
    <row r="83" spans="2:14" x14ac:dyDescent="0.25">
      <c r="B83" s="9">
        <v>74</v>
      </c>
      <c r="C83" s="16" t="s">
        <v>43</v>
      </c>
      <c r="D83" s="11"/>
      <c r="E83" s="12" t="s">
        <v>170</v>
      </c>
      <c r="F83" s="12" t="s">
        <v>11</v>
      </c>
      <c r="G83" s="12" t="s">
        <v>171</v>
      </c>
      <c r="H83" s="13" t="s">
        <v>245</v>
      </c>
      <c r="I83" s="12"/>
      <c r="J83" s="12"/>
      <c r="K83" s="12"/>
      <c r="L83" s="12"/>
      <c r="M83" s="12"/>
      <c r="N83" s="14" t="s">
        <v>207</v>
      </c>
    </row>
    <row r="84" spans="2:14" x14ac:dyDescent="0.25">
      <c r="B84" s="9">
        <v>75</v>
      </c>
      <c r="C84" s="16" t="s">
        <v>43</v>
      </c>
      <c r="D84" s="11" t="s">
        <v>246</v>
      </c>
      <c r="E84" s="12" t="s">
        <v>146</v>
      </c>
      <c r="F84" s="12" t="s">
        <v>11</v>
      </c>
      <c r="G84" s="12" t="s">
        <v>247</v>
      </c>
      <c r="H84" s="13" t="s">
        <v>248</v>
      </c>
      <c r="I84" s="12"/>
      <c r="J84" s="12"/>
      <c r="K84" s="12"/>
      <c r="L84" s="12"/>
      <c r="M84" s="12"/>
      <c r="N84" s="14" t="s">
        <v>249</v>
      </c>
    </row>
    <row r="85" spans="2:14" x14ac:dyDescent="0.25">
      <c r="B85" s="9">
        <v>76</v>
      </c>
      <c r="C85" s="15" t="s">
        <v>31</v>
      </c>
      <c r="D85" s="11"/>
      <c r="E85" s="11" t="s">
        <v>250</v>
      </c>
      <c r="F85" s="12" t="s">
        <v>251</v>
      </c>
      <c r="G85" s="12" t="s">
        <v>252</v>
      </c>
      <c r="H85" s="13" t="s">
        <v>253</v>
      </c>
      <c r="I85" s="12"/>
      <c r="J85" s="12"/>
      <c r="K85" s="12"/>
      <c r="L85" s="12"/>
      <c r="M85" s="12"/>
      <c r="N85" s="14" t="s">
        <v>249</v>
      </c>
    </row>
    <row r="86" spans="2:14" x14ac:dyDescent="0.25">
      <c r="B86" s="9">
        <v>77</v>
      </c>
      <c r="C86" s="10" t="s">
        <v>22</v>
      </c>
      <c r="D86" s="11"/>
      <c r="E86" s="11"/>
      <c r="F86" s="12" t="s">
        <v>254</v>
      </c>
      <c r="G86" s="12" t="s">
        <v>255</v>
      </c>
      <c r="H86" s="13" t="s">
        <v>256</v>
      </c>
      <c r="I86" s="12"/>
      <c r="J86" s="12"/>
      <c r="K86" s="12"/>
      <c r="L86" s="12"/>
      <c r="M86" s="12"/>
      <c r="N86" s="14" t="s">
        <v>249</v>
      </c>
    </row>
    <row r="87" spans="2:14" x14ac:dyDescent="0.25">
      <c r="B87" s="9">
        <v>78</v>
      </c>
      <c r="C87" s="10" t="s">
        <v>22</v>
      </c>
      <c r="D87" s="11"/>
      <c r="E87" s="11"/>
      <c r="F87" s="12" t="s">
        <v>257</v>
      </c>
      <c r="G87" s="12" t="s">
        <v>258</v>
      </c>
      <c r="H87" s="13" t="s">
        <v>259</v>
      </c>
      <c r="I87" s="12"/>
      <c r="J87" s="12"/>
      <c r="K87" s="12"/>
      <c r="L87" s="12"/>
      <c r="M87" s="12"/>
      <c r="N87" s="14" t="s">
        <v>249</v>
      </c>
    </row>
    <row r="88" spans="2:14" x14ac:dyDescent="0.25">
      <c r="B88" s="9">
        <v>79</v>
      </c>
      <c r="C88" s="16" t="s">
        <v>43</v>
      </c>
      <c r="D88" s="11"/>
      <c r="E88" s="11"/>
      <c r="F88" s="12" t="s">
        <v>260</v>
      </c>
      <c r="G88" s="12" t="s">
        <v>261</v>
      </c>
      <c r="H88" s="13" t="s">
        <v>262</v>
      </c>
      <c r="I88" s="12"/>
      <c r="J88" s="12"/>
      <c r="K88" s="12"/>
      <c r="L88" s="12"/>
      <c r="M88" s="12"/>
      <c r="N88" s="14" t="s">
        <v>249</v>
      </c>
    </row>
    <row r="89" spans="2:14" x14ac:dyDescent="0.25">
      <c r="B89" s="9">
        <v>80</v>
      </c>
      <c r="C89" s="10" t="s">
        <v>22</v>
      </c>
      <c r="D89" s="11"/>
      <c r="E89" s="11" t="s">
        <v>199</v>
      </c>
      <c r="F89" s="12" t="s">
        <v>11</v>
      </c>
      <c r="G89" s="12" t="s">
        <v>263</v>
      </c>
      <c r="H89" s="13" t="s">
        <v>264</v>
      </c>
      <c r="I89" s="12"/>
      <c r="J89" s="12"/>
      <c r="K89" s="12"/>
      <c r="L89" s="12"/>
      <c r="M89" s="12"/>
      <c r="N89" s="14" t="s">
        <v>249</v>
      </c>
    </row>
    <row r="90" spans="2:14" x14ac:dyDescent="0.25">
      <c r="B90" s="9">
        <v>81</v>
      </c>
      <c r="C90" s="16" t="s">
        <v>43</v>
      </c>
      <c r="D90" s="11"/>
      <c r="E90" s="11"/>
      <c r="F90" s="12" t="s">
        <v>11</v>
      </c>
      <c r="G90" s="12" t="s">
        <v>265</v>
      </c>
      <c r="H90" s="13" t="s">
        <v>266</v>
      </c>
      <c r="I90" s="12"/>
      <c r="J90" s="12"/>
      <c r="K90" s="12"/>
      <c r="L90" s="12"/>
      <c r="M90" s="12"/>
      <c r="N90" s="14" t="s">
        <v>249</v>
      </c>
    </row>
    <row r="91" spans="2:14" x14ac:dyDescent="0.25">
      <c r="B91" s="9">
        <v>82</v>
      </c>
      <c r="C91" s="16" t="s">
        <v>43</v>
      </c>
      <c r="D91" s="11" t="s">
        <v>267</v>
      </c>
      <c r="E91" s="11" t="s">
        <v>203</v>
      </c>
      <c r="F91" s="12" t="s">
        <v>11</v>
      </c>
      <c r="G91" s="12" t="s">
        <v>148</v>
      </c>
      <c r="H91" s="13" t="s">
        <v>268</v>
      </c>
      <c r="I91" s="12"/>
      <c r="J91" s="12"/>
      <c r="K91" s="12"/>
      <c r="L91" s="12"/>
      <c r="M91" s="12"/>
      <c r="N91" s="14" t="s">
        <v>269</v>
      </c>
    </row>
    <row r="92" spans="2:14" x14ac:dyDescent="0.25">
      <c r="B92" s="9">
        <v>83</v>
      </c>
      <c r="C92" s="16" t="s">
        <v>43</v>
      </c>
      <c r="D92" s="11"/>
      <c r="E92" s="11"/>
      <c r="F92" s="12" t="s">
        <v>11</v>
      </c>
      <c r="G92" s="12" t="s">
        <v>154</v>
      </c>
      <c r="H92" s="13" t="s">
        <v>270</v>
      </c>
      <c r="I92" s="12"/>
      <c r="J92" s="12"/>
      <c r="K92" s="12"/>
      <c r="L92" s="12"/>
      <c r="M92" s="12"/>
      <c r="N92" s="14" t="s">
        <v>269</v>
      </c>
    </row>
    <row r="93" spans="2:14" x14ac:dyDescent="0.25">
      <c r="B93" s="9">
        <v>84</v>
      </c>
      <c r="C93" s="10" t="s">
        <v>22</v>
      </c>
      <c r="D93" s="11"/>
      <c r="E93" s="11" t="s">
        <v>271</v>
      </c>
      <c r="F93" s="12" t="s">
        <v>272</v>
      </c>
      <c r="G93" s="12" t="s">
        <v>273</v>
      </c>
      <c r="H93" s="13" t="s">
        <v>274</v>
      </c>
      <c r="I93" s="12"/>
      <c r="J93" s="12"/>
      <c r="K93" s="12"/>
      <c r="L93" s="12"/>
      <c r="M93" s="12"/>
      <c r="N93" s="14" t="s">
        <v>269</v>
      </c>
    </row>
    <row r="94" spans="2:14" x14ac:dyDescent="0.25">
      <c r="B94" s="9">
        <v>85</v>
      </c>
      <c r="C94" s="15" t="s">
        <v>31</v>
      </c>
      <c r="D94" s="11"/>
      <c r="E94" s="11"/>
      <c r="F94" s="12" t="s">
        <v>275</v>
      </c>
      <c r="G94" s="12" t="s">
        <v>276</v>
      </c>
      <c r="H94" s="13" t="s">
        <v>277</v>
      </c>
      <c r="I94" s="12"/>
      <c r="J94" s="12"/>
      <c r="K94" s="12"/>
      <c r="L94" s="12"/>
      <c r="M94" s="12"/>
      <c r="N94" s="14" t="s">
        <v>269</v>
      </c>
    </row>
    <row r="95" spans="2:14" x14ac:dyDescent="0.25">
      <c r="B95" s="9">
        <v>86</v>
      </c>
      <c r="C95" s="10" t="s">
        <v>22</v>
      </c>
      <c r="D95" s="11"/>
      <c r="E95" s="11"/>
      <c r="F95" s="12" t="s">
        <v>278</v>
      </c>
      <c r="G95" s="12" t="s">
        <v>279</v>
      </c>
      <c r="H95" s="13" t="s">
        <v>280</v>
      </c>
      <c r="I95" s="12"/>
      <c r="J95" s="12"/>
      <c r="K95" s="12"/>
      <c r="L95" s="12"/>
      <c r="M95" s="12"/>
      <c r="N95" s="14" t="s">
        <v>269</v>
      </c>
    </row>
    <row r="96" spans="2:14" x14ac:dyDescent="0.25">
      <c r="B96" s="9">
        <v>87</v>
      </c>
      <c r="C96" s="10" t="s">
        <v>22</v>
      </c>
      <c r="D96" s="11"/>
      <c r="E96" s="11" t="s">
        <v>281</v>
      </c>
      <c r="F96" s="12" t="s">
        <v>282</v>
      </c>
      <c r="G96" s="12" t="s">
        <v>283</v>
      </c>
      <c r="H96" s="13" t="s">
        <v>284</v>
      </c>
      <c r="I96" s="12"/>
      <c r="J96" s="12"/>
      <c r="K96" s="12"/>
      <c r="L96" s="12"/>
      <c r="M96" s="12"/>
      <c r="N96" s="14" t="s">
        <v>269</v>
      </c>
    </row>
    <row r="97" spans="2:14" x14ac:dyDescent="0.25">
      <c r="B97" s="9">
        <v>88</v>
      </c>
      <c r="C97" s="10" t="s">
        <v>22</v>
      </c>
      <c r="D97" s="11"/>
      <c r="E97" s="11"/>
      <c r="F97" s="12" t="s">
        <v>285</v>
      </c>
      <c r="G97" s="12" t="s">
        <v>286</v>
      </c>
      <c r="H97" s="13" t="s">
        <v>287</v>
      </c>
      <c r="I97" s="12"/>
      <c r="J97" s="12"/>
      <c r="K97" s="12"/>
      <c r="L97" s="12"/>
      <c r="M97" s="12"/>
      <c r="N97" s="14" t="s">
        <v>269</v>
      </c>
    </row>
    <row r="98" spans="2:14" x14ac:dyDescent="0.25">
      <c r="B98" s="9">
        <v>89</v>
      </c>
      <c r="C98" s="15" t="s">
        <v>31</v>
      </c>
      <c r="D98" s="11"/>
      <c r="E98" s="11"/>
      <c r="F98" s="12" t="s">
        <v>288</v>
      </c>
      <c r="G98" s="12" t="s">
        <v>289</v>
      </c>
      <c r="H98" s="13" t="s">
        <v>290</v>
      </c>
      <c r="I98" s="12"/>
      <c r="J98" s="12"/>
      <c r="K98" s="12"/>
      <c r="L98" s="12"/>
      <c r="M98" s="12"/>
      <c r="N98" s="14" t="s">
        <v>269</v>
      </c>
    </row>
    <row r="99" spans="2:14" x14ac:dyDescent="0.25">
      <c r="B99" s="9">
        <v>90</v>
      </c>
      <c r="C99" s="10" t="s">
        <v>22</v>
      </c>
      <c r="D99" s="11"/>
      <c r="E99" s="11" t="s">
        <v>225</v>
      </c>
      <c r="F99" s="12" t="s">
        <v>291</v>
      </c>
      <c r="G99" s="12" t="s">
        <v>292</v>
      </c>
      <c r="H99" s="13" t="s">
        <v>293</v>
      </c>
      <c r="I99" s="12"/>
      <c r="J99" s="12"/>
      <c r="K99" s="12"/>
      <c r="L99" s="12"/>
      <c r="M99" s="12"/>
      <c r="N99" s="14" t="s">
        <v>269</v>
      </c>
    </row>
    <row r="100" spans="2:14" x14ac:dyDescent="0.25">
      <c r="B100" s="9">
        <v>91</v>
      </c>
      <c r="C100" s="10" t="s">
        <v>22</v>
      </c>
      <c r="D100" s="11"/>
      <c r="E100" s="11"/>
      <c r="F100" s="12" t="s">
        <v>294</v>
      </c>
      <c r="G100" s="12" t="s">
        <v>295</v>
      </c>
      <c r="H100" s="13" t="s">
        <v>296</v>
      </c>
      <c r="I100" s="12"/>
      <c r="J100" s="12"/>
      <c r="K100" s="12"/>
      <c r="L100" s="12"/>
      <c r="M100" s="12"/>
      <c r="N100" s="14" t="s">
        <v>269</v>
      </c>
    </row>
    <row r="101" spans="2:14" x14ac:dyDescent="0.25">
      <c r="B101" s="9">
        <v>92</v>
      </c>
      <c r="C101" s="10" t="s">
        <v>22</v>
      </c>
      <c r="D101" s="11"/>
      <c r="E101" s="11"/>
      <c r="F101" s="12" t="s">
        <v>297</v>
      </c>
      <c r="G101" s="12" t="s">
        <v>298</v>
      </c>
      <c r="H101" s="13" t="s">
        <v>299</v>
      </c>
      <c r="I101" s="12"/>
      <c r="J101" s="12"/>
      <c r="K101" s="12"/>
      <c r="L101" s="12"/>
      <c r="M101" s="12"/>
      <c r="N101" s="14" t="s">
        <v>269</v>
      </c>
    </row>
    <row r="102" spans="2:14" x14ac:dyDescent="0.25">
      <c r="B102" s="9">
        <v>93</v>
      </c>
      <c r="C102" s="10" t="s">
        <v>22</v>
      </c>
      <c r="D102" s="11"/>
      <c r="E102" s="12" t="s">
        <v>199</v>
      </c>
      <c r="F102" s="12" t="s">
        <v>11</v>
      </c>
      <c r="G102" s="12" t="s">
        <v>263</v>
      </c>
      <c r="H102" s="13" t="s">
        <v>300</v>
      </c>
      <c r="I102" s="12"/>
      <c r="J102" s="12"/>
      <c r="K102" s="12"/>
      <c r="L102" s="12"/>
      <c r="M102" s="12"/>
      <c r="N102" s="14" t="s">
        <v>269</v>
      </c>
    </row>
    <row r="103" spans="2:14" x14ac:dyDescent="0.25">
      <c r="B103" s="9">
        <v>94</v>
      </c>
      <c r="C103" s="16" t="s">
        <v>43</v>
      </c>
      <c r="D103" s="11"/>
      <c r="E103" s="12" t="s">
        <v>271</v>
      </c>
      <c r="F103" s="12" t="s">
        <v>272</v>
      </c>
      <c r="G103" s="12" t="s">
        <v>301</v>
      </c>
      <c r="H103" s="13" t="s">
        <v>302</v>
      </c>
      <c r="I103" s="12"/>
      <c r="J103" s="12"/>
      <c r="K103" s="12"/>
      <c r="L103" s="12"/>
      <c r="M103" s="12"/>
      <c r="N103" s="14" t="s">
        <v>269</v>
      </c>
    </row>
    <row r="104" spans="2:14" x14ac:dyDescent="0.25">
      <c r="B104" s="9">
        <v>95</v>
      </c>
      <c r="C104" s="16" t="s">
        <v>43</v>
      </c>
      <c r="D104" s="11" t="s">
        <v>303</v>
      </c>
      <c r="E104" s="12" t="s">
        <v>203</v>
      </c>
      <c r="F104" s="12" t="s">
        <v>11</v>
      </c>
      <c r="G104" s="12" t="s">
        <v>148</v>
      </c>
      <c r="H104" s="13" t="s">
        <v>304</v>
      </c>
      <c r="I104" s="12"/>
      <c r="J104" s="12"/>
      <c r="K104" s="12"/>
      <c r="L104" s="12"/>
      <c r="M104" s="12"/>
      <c r="N104" s="14" t="s">
        <v>305</v>
      </c>
    </row>
    <row r="105" spans="2:14" x14ac:dyDescent="0.25">
      <c r="B105" s="9">
        <v>96</v>
      </c>
      <c r="C105" s="15" t="s">
        <v>31</v>
      </c>
      <c r="D105" s="11"/>
      <c r="E105" s="11" t="s">
        <v>306</v>
      </c>
      <c r="F105" s="12" t="s">
        <v>307</v>
      </c>
      <c r="G105" s="12" t="s">
        <v>308</v>
      </c>
      <c r="H105" s="13" t="s">
        <v>309</v>
      </c>
      <c r="I105" s="12"/>
      <c r="J105" s="12"/>
      <c r="K105" s="12"/>
      <c r="L105" s="12"/>
      <c r="M105" s="12"/>
      <c r="N105" s="14" t="s">
        <v>305</v>
      </c>
    </row>
    <row r="106" spans="2:14" x14ac:dyDescent="0.25">
      <c r="B106" s="9">
        <v>97</v>
      </c>
      <c r="C106" s="10" t="s">
        <v>22</v>
      </c>
      <c r="D106" s="11"/>
      <c r="E106" s="11"/>
      <c r="F106" s="12" t="s">
        <v>310</v>
      </c>
      <c r="G106" s="12" t="s">
        <v>311</v>
      </c>
      <c r="H106" s="13" t="s">
        <v>312</v>
      </c>
      <c r="I106" s="12"/>
      <c r="J106" s="12"/>
      <c r="K106" s="12"/>
      <c r="L106" s="12"/>
      <c r="M106" s="12"/>
      <c r="N106" s="14" t="s">
        <v>305</v>
      </c>
    </row>
    <row r="107" spans="2:14" x14ac:dyDescent="0.25">
      <c r="B107" s="9">
        <v>98</v>
      </c>
      <c r="C107" s="10" t="s">
        <v>22</v>
      </c>
      <c r="D107" s="11"/>
      <c r="E107" s="11"/>
      <c r="F107" s="12" t="s">
        <v>313</v>
      </c>
      <c r="G107" s="12" t="s">
        <v>314</v>
      </c>
      <c r="H107" s="13" t="s">
        <v>315</v>
      </c>
      <c r="I107" s="12"/>
      <c r="J107" s="12"/>
      <c r="K107" s="12"/>
      <c r="L107" s="12"/>
      <c r="M107" s="12"/>
      <c r="N107" s="14" t="s">
        <v>305</v>
      </c>
    </row>
    <row r="108" spans="2:14" x14ac:dyDescent="0.25">
      <c r="B108" s="9">
        <v>99</v>
      </c>
      <c r="C108" s="10" t="s">
        <v>22</v>
      </c>
      <c r="D108" s="11"/>
      <c r="E108" s="11"/>
      <c r="F108" s="12" t="s">
        <v>316</v>
      </c>
      <c r="G108" s="12" t="s">
        <v>317</v>
      </c>
      <c r="H108" s="13" t="s">
        <v>318</v>
      </c>
      <c r="I108" s="12"/>
      <c r="J108" s="12"/>
      <c r="K108" s="12"/>
      <c r="L108" s="12"/>
      <c r="M108" s="12"/>
      <c r="N108" s="14" t="s">
        <v>305</v>
      </c>
    </row>
    <row r="109" spans="2:14" x14ac:dyDescent="0.25">
      <c r="B109" s="9">
        <v>100</v>
      </c>
      <c r="C109" s="10" t="s">
        <v>22</v>
      </c>
      <c r="D109" s="11"/>
      <c r="E109" s="11" t="s">
        <v>319</v>
      </c>
      <c r="F109" s="12" t="s">
        <v>320</v>
      </c>
      <c r="G109" s="12" t="s">
        <v>321</v>
      </c>
      <c r="H109" s="13" t="s">
        <v>322</v>
      </c>
      <c r="I109" s="12"/>
      <c r="J109" s="12"/>
      <c r="K109" s="12"/>
      <c r="L109" s="12"/>
      <c r="M109" s="12"/>
      <c r="N109" s="14" t="s">
        <v>305</v>
      </c>
    </row>
    <row r="110" spans="2:14" x14ac:dyDescent="0.25">
      <c r="B110" s="9">
        <v>101</v>
      </c>
      <c r="C110" s="10" t="s">
        <v>22</v>
      </c>
      <c r="D110" s="11"/>
      <c r="E110" s="11"/>
      <c r="F110" s="12" t="s">
        <v>323</v>
      </c>
      <c r="G110" s="12" t="s">
        <v>324</v>
      </c>
      <c r="H110" s="13" t="s">
        <v>325</v>
      </c>
      <c r="I110" s="12"/>
      <c r="J110" s="12"/>
      <c r="K110" s="12"/>
      <c r="L110" s="12"/>
      <c r="M110" s="12"/>
      <c r="N110" s="14" t="s">
        <v>305</v>
      </c>
    </row>
    <row r="111" spans="2:14" x14ac:dyDescent="0.25">
      <c r="B111" s="9">
        <v>102</v>
      </c>
      <c r="C111" s="16" t="s">
        <v>43</v>
      </c>
      <c r="D111" s="11"/>
      <c r="E111" s="11"/>
      <c r="F111" s="12" t="s">
        <v>260</v>
      </c>
      <c r="G111" s="12" t="s">
        <v>155</v>
      </c>
      <c r="H111" s="13" t="s">
        <v>326</v>
      </c>
      <c r="I111" s="12"/>
      <c r="J111" s="12"/>
      <c r="K111" s="12"/>
      <c r="L111" s="12"/>
      <c r="M111" s="12"/>
      <c r="N111" s="14" t="s">
        <v>305</v>
      </c>
    </row>
    <row r="112" spans="2:14" x14ac:dyDescent="0.25">
      <c r="B112" s="9">
        <v>103</v>
      </c>
      <c r="C112" s="10" t="s">
        <v>22</v>
      </c>
      <c r="D112" s="11"/>
      <c r="E112" s="11" t="s">
        <v>327</v>
      </c>
      <c r="F112" s="12" t="s">
        <v>328</v>
      </c>
      <c r="G112" s="12" t="s">
        <v>329</v>
      </c>
      <c r="H112" s="13" t="s">
        <v>330</v>
      </c>
      <c r="I112" s="12"/>
      <c r="J112" s="12"/>
      <c r="K112" s="12"/>
      <c r="L112" s="12"/>
      <c r="M112" s="12"/>
      <c r="N112" s="14" t="s">
        <v>305</v>
      </c>
    </row>
    <row r="113" spans="2:14" x14ac:dyDescent="0.25">
      <c r="B113" s="9">
        <v>104</v>
      </c>
      <c r="C113" s="16" t="s">
        <v>43</v>
      </c>
      <c r="D113" s="11"/>
      <c r="E113" s="11"/>
      <c r="F113" s="12" t="s">
        <v>260</v>
      </c>
      <c r="G113" s="12" t="s">
        <v>331</v>
      </c>
      <c r="H113" s="13" t="s">
        <v>332</v>
      </c>
      <c r="I113" s="12"/>
      <c r="J113" s="12"/>
      <c r="K113" s="12"/>
      <c r="L113" s="12"/>
      <c r="M113" s="12"/>
      <c r="N113" s="14" t="s">
        <v>305</v>
      </c>
    </row>
    <row r="114" spans="2:14" x14ac:dyDescent="0.25">
      <c r="B114" s="9">
        <v>105</v>
      </c>
      <c r="C114" s="10" t="s">
        <v>22</v>
      </c>
      <c r="D114" s="11"/>
      <c r="E114" s="11"/>
      <c r="F114" s="12" t="s">
        <v>316</v>
      </c>
      <c r="G114" s="12" t="s">
        <v>317</v>
      </c>
      <c r="H114" s="13" t="s">
        <v>333</v>
      </c>
      <c r="I114" s="12"/>
      <c r="J114" s="12"/>
      <c r="K114" s="12"/>
      <c r="L114" s="12"/>
      <c r="M114" s="12"/>
      <c r="N114" s="14" t="s">
        <v>305</v>
      </c>
    </row>
    <row r="115" spans="2:14" x14ac:dyDescent="0.25">
      <c r="B115" s="9">
        <v>106</v>
      </c>
      <c r="C115" s="16" t="s">
        <v>43</v>
      </c>
      <c r="D115" s="11"/>
      <c r="E115" s="11"/>
      <c r="F115" s="12" t="s">
        <v>334</v>
      </c>
      <c r="G115" s="12" t="s">
        <v>335</v>
      </c>
      <c r="H115" s="13" t="s">
        <v>336</v>
      </c>
      <c r="I115" s="12"/>
      <c r="J115" s="12"/>
      <c r="K115" s="12"/>
      <c r="L115" s="12"/>
      <c r="M115" s="12"/>
      <c r="N115" s="14" t="s">
        <v>305</v>
      </c>
    </row>
    <row r="116" spans="2:14" x14ac:dyDescent="0.25">
      <c r="B116" s="9">
        <v>107</v>
      </c>
      <c r="C116" s="10" t="s">
        <v>22</v>
      </c>
      <c r="D116" s="11"/>
      <c r="E116" s="12" t="s">
        <v>199</v>
      </c>
      <c r="F116" s="12" t="s">
        <v>11</v>
      </c>
      <c r="G116" s="12" t="s">
        <v>200</v>
      </c>
      <c r="H116" s="13" t="s">
        <v>337</v>
      </c>
      <c r="I116" s="12"/>
      <c r="J116" s="12"/>
      <c r="K116" s="12"/>
      <c r="L116" s="12"/>
      <c r="M116" s="12"/>
      <c r="N116" s="14" t="s">
        <v>305</v>
      </c>
    </row>
    <row r="117" spans="2:14" x14ac:dyDescent="0.25">
      <c r="B117" s="9">
        <v>108</v>
      </c>
      <c r="C117" s="10" t="s">
        <v>22</v>
      </c>
      <c r="D117" s="11" t="s">
        <v>338</v>
      </c>
      <c r="E117" s="12" t="s">
        <v>203</v>
      </c>
      <c r="F117" s="12" t="s">
        <v>339</v>
      </c>
      <c r="G117" s="12" t="s">
        <v>340</v>
      </c>
      <c r="H117" s="13" t="s">
        <v>341</v>
      </c>
      <c r="I117" s="12"/>
      <c r="J117" s="12"/>
      <c r="K117" s="12"/>
      <c r="L117" s="12"/>
      <c r="M117" s="12"/>
      <c r="N117" s="14" t="s">
        <v>342</v>
      </c>
    </row>
    <row r="118" spans="2:14" x14ac:dyDescent="0.25">
      <c r="B118" s="9">
        <v>109</v>
      </c>
      <c r="C118" s="15" t="s">
        <v>31</v>
      </c>
      <c r="D118" s="11"/>
      <c r="E118" s="11" t="s">
        <v>343</v>
      </c>
      <c r="F118" s="12" t="s">
        <v>344</v>
      </c>
      <c r="G118" s="12" t="s">
        <v>345</v>
      </c>
      <c r="H118" s="13" t="s">
        <v>346</v>
      </c>
      <c r="I118" s="12"/>
      <c r="J118" s="12"/>
      <c r="K118" s="12"/>
      <c r="L118" s="12"/>
      <c r="M118" s="12"/>
      <c r="N118" s="14" t="s">
        <v>342</v>
      </c>
    </row>
    <row r="119" spans="2:14" x14ac:dyDescent="0.25">
      <c r="B119" s="9">
        <v>110</v>
      </c>
      <c r="C119" s="15" t="s">
        <v>31</v>
      </c>
      <c r="D119" s="11"/>
      <c r="E119" s="11"/>
      <c r="F119" s="12" t="s">
        <v>347</v>
      </c>
      <c r="G119" s="12" t="s">
        <v>348</v>
      </c>
      <c r="H119" s="13" t="s">
        <v>349</v>
      </c>
      <c r="I119" s="12"/>
      <c r="J119" s="12"/>
      <c r="K119" s="12"/>
      <c r="L119" s="12"/>
      <c r="M119" s="12"/>
      <c r="N119" s="14" t="s">
        <v>342</v>
      </c>
    </row>
    <row r="120" spans="2:14" x14ac:dyDescent="0.25">
      <c r="B120" s="9">
        <v>111</v>
      </c>
      <c r="C120" s="10" t="s">
        <v>22</v>
      </c>
      <c r="D120" s="11"/>
      <c r="E120" s="11"/>
      <c r="F120" s="12" t="s">
        <v>350</v>
      </c>
      <c r="G120" s="12" t="s">
        <v>351</v>
      </c>
      <c r="H120" s="13" t="s">
        <v>352</v>
      </c>
      <c r="I120" s="12"/>
      <c r="J120" s="12"/>
      <c r="K120" s="12"/>
      <c r="L120" s="12"/>
      <c r="M120" s="12"/>
      <c r="N120" s="14" t="s">
        <v>342</v>
      </c>
    </row>
    <row r="121" spans="2:14" x14ac:dyDescent="0.25">
      <c r="B121" s="9">
        <v>112</v>
      </c>
      <c r="C121" s="10" t="s">
        <v>22</v>
      </c>
      <c r="D121" s="11"/>
      <c r="E121" s="12" t="s">
        <v>353</v>
      </c>
      <c r="F121" s="12" t="s">
        <v>11</v>
      </c>
      <c r="G121" s="12" t="s">
        <v>354</v>
      </c>
      <c r="H121" s="13" t="s">
        <v>355</v>
      </c>
      <c r="I121" s="12"/>
      <c r="J121" s="12"/>
      <c r="K121" s="12"/>
      <c r="L121" s="12"/>
      <c r="M121" s="12"/>
      <c r="N121" s="14" t="s">
        <v>342</v>
      </c>
    </row>
    <row r="122" spans="2:14" x14ac:dyDescent="0.25">
      <c r="B122" s="9">
        <v>113</v>
      </c>
      <c r="C122" s="10" t="s">
        <v>22</v>
      </c>
      <c r="D122" s="11"/>
      <c r="E122" s="11" t="s">
        <v>225</v>
      </c>
      <c r="F122" s="12" t="s">
        <v>291</v>
      </c>
      <c r="G122" s="12" t="s">
        <v>356</v>
      </c>
      <c r="H122" s="13" t="s">
        <v>357</v>
      </c>
      <c r="I122" s="12"/>
      <c r="J122" s="12"/>
      <c r="K122" s="12"/>
      <c r="L122" s="12"/>
      <c r="M122" s="12"/>
      <c r="N122" s="14" t="s">
        <v>342</v>
      </c>
    </row>
    <row r="123" spans="2:14" x14ac:dyDescent="0.25">
      <c r="B123" s="9">
        <v>114</v>
      </c>
      <c r="C123" s="10" t="s">
        <v>22</v>
      </c>
      <c r="D123" s="11"/>
      <c r="E123" s="11"/>
      <c r="F123" s="12" t="s">
        <v>294</v>
      </c>
      <c r="G123" s="12" t="s">
        <v>295</v>
      </c>
      <c r="H123" s="13" t="s">
        <v>358</v>
      </c>
      <c r="I123" s="12"/>
      <c r="J123" s="12"/>
      <c r="K123" s="12"/>
      <c r="L123" s="12"/>
      <c r="M123" s="12"/>
      <c r="N123" s="14" t="s">
        <v>342</v>
      </c>
    </row>
    <row r="124" spans="2:14" x14ac:dyDescent="0.25">
      <c r="B124" s="9">
        <v>115</v>
      </c>
      <c r="C124" s="10" t="s">
        <v>22</v>
      </c>
      <c r="D124" s="11"/>
      <c r="E124" s="11"/>
      <c r="F124" s="12" t="s">
        <v>359</v>
      </c>
      <c r="G124" s="12" t="s">
        <v>360</v>
      </c>
      <c r="H124" s="13" t="s">
        <v>361</v>
      </c>
      <c r="I124" s="12"/>
      <c r="J124" s="12"/>
      <c r="K124" s="12"/>
      <c r="L124" s="12"/>
      <c r="M124" s="12"/>
      <c r="N124" s="14" t="s">
        <v>342</v>
      </c>
    </row>
    <row r="125" spans="2:14" x14ac:dyDescent="0.25">
      <c r="B125" s="9">
        <v>116</v>
      </c>
      <c r="C125" s="16" t="s">
        <v>43</v>
      </c>
      <c r="D125" s="11"/>
      <c r="E125" s="11"/>
      <c r="F125" s="12" t="s">
        <v>362</v>
      </c>
      <c r="G125" s="12" t="s">
        <v>363</v>
      </c>
      <c r="H125" s="13" t="s">
        <v>364</v>
      </c>
      <c r="I125" s="12"/>
      <c r="J125" s="12"/>
      <c r="K125" s="12"/>
      <c r="L125" s="12"/>
      <c r="M125" s="12"/>
      <c r="N125" s="14" t="s">
        <v>342</v>
      </c>
    </row>
    <row r="126" spans="2:14" x14ac:dyDescent="0.25">
      <c r="B126" s="9">
        <v>117</v>
      </c>
      <c r="C126" s="15" t="s">
        <v>31</v>
      </c>
      <c r="D126" s="11"/>
      <c r="E126" s="12" t="s">
        <v>365</v>
      </c>
      <c r="F126" s="12" t="s">
        <v>11</v>
      </c>
      <c r="G126" s="12" t="s">
        <v>366</v>
      </c>
      <c r="H126" s="13" t="s">
        <v>367</v>
      </c>
      <c r="I126" s="12"/>
      <c r="J126" s="12"/>
      <c r="K126" s="12"/>
      <c r="L126" s="12"/>
      <c r="M126" s="12"/>
      <c r="N126" s="14" t="s">
        <v>342</v>
      </c>
    </row>
    <row r="127" spans="2:14" x14ac:dyDescent="0.25">
      <c r="B127" s="9">
        <v>118</v>
      </c>
      <c r="C127" s="16" t="s">
        <v>43</v>
      </c>
      <c r="D127" s="11" t="s">
        <v>368</v>
      </c>
      <c r="E127" s="12" t="s">
        <v>369</v>
      </c>
      <c r="F127" s="12" t="s">
        <v>11</v>
      </c>
      <c r="G127" s="12" t="s">
        <v>370</v>
      </c>
      <c r="H127" s="13" t="s">
        <v>371</v>
      </c>
      <c r="I127" s="12"/>
      <c r="J127" s="12"/>
      <c r="K127" s="12"/>
      <c r="L127" s="12"/>
      <c r="M127" s="12"/>
      <c r="N127" s="14" t="s">
        <v>372</v>
      </c>
    </row>
    <row r="128" spans="2:14" x14ac:dyDescent="0.25">
      <c r="B128" s="9">
        <v>119</v>
      </c>
      <c r="C128" s="10" t="s">
        <v>22</v>
      </c>
      <c r="D128" s="11"/>
      <c r="E128" s="11" t="s">
        <v>373</v>
      </c>
      <c r="F128" s="12" t="s">
        <v>374</v>
      </c>
      <c r="G128" s="12" t="s">
        <v>375</v>
      </c>
      <c r="H128" s="13" t="s">
        <v>376</v>
      </c>
      <c r="I128" s="12"/>
      <c r="J128" s="12"/>
      <c r="K128" s="12"/>
      <c r="L128" s="12"/>
      <c r="M128" s="12"/>
      <c r="N128" s="14" t="s">
        <v>372</v>
      </c>
    </row>
    <row r="129" spans="2:14" x14ac:dyDescent="0.25">
      <c r="B129" s="9">
        <v>120</v>
      </c>
      <c r="C129" s="10" t="s">
        <v>22</v>
      </c>
      <c r="D129" s="11"/>
      <c r="E129" s="11"/>
      <c r="F129" s="12" t="s">
        <v>377</v>
      </c>
      <c r="G129" s="12" t="s">
        <v>378</v>
      </c>
      <c r="H129" s="13" t="s">
        <v>379</v>
      </c>
      <c r="I129" s="12"/>
      <c r="J129" s="12"/>
      <c r="K129" s="12"/>
      <c r="L129" s="12"/>
      <c r="M129" s="12"/>
      <c r="N129" s="14" t="s">
        <v>372</v>
      </c>
    </row>
    <row r="130" spans="2:14" x14ac:dyDescent="0.25">
      <c r="B130" s="9">
        <v>121</v>
      </c>
      <c r="C130" s="16" t="s">
        <v>43</v>
      </c>
      <c r="D130" s="11"/>
      <c r="E130" s="11"/>
      <c r="F130" s="12" t="s">
        <v>380</v>
      </c>
      <c r="G130" s="12" t="s">
        <v>381</v>
      </c>
      <c r="H130" s="13" t="s">
        <v>382</v>
      </c>
      <c r="I130" s="12"/>
      <c r="J130" s="12"/>
      <c r="K130" s="12"/>
      <c r="L130" s="12"/>
      <c r="M130" s="12"/>
      <c r="N130" s="14" t="s">
        <v>372</v>
      </c>
    </row>
    <row r="131" spans="2:14" x14ac:dyDescent="0.25">
      <c r="B131" s="9">
        <v>122</v>
      </c>
      <c r="C131" s="10" t="s">
        <v>22</v>
      </c>
      <c r="D131" s="11"/>
      <c r="E131" s="11" t="s">
        <v>383</v>
      </c>
      <c r="F131" s="12" t="s">
        <v>377</v>
      </c>
      <c r="G131" s="12" t="s">
        <v>384</v>
      </c>
      <c r="H131" s="13" t="s">
        <v>385</v>
      </c>
      <c r="I131" s="12"/>
      <c r="J131" s="12"/>
      <c r="K131" s="12"/>
      <c r="L131" s="12"/>
      <c r="M131" s="12"/>
      <c r="N131" s="14" t="s">
        <v>372</v>
      </c>
    </row>
    <row r="132" spans="2:14" x14ac:dyDescent="0.25">
      <c r="B132" s="9">
        <v>123</v>
      </c>
      <c r="C132" s="10" t="s">
        <v>22</v>
      </c>
      <c r="D132" s="11"/>
      <c r="E132" s="11"/>
      <c r="F132" s="12" t="s">
        <v>386</v>
      </c>
      <c r="G132" s="12" t="s">
        <v>387</v>
      </c>
      <c r="H132" s="13" t="s">
        <v>388</v>
      </c>
      <c r="I132" s="12"/>
      <c r="J132" s="12"/>
      <c r="K132" s="12"/>
      <c r="L132" s="12"/>
      <c r="M132" s="12"/>
      <c r="N132" s="14" t="s">
        <v>372</v>
      </c>
    </row>
    <row r="133" spans="2:14" x14ac:dyDescent="0.25">
      <c r="B133" s="9">
        <v>124</v>
      </c>
      <c r="C133" s="10" t="s">
        <v>22</v>
      </c>
      <c r="D133" s="11"/>
      <c r="E133" s="11" t="s">
        <v>389</v>
      </c>
      <c r="F133" s="12" t="s">
        <v>260</v>
      </c>
      <c r="G133" s="12" t="s">
        <v>390</v>
      </c>
      <c r="H133" s="13" t="s">
        <v>391</v>
      </c>
      <c r="I133" s="12"/>
      <c r="J133" s="12"/>
      <c r="K133" s="12"/>
      <c r="L133" s="12"/>
      <c r="M133" s="12"/>
      <c r="N133" s="14" t="s">
        <v>372</v>
      </c>
    </row>
    <row r="134" spans="2:14" x14ac:dyDescent="0.25">
      <c r="B134" s="9">
        <v>125</v>
      </c>
      <c r="C134" s="15" t="s">
        <v>31</v>
      </c>
      <c r="D134" s="11"/>
      <c r="E134" s="11"/>
      <c r="F134" s="12" t="s">
        <v>392</v>
      </c>
      <c r="G134" s="12" t="s">
        <v>393</v>
      </c>
      <c r="H134" s="13" t="s">
        <v>394</v>
      </c>
      <c r="I134" s="12"/>
      <c r="J134" s="12"/>
      <c r="K134" s="12"/>
      <c r="L134" s="12"/>
      <c r="M134" s="12"/>
      <c r="N134" s="14" t="s">
        <v>372</v>
      </c>
    </row>
    <row r="135" spans="2:14" x14ac:dyDescent="0.25">
      <c r="B135" s="9">
        <v>126</v>
      </c>
      <c r="C135" s="15" t="s">
        <v>31</v>
      </c>
      <c r="D135" s="11"/>
      <c r="E135" s="11" t="s">
        <v>395</v>
      </c>
      <c r="F135" s="12" t="s">
        <v>396</v>
      </c>
      <c r="G135" s="12" t="s">
        <v>397</v>
      </c>
      <c r="H135" s="13" t="s">
        <v>398</v>
      </c>
      <c r="I135" s="12"/>
      <c r="J135" s="12"/>
      <c r="K135" s="12"/>
      <c r="L135" s="12"/>
      <c r="M135" s="12"/>
      <c r="N135" s="14" t="s">
        <v>372</v>
      </c>
    </row>
    <row r="136" spans="2:14" x14ac:dyDescent="0.25">
      <c r="B136" s="9">
        <v>127</v>
      </c>
      <c r="C136" s="10" t="s">
        <v>22</v>
      </c>
      <c r="D136" s="11"/>
      <c r="E136" s="11"/>
      <c r="F136" s="12" t="s">
        <v>399</v>
      </c>
      <c r="G136" s="12" t="s">
        <v>400</v>
      </c>
      <c r="H136" s="13" t="s">
        <v>401</v>
      </c>
      <c r="I136" s="12"/>
      <c r="J136" s="12"/>
      <c r="K136" s="12"/>
      <c r="L136" s="12"/>
      <c r="M136" s="12"/>
      <c r="N136" s="14" t="s">
        <v>372</v>
      </c>
    </row>
    <row r="137" spans="2:14" x14ac:dyDescent="0.25">
      <c r="B137" s="9">
        <v>128</v>
      </c>
      <c r="C137" s="16" t="s">
        <v>43</v>
      </c>
      <c r="D137" s="11"/>
      <c r="E137" s="11" t="s">
        <v>373</v>
      </c>
      <c r="F137" s="11" t="s">
        <v>377</v>
      </c>
      <c r="G137" s="12" t="s">
        <v>402</v>
      </c>
      <c r="H137" s="13" t="s">
        <v>403</v>
      </c>
      <c r="I137" s="12"/>
      <c r="J137" s="12"/>
      <c r="K137" s="12"/>
      <c r="L137" s="12"/>
      <c r="M137" s="12"/>
      <c r="N137" s="14" t="s">
        <v>372</v>
      </c>
    </row>
    <row r="138" spans="2:14" x14ac:dyDescent="0.25">
      <c r="B138" s="9">
        <v>129</v>
      </c>
      <c r="C138" s="16" t="s">
        <v>43</v>
      </c>
      <c r="D138" s="11"/>
      <c r="E138" s="11"/>
      <c r="F138" s="11"/>
      <c r="G138" s="12" t="s">
        <v>404</v>
      </c>
      <c r="H138" s="13" t="s">
        <v>405</v>
      </c>
      <c r="I138" s="12"/>
      <c r="J138" s="12"/>
      <c r="K138" s="12"/>
      <c r="L138" s="12"/>
      <c r="M138" s="12"/>
      <c r="N138" s="14" t="s">
        <v>372</v>
      </c>
    </row>
    <row r="139" spans="2:14" x14ac:dyDescent="0.25">
      <c r="B139" s="9">
        <v>130</v>
      </c>
      <c r="C139" s="16" t="s">
        <v>43</v>
      </c>
      <c r="D139" s="11"/>
      <c r="E139" s="12" t="s">
        <v>383</v>
      </c>
      <c r="F139" s="11"/>
      <c r="G139" s="12" t="s">
        <v>406</v>
      </c>
      <c r="H139" s="13" t="s">
        <v>407</v>
      </c>
      <c r="I139" s="12"/>
      <c r="J139" s="12"/>
      <c r="K139" s="12"/>
      <c r="L139" s="12"/>
      <c r="M139" s="12"/>
      <c r="N139" s="14" t="s">
        <v>372</v>
      </c>
    </row>
    <row r="140" spans="2:14" x14ac:dyDescent="0.25">
      <c r="B140" s="9">
        <v>131</v>
      </c>
      <c r="C140" s="15" t="s">
        <v>31</v>
      </c>
      <c r="D140" s="11" t="s">
        <v>408</v>
      </c>
      <c r="E140" s="11" t="s">
        <v>409</v>
      </c>
      <c r="F140" s="12" t="s">
        <v>410</v>
      </c>
      <c r="G140" s="12" t="s">
        <v>411</v>
      </c>
      <c r="H140" s="13" t="s">
        <v>412</v>
      </c>
      <c r="I140" s="12"/>
      <c r="J140" s="12"/>
      <c r="K140" s="12"/>
      <c r="L140" s="12"/>
      <c r="M140" s="12"/>
      <c r="N140" s="14" t="s">
        <v>413</v>
      </c>
    </row>
    <row r="141" spans="2:14" x14ac:dyDescent="0.25">
      <c r="B141" s="9">
        <v>132</v>
      </c>
      <c r="C141" s="15" t="s">
        <v>31</v>
      </c>
      <c r="D141" s="11"/>
      <c r="E141" s="11"/>
      <c r="F141" s="12" t="s">
        <v>414</v>
      </c>
      <c r="G141" s="12" t="s">
        <v>415</v>
      </c>
      <c r="H141" s="13" t="s">
        <v>416</v>
      </c>
      <c r="I141" s="12"/>
      <c r="J141" s="12"/>
      <c r="K141" s="12"/>
      <c r="L141" s="12"/>
      <c r="M141" s="12"/>
      <c r="N141" s="14" t="s">
        <v>413</v>
      </c>
    </row>
    <row r="142" spans="2:14" x14ac:dyDescent="0.25">
      <c r="B142" s="9">
        <v>133</v>
      </c>
      <c r="C142" s="15" t="s">
        <v>31</v>
      </c>
      <c r="D142" s="11"/>
      <c r="E142" s="11" t="s">
        <v>417</v>
      </c>
      <c r="F142" s="12" t="s">
        <v>418</v>
      </c>
      <c r="G142" s="12" t="s">
        <v>419</v>
      </c>
      <c r="H142" s="13" t="s">
        <v>420</v>
      </c>
      <c r="I142" s="12"/>
      <c r="J142" s="12"/>
      <c r="K142" s="12"/>
      <c r="L142" s="12"/>
      <c r="M142" s="12"/>
      <c r="N142" s="14" t="s">
        <v>413</v>
      </c>
    </row>
    <row r="143" spans="2:14" x14ac:dyDescent="0.25">
      <c r="B143" s="9">
        <v>134</v>
      </c>
      <c r="C143" s="15" t="s">
        <v>31</v>
      </c>
      <c r="D143" s="11"/>
      <c r="E143" s="11"/>
      <c r="F143" s="12" t="s">
        <v>421</v>
      </c>
      <c r="G143" s="12" t="s">
        <v>422</v>
      </c>
      <c r="H143" s="13" t="s">
        <v>423</v>
      </c>
      <c r="I143" s="12"/>
      <c r="J143" s="12"/>
      <c r="K143" s="12"/>
      <c r="L143" s="12"/>
      <c r="M143" s="12"/>
      <c r="N143" s="14" t="s">
        <v>413</v>
      </c>
    </row>
    <row r="144" spans="2:14" x14ac:dyDescent="0.25">
      <c r="B144" s="9">
        <v>135</v>
      </c>
      <c r="C144" s="10" t="s">
        <v>22</v>
      </c>
      <c r="D144" s="11"/>
      <c r="E144" s="11"/>
      <c r="F144" s="12" t="s">
        <v>424</v>
      </c>
      <c r="G144" s="12" t="s">
        <v>425</v>
      </c>
      <c r="H144" s="13" t="s">
        <v>426</v>
      </c>
      <c r="I144" s="12"/>
      <c r="J144" s="12"/>
      <c r="K144" s="12"/>
      <c r="L144" s="12"/>
      <c r="M144" s="12"/>
      <c r="N144" s="14" t="s">
        <v>413</v>
      </c>
    </row>
    <row r="145" spans="2:14" x14ac:dyDescent="0.25">
      <c r="B145" s="9">
        <v>136</v>
      </c>
      <c r="C145" s="10" t="s">
        <v>22</v>
      </c>
      <c r="D145" s="11"/>
      <c r="E145" s="11"/>
      <c r="F145" s="11" t="s">
        <v>427</v>
      </c>
      <c r="G145" s="12" t="s">
        <v>428</v>
      </c>
      <c r="H145" s="13" t="s">
        <v>429</v>
      </c>
      <c r="I145" s="12"/>
      <c r="J145" s="12"/>
      <c r="K145" s="12"/>
      <c r="L145" s="12"/>
      <c r="M145" s="12"/>
      <c r="N145" s="14" t="s">
        <v>413</v>
      </c>
    </row>
    <row r="146" spans="2:14" x14ac:dyDescent="0.25">
      <c r="B146" s="9">
        <v>137</v>
      </c>
      <c r="C146" s="10" t="s">
        <v>22</v>
      </c>
      <c r="D146" s="11"/>
      <c r="E146" s="11"/>
      <c r="F146" s="11"/>
      <c r="G146" s="12" t="s">
        <v>430</v>
      </c>
      <c r="H146" s="13" t="s">
        <v>431</v>
      </c>
      <c r="I146" s="12"/>
      <c r="J146" s="12"/>
      <c r="K146" s="12"/>
      <c r="L146" s="12"/>
      <c r="M146" s="12"/>
      <c r="N146" s="14" t="s">
        <v>413</v>
      </c>
    </row>
    <row r="147" spans="2:14" x14ac:dyDescent="0.25">
      <c r="B147" s="9">
        <v>138</v>
      </c>
      <c r="C147" s="10" t="s">
        <v>22</v>
      </c>
      <c r="D147" s="11"/>
      <c r="E147" s="11" t="s">
        <v>432</v>
      </c>
      <c r="F147" s="12" t="s">
        <v>433</v>
      </c>
      <c r="G147" s="12" t="s">
        <v>434</v>
      </c>
      <c r="H147" s="13" t="s">
        <v>435</v>
      </c>
      <c r="I147" s="12"/>
      <c r="J147" s="12"/>
      <c r="K147" s="12"/>
      <c r="L147" s="12"/>
      <c r="M147" s="12"/>
      <c r="N147" s="14" t="s">
        <v>413</v>
      </c>
    </row>
    <row r="148" spans="2:14" x14ac:dyDescent="0.25">
      <c r="B148" s="9">
        <v>139</v>
      </c>
      <c r="C148" s="15" t="s">
        <v>31</v>
      </c>
      <c r="D148" s="11"/>
      <c r="E148" s="11"/>
      <c r="F148" s="12" t="s">
        <v>436</v>
      </c>
      <c r="G148" s="12" t="s">
        <v>437</v>
      </c>
      <c r="H148" s="13" t="s">
        <v>438</v>
      </c>
      <c r="I148" s="12"/>
      <c r="J148" s="12"/>
      <c r="K148" s="12"/>
      <c r="L148" s="12"/>
      <c r="M148" s="12"/>
      <c r="N148" s="14" t="s">
        <v>413</v>
      </c>
    </row>
    <row r="149" spans="2:14" x14ac:dyDescent="0.25">
      <c r="B149" s="9">
        <v>140</v>
      </c>
      <c r="C149" s="10" t="s">
        <v>22</v>
      </c>
      <c r="D149" s="11"/>
      <c r="E149" s="11"/>
      <c r="F149" s="12" t="s">
        <v>439</v>
      </c>
      <c r="G149" s="12" t="s">
        <v>440</v>
      </c>
      <c r="H149" s="13" t="s">
        <v>441</v>
      </c>
      <c r="I149" s="12"/>
      <c r="J149" s="12"/>
      <c r="K149" s="12"/>
      <c r="L149" s="12"/>
      <c r="M149" s="12"/>
      <c r="N149" s="14" t="s">
        <v>413</v>
      </c>
    </row>
    <row r="150" spans="2:14" x14ac:dyDescent="0.25">
      <c r="B150" s="9">
        <v>141</v>
      </c>
      <c r="C150" s="10" t="s">
        <v>22</v>
      </c>
      <c r="D150" s="11"/>
      <c r="E150" s="11" t="s">
        <v>442</v>
      </c>
      <c r="F150" s="12" t="s">
        <v>443</v>
      </c>
      <c r="G150" s="12" t="s">
        <v>444</v>
      </c>
      <c r="H150" s="13" t="s">
        <v>445</v>
      </c>
      <c r="I150" s="12"/>
      <c r="J150" s="12"/>
      <c r="K150" s="12"/>
      <c r="L150" s="12"/>
      <c r="M150" s="12"/>
      <c r="N150" s="14" t="s">
        <v>413</v>
      </c>
    </row>
    <row r="151" spans="2:14" x14ac:dyDescent="0.25">
      <c r="B151" s="9">
        <v>142</v>
      </c>
      <c r="C151" s="10" t="s">
        <v>22</v>
      </c>
      <c r="D151" s="11"/>
      <c r="E151" s="11"/>
      <c r="F151" s="12" t="s">
        <v>446</v>
      </c>
      <c r="G151" s="12" t="s">
        <v>447</v>
      </c>
      <c r="H151" s="13" t="s">
        <v>448</v>
      </c>
      <c r="I151" s="12"/>
      <c r="J151" s="12"/>
      <c r="K151" s="12"/>
      <c r="L151" s="12"/>
      <c r="M151" s="12"/>
      <c r="N151" s="14" t="s">
        <v>413</v>
      </c>
    </row>
    <row r="152" spans="2:14" x14ac:dyDescent="0.25">
      <c r="B152" s="9">
        <v>143</v>
      </c>
      <c r="C152" s="16" t="s">
        <v>43</v>
      </c>
      <c r="D152" s="11"/>
      <c r="E152" s="11"/>
      <c r="F152" s="12" t="s">
        <v>449</v>
      </c>
      <c r="G152" s="12" t="s">
        <v>450</v>
      </c>
      <c r="H152" s="13" t="s">
        <v>451</v>
      </c>
      <c r="I152" s="12"/>
      <c r="J152" s="12"/>
      <c r="K152" s="12"/>
      <c r="L152" s="12"/>
      <c r="M152" s="12"/>
      <c r="N152" s="14" t="s">
        <v>413</v>
      </c>
    </row>
    <row r="153" spans="2:14" x14ac:dyDescent="0.25">
      <c r="B153" s="9">
        <v>144</v>
      </c>
      <c r="C153" s="10" t="s">
        <v>22</v>
      </c>
      <c r="D153" s="11"/>
      <c r="E153" s="11" t="s">
        <v>452</v>
      </c>
      <c r="F153" s="12" t="s">
        <v>453</v>
      </c>
      <c r="G153" s="12" t="s">
        <v>454</v>
      </c>
      <c r="H153" s="13" t="s">
        <v>455</v>
      </c>
      <c r="I153" s="12"/>
      <c r="J153" s="12"/>
      <c r="K153" s="12"/>
      <c r="L153" s="12"/>
      <c r="M153" s="12"/>
      <c r="N153" s="14" t="s">
        <v>413</v>
      </c>
    </row>
    <row r="154" spans="2:14" x14ac:dyDescent="0.25">
      <c r="B154" s="9">
        <v>145</v>
      </c>
      <c r="C154" s="10" t="s">
        <v>22</v>
      </c>
      <c r="D154" s="11"/>
      <c r="E154" s="11"/>
      <c r="F154" s="12" t="s">
        <v>456</v>
      </c>
      <c r="G154" s="12" t="s">
        <v>457</v>
      </c>
      <c r="H154" s="13" t="s">
        <v>458</v>
      </c>
      <c r="I154" s="12"/>
      <c r="J154" s="12"/>
      <c r="K154" s="12"/>
      <c r="L154" s="12"/>
      <c r="M154" s="12"/>
      <c r="N154" s="14" t="s">
        <v>413</v>
      </c>
    </row>
    <row r="155" spans="2:14" x14ac:dyDescent="0.25">
      <c r="B155" s="9">
        <v>146</v>
      </c>
      <c r="C155" s="10" t="s">
        <v>22</v>
      </c>
      <c r="D155" s="11"/>
      <c r="E155" s="11" t="s">
        <v>459</v>
      </c>
      <c r="F155" s="12" t="s">
        <v>460</v>
      </c>
      <c r="G155" s="12" t="s">
        <v>461</v>
      </c>
      <c r="H155" s="13" t="s">
        <v>462</v>
      </c>
      <c r="I155" s="12"/>
      <c r="J155" s="12"/>
      <c r="K155" s="12"/>
      <c r="L155" s="12"/>
      <c r="M155" s="12"/>
      <c r="N155" s="14" t="s">
        <v>413</v>
      </c>
    </row>
    <row r="156" spans="2:14" x14ac:dyDescent="0.25">
      <c r="B156" s="9">
        <v>147</v>
      </c>
      <c r="C156" s="10" t="s">
        <v>22</v>
      </c>
      <c r="D156" s="11"/>
      <c r="E156" s="11"/>
      <c r="F156" s="12" t="s">
        <v>463</v>
      </c>
      <c r="G156" s="12" t="s">
        <v>464</v>
      </c>
      <c r="H156" s="13" t="s">
        <v>465</v>
      </c>
      <c r="I156" s="12"/>
      <c r="J156" s="12"/>
      <c r="K156" s="12"/>
      <c r="L156" s="12"/>
      <c r="M156" s="12"/>
      <c r="N156" s="14" t="s">
        <v>413</v>
      </c>
    </row>
    <row r="157" spans="2:14" x14ac:dyDescent="0.25">
      <c r="B157" s="9">
        <v>148</v>
      </c>
      <c r="C157" s="10" t="s">
        <v>22</v>
      </c>
      <c r="D157" s="11"/>
      <c r="E157" s="11"/>
      <c r="F157" s="12" t="s">
        <v>466</v>
      </c>
      <c r="G157" s="12" t="s">
        <v>467</v>
      </c>
      <c r="H157" s="13" t="s">
        <v>468</v>
      </c>
      <c r="I157" s="12"/>
      <c r="J157" s="12"/>
      <c r="K157" s="12"/>
      <c r="L157" s="12"/>
      <c r="M157" s="12"/>
      <c r="N157" s="14" t="s">
        <v>413</v>
      </c>
    </row>
    <row r="158" spans="2:14" x14ac:dyDescent="0.25">
      <c r="B158" s="9">
        <v>149</v>
      </c>
      <c r="C158" s="10" t="s">
        <v>22</v>
      </c>
      <c r="D158" s="11"/>
      <c r="E158" s="11"/>
      <c r="F158" s="12" t="s">
        <v>469</v>
      </c>
      <c r="G158" s="12" t="s">
        <v>470</v>
      </c>
      <c r="H158" s="13" t="s">
        <v>471</v>
      </c>
      <c r="I158" s="12"/>
      <c r="J158" s="12"/>
      <c r="K158" s="12"/>
      <c r="L158" s="12"/>
      <c r="M158" s="12"/>
      <c r="N158" s="14" t="s">
        <v>413</v>
      </c>
    </row>
    <row r="159" spans="2:14" x14ac:dyDescent="0.25">
      <c r="B159" s="9">
        <v>150</v>
      </c>
      <c r="C159" s="10" t="s">
        <v>22</v>
      </c>
      <c r="D159" s="11"/>
      <c r="E159" s="11" t="s">
        <v>472</v>
      </c>
      <c r="F159" s="12" t="s">
        <v>473</v>
      </c>
      <c r="G159" s="12" t="s">
        <v>474</v>
      </c>
      <c r="H159" s="13" t="s">
        <v>475</v>
      </c>
      <c r="I159" s="12"/>
      <c r="J159" s="12"/>
      <c r="K159" s="12"/>
      <c r="L159" s="12"/>
      <c r="M159" s="12"/>
      <c r="N159" s="14" t="s">
        <v>413</v>
      </c>
    </row>
    <row r="160" spans="2:14" x14ac:dyDescent="0.25">
      <c r="B160" s="9">
        <v>151</v>
      </c>
      <c r="C160" s="10" t="s">
        <v>22</v>
      </c>
      <c r="D160" s="11"/>
      <c r="E160" s="11"/>
      <c r="F160" s="12" t="s">
        <v>476</v>
      </c>
      <c r="G160" s="12" t="s">
        <v>477</v>
      </c>
      <c r="H160" s="13" t="s">
        <v>478</v>
      </c>
      <c r="I160" s="12"/>
      <c r="J160" s="12"/>
      <c r="K160" s="12"/>
      <c r="L160" s="12"/>
      <c r="M160" s="12"/>
      <c r="N160" s="14" t="s">
        <v>413</v>
      </c>
    </row>
    <row r="161" spans="2:14" x14ac:dyDescent="0.25">
      <c r="B161" s="9">
        <v>152</v>
      </c>
      <c r="C161" s="15" t="s">
        <v>31</v>
      </c>
      <c r="D161" s="11"/>
      <c r="E161" s="11"/>
      <c r="F161" s="12" t="s">
        <v>479</v>
      </c>
      <c r="G161" s="12" t="s">
        <v>480</v>
      </c>
      <c r="H161" s="13" t="s">
        <v>481</v>
      </c>
      <c r="I161" s="12"/>
      <c r="J161" s="12"/>
      <c r="K161" s="12"/>
      <c r="L161" s="12"/>
      <c r="M161" s="12"/>
      <c r="N161" s="14" t="s">
        <v>413</v>
      </c>
    </row>
    <row r="162" spans="2:14" x14ac:dyDescent="0.25">
      <c r="B162" s="9">
        <v>153</v>
      </c>
      <c r="C162" s="10" t="s">
        <v>22</v>
      </c>
      <c r="D162" s="11"/>
      <c r="E162" s="11"/>
      <c r="F162" s="12" t="s">
        <v>482</v>
      </c>
      <c r="G162" s="12" t="s">
        <v>483</v>
      </c>
      <c r="H162" s="13" t="s">
        <v>484</v>
      </c>
      <c r="I162" s="12"/>
      <c r="J162" s="12"/>
      <c r="K162" s="12"/>
      <c r="L162" s="12"/>
      <c r="M162" s="12"/>
      <c r="N162" s="14" t="s">
        <v>413</v>
      </c>
    </row>
    <row r="163" spans="2:14" x14ac:dyDescent="0.25">
      <c r="B163" s="9">
        <v>154</v>
      </c>
      <c r="C163" s="10" t="s">
        <v>22</v>
      </c>
      <c r="D163" s="11"/>
      <c r="E163" s="11"/>
      <c r="F163" s="12" t="s">
        <v>485</v>
      </c>
      <c r="G163" s="12" t="s">
        <v>486</v>
      </c>
      <c r="H163" s="13" t="s">
        <v>487</v>
      </c>
      <c r="I163" s="12"/>
      <c r="J163" s="12"/>
      <c r="K163" s="12"/>
      <c r="L163" s="12"/>
      <c r="M163" s="12"/>
      <c r="N163" s="14" t="s">
        <v>413</v>
      </c>
    </row>
    <row r="164" spans="2:14" x14ac:dyDescent="0.25">
      <c r="B164" s="9">
        <v>155</v>
      </c>
      <c r="C164" s="10" t="s">
        <v>22</v>
      </c>
      <c r="D164" s="11"/>
      <c r="E164" s="11" t="s">
        <v>488</v>
      </c>
      <c r="F164" s="12" t="s">
        <v>489</v>
      </c>
      <c r="G164" s="12" t="s">
        <v>490</v>
      </c>
      <c r="H164" s="13" t="s">
        <v>491</v>
      </c>
      <c r="I164" s="12"/>
      <c r="J164" s="12"/>
      <c r="K164" s="12"/>
      <c r="L164" s="12"/>
      <c r="M164" s="12"/>
      <c r="N164" s="14" t="s">
        <v>413</v>
      </c>
    </row>
    <row r="165" spans="2:14" x14ac:dyDescent="0.25">
      <c r="B165" s="9">
        <v>156</v>
      </c>
      <c r="C165" s="15" t="s">
        <v>31</v>
      </c>
      <c r="D165" s="11"/>
      <c r="E165" s="11"/>
      <c r="F165" s="12" t="s">
        <v>492</v>
      </c>
      <c r="G165" s="12" t="s">
        <v>493</v>
      </c>
      <c r="H165" s="13" t="s">
        <v>494</v>
      </c>
      <c r="I165" s="12"/>
      <c r="J165" s="12"/>
      <c r="K165" s="12"/>
      <c r="L165" s="12"/>
      <c r="M165" s="12"/>
      <c r="N165" s="14" t="s">
        <v>413</v>
      </c>
    </row>
    <row r="166" spans="2:14" x14ac:dyDescent="0.25">
      <c r="B166" s="9">
        <v>157</v>
      </c>
      <c r="C166" s="10" t="s">
        <v>22</v>
      </c>
      <c r="D166" s="11"/>
      <c r="E166" s="11" t="s">
        <v>495</v>
      </c>
      <c r="F166" s="12" t="s">
        <v>496</v>
      </c>
      <c r="G166" s="12" t="s">
        <v>497</v>
      </c>
      <c r="H166" s="13" t="s">
        <v>498</v>
      </c>
      <c r="I166" s="12"/>
      <c r="J166" s="12"/>
      <c r="K166" s="12"/>
      <c r="L166" s="12"/>
      <c r="M166" s="12"/>
      <c r="N166" s="14" t="s">
        <v>413</v>
      </c>
    </row>
    <row r="167" spans="2:14" x14ac:dyDescent="0.25">
      <c r="B167" s="9">
        <v>158</v>
      </c>
      <c r="C167" s="10" t="s">
        <v>22</v>
      </c>
      <c r="D167" s="11"/>
      <c r="E167" s="11"/>
      <c r="F167" s="12" t="s">
        <v>499</v>
      </c>
      <c r="G167" s="12" t="s">
        <v>500</v>
      </c>
      <c r="H167" s="13" t="s">
        <v>501</v>
      </c>
      <c r="I167" s="12"/>
      <c r="J167" s="12"/>
      <c r="K167" s="12"/>
      <c r="L167" s="12"/>
      <c r="M167" s="12"/>
      <c r="N167" s="14" t="s">
        <v>413</v>
      </c>
    </row>
    <row r="168" spans="2:14" x14ac:dyDescent="0.25">
      <c r="B168" s="9">
        <v>159</v>
      </c>
      <c r="C168" s="16" t="s">
        <v>43</v>
      </c>
      <c r="D168" s="11"/>
      <c r="E168" s="11"/>
      <c r="F168" s="12" t="s">
        <v>502</v>
      </c>
      <c r="G168" s="12" t="s">
        <v>503</v>
      </c>
      <c r="H168" s="13" t="s">
        <v>504</v>
      </c>
      <c r="I168" s="12"/>
      <c r="J168" s="12"/>
      <c r="K168" s="12"/>
      <c r="L168" s="12"/>
      <c r="M168" s="12"/>
      <c r="N168" s="14" t="s">
        <v>413</v>
      </c>
    </row>
    <row r="169" spans="2:14" x14ac:dyDescent="0.25">
      <c r="B169" s="9">
        <v>160</v>
      </c>
      <c r="C169" s="10" t="s">
        <v>22</v>
      </c>
      <c r="D169" s="11"/>
      <c r="E169" s="11"/>
      <c r="F169" s="12" t="s">
        <v>505</v>
      </c>
      <c r="G169" s="12" t="s">
        <v>506</v>
      </c>
      <c r="H169" s="13" t="s">
        <v>507</v>
      </c>
      <c r="I169" s="12"/>
      <c r="J169" s="12"/>
      <c r="K169" s="12"/>
      <c r="L169" s="12"/>
      <c r="M169" s="12"/>
      <c r="N169" s="14" t="s">
        <v>413</v>
      </c>
    </row>
    <row r="170" spans="2:14" x14ac:dyDescent="0.25">
      <c r="B170" s="9">
        <v>161</v>
      </c>
      <c r="C170" s="15" t="s">
        <v>31</v>
      </c>
      <c r="D170" s="11"/>
      <c r="E170" s="11" t="s">
        <v>508</v>
      </c>
      <c r="F170" s="12" t="s">
        <v>509</v>
      </c>
      <c r="G170" s="12" t="s">
        <v>510</v>
      </c>
      <c r="H170" s="13" t="s">
        <v>511</v>
      </c>
      <c r="I170" s="12"/>
      <c r="J170" s="12"/>
      <c r="K170" s="12"/>
      <c r="L170" s="12"/>
      <c r="M170" s="12"/>
      <c r="N170" s="14" t="s">
        <v>413</v>
      </c>
    </row>
    <row r="171" spans="2:14" x14ac:dyDescent="0.25">
      <c r="B171" s="9">
        <v>162</v>
      </c>
      <c r="C171" s="10" t="s">
        <v>22</v>
      </c>
      <c r="D171" s="11"/>
      <c r="E171" s="11"/>
      <c r="F171" s="12" t="s">
        <v>512</v>
      </c>
      <c r="G171" s="12" t="s">
        <v>513</v>
      </c>
      <c r="H171" s="13" t="s">
        <v>514</v>
      </c>
      <c r="I171" s="12"/>
      <c r="J171" s="12"/>
      <c r="K171" s="12"/>
      <c r="L171" s="12"/>
      <c r="M171" s="12"/>
      <c r="N171" s="14" t="s">
        <v>413</v>
      </c>
    </row>
    <row r="172" spans="2:14" x14ac:dyDescent="0.25">
      <c r="B172" s="9">
        <v>163</v>
      </c>
      <c r="C172" s="10" t="s">
        <v>22</v>
      </c>
      <c r="D172" s="11"/>
      <c r="E172" s="11"/>
      <c r="F172" s="11" t="s">
        <v>515</v>
      </c>
      <c r="G172" s="12" t="s">
        <v>516</v>
      </c>
      <c r="H172" s="13" t="s">
        <v>517</v>
      </c>
      <c r="I172" s="12"/>
      <c r="J172" s="12"/>
      <c r="K172" s="12"/>
      <c r="L172" s="12"/>
      <c r="M172" s="12"/>
      <c r="N172" s="14" t="s">
        <v>413</v>
      </c>
    </row>
    <row r="173" spans="2:14" x14ac:dyDescent="0.25">
      <c r="B173" s="9">
        <v>164</v>
      </c>
      <c r="C173" s="10" t="s">
        <v>22</v>
      </c>
      <c r="D173" s="11"/>
      <c r="E173" s="11"/>
      <c r="F173" s="11"/>
      <c r="G173" s="12" t="s">
        <v>518</v>
      </c>
      <c r="H173" s="13" t="s">
        <v>519</v>
      </c>
      <c r="I173" s="12"/>
      <c r="J173" s="12"/>
      <c r="K173" s="12"/>
      <c r="L173" s="12"/>
      <c r="M173" s="12"/>
      <c r="N173" s="14" t="s">
        <v>413</v>
      </c>
    </row>
    <row r="174" spans="2:14" x14ac:dyDescent="0.25">
      <c r="B174" s="9">
        <v>165</v>
      </c>
      <c r="C174" s="10" t="s">
        <v>22</v>
      </c>
      <c r="D174" s="11"/>
      <c r="E174" s="11"/>
      <c r="F174" s="11" t="s">
        <v>520</v>
      </c>
      <c r="G174" s="12" t="s">
        <v>516</v>
      </c>
      <c r="H174" s="13" t="s">
        <v>521</v>
      </c>
      <c r="I174" s="12"/>
      <c r="J174" s="12"/>
      <c r="K174" s="12"/>
      <c r="L174" s="12"/>
      <c r="M174" s="12"/>
      <c r="N174" s="14" t="s">
        <v>413</v>
      </c>
    </row>
    <row r="175" spans="2:14" x14ac:dyDescent="0.25">
      <c r="B175" s="9">
        <v>166</v>
      </c>
      <c r="C175" s="10" t="s">
        <v>22</v>
      </c>
      <c r="D175" s="11"/>
      <c r="E175" s="11"/>
      <c r="F175" s="11"/>
      <c r="G175" s="12" t="s">
        <v>518</v>
      </c>
      <c r="H175" s="13" t="s">
        <v>522</v>
      </c>
      <c r="I175" s="12"/>
      <c r="J175" s="12"/>
      <c r="K175" s="12"/>
      <c r="L175" s="12"/>
      <c r="M175" s="12"/>
      <c r="N175" s="14" t="s">
        <v>413</v>
      </c>
    </row>
    <row r="176" spans="2:14" x14ac:dyDescent="0.25">
      <c r="B176" s="9">
        <v>167</v>
      </c>
      <c r="C176" s="10" t="s">
        <v>22</v>
      </c>
      <c r="D176" s="11"/>
      <c r="E176" s="11"/>
      <c r="F176" s="11" t="s">
        <v>523</v>
      </c>
      <c r="G176" s="12" t="s">
        <v>516</v>
      </c>
      <c r="H176" s="13" t="s">
        <v>524</v>
      </c>
      <c r="I176" s="12"/>
      <c r="J176" s="12"/>
      <c r="K176" s="12"/>
      <c r="L176" s="12"/>
      <c r="M176" s="12"/>
      <c r="N176" s="14" t="s">
        <v>413</v>
      </c>
    </row>
    <row r="177" spans="2:14" x14ac:dyDescent="0.25">
      <c r="B177" s="9">
        <v>168</v>
      </c>
      <c r="C177" s="10" t="s">
        <v>22</v>
      </c>
      <c r="D177" s="11"/>
      <c r="E177" s="11"/>
      <c r="F177" s="11"/>
      <c r="G177" s="12" t="s">
        <v>518</v>
      </c>
      <c r="H177" s="13" t="s">
        <v>525</v>
      </c>
      <c r="I177" s="12"/>
      <c r="J177" s="12"/>
      <c r="K177" s="12"/>
      <c r="L177" s="12"/>
      <c r="M177" s="12"/>
      <c r="N177" s="14" t="s">
        <v>413</v>
      </c>
    </row>
    <row r="178" spans="2:14" x14ac:dyDescent="0.25">
      <c r="B178" s="9">
        <v>169</v>
      </c>
      <c r="C178" s="10" t="s">
        <v>22</v>
      </c>
      <c r="D178" s="11"/>
      <c r="E178" s="11"/>
      <c r="F178" s="12" t="s">
        <v>526</v>
      </c>
      <c r="G178" s="12" t="s">
        <v>527</v>
      </c>
      <c r="H178" s="13" t="s">
        <v>528</v>
      </c>
      <c r="I178" s="12"/>
      <c r="J178" s="12"/>
      <c r="K178" s="12"/>
      <c r="L178" s="12"/>
      <c r="M178" s="12"/>
      <c r="N178" s="14" t="s">
        <v>413</v>
      </c>
    </row>
    <row r="179" spans="2:14" x14ac:dyDescent="0.25">
      <c r="B179" s="9">
        <v>170</v>
      </c>
      <c r="C179" s="15" t="s">
        <v>31</v>
      </c>
      <c r="D179" s="11"/>
      <c r="E179" s="11"/>
      <c r="F179" s="11" t="s">
        <v>529</v>
      </c>
      <c r="G179" s="12" t="s">
        <v>530</v>
      </c>
      <c r="H179" s="13" t="s">
        <v>531</v>
      </c>
      <c r="I179" s="12"/>
      <c r="J179" s="12"/>
      <c r="K179" s="12"/>
      <c r="L179" s="12"/>
      <c r="M179" s="12"/>
      <c r="N179" s="14" t="s">
        <v>413</v>
      </c>
    </row>
    <row r="180" spans="2:14" x14ac:dyDescent="0.25">
      <c r="B180" s="9">
        <v>171</v>
      </c>
      <c r="C180" s="10" t="s">
        <v>22</v>
      </c>
      <c r="D180" s="11"/>
      <c r="E180" s="11"/>
      <c r="F180" s="11"/>
      <c r="G180" s="12" t="s">
        <v>532</v>
      </c>
      <c r="H180" s="13" t="s">
        <v>533</v>
      </c>
      <c r="I180" s="12"/>
      <c r="J180" s="12"/>
      <c r="K180" s="12"/>
      <c r="L180" s="12"/>
      <c r="M180" s="12"/>
      <c r="N180" s="14" t="s">
        <v>413</v>
      </c>
    </row>
    <row r="181" spans="2:14" x14ac:dyDescent="0.25">
      <c r="B181" s="9">
        <v>172</v>
      </c>
      <c r="C181" s="10" t="s">
        <v>22</v>
      </c>
      <c r="D181" s="11"/>
      <c r="E181" s="11" t="s">
        <v>534</v>
      </c>
      <c r="F181" s="12" t="s">
        <v>535</v>
      </c>
      <c r="G181" s="12" t="s">
        <v>536</v>
      </c>
      <c r="H181" s="13" t="s">
        <v>537</v>
      </c>
      <c r="I181" s="12"/>
      <c r="J181" s="12"/>
      <c r="K181" s="12"/>
      <c r="L181" s="12"/>
      <c r="M181" s="12"/>
      <c r="N181" s="14" t="s">
        <v>413</v>
      </c>
    </row>
    <row r="182" spans="2:14" x14ac:dyDescent="0.25">
      <c r="B182" s="9">
        <v>173</v>
      </c>
      <c r="C182" s="10" t="s">
        <v>22</v>
      </c>
      <c r="D182" s="11"/>
      <c r="E182" s="11"/>
      <c r="F182" s="12" t="s">
        <v>538</v>
      </c>
      <c r="G182" s="12" t="s">
        <v>539</v>
      </c>
      <c r="H182" s="13" t="s">
        <v>540</v>
      </c>
      <c r="I182" s="12"/>
      <c r="J182" s="12"/>
      <c r="K182" s="12"/>
      <c r="L182" s="12"/>
      <c r="M182" s="12"/>
      <c r="N182" s="14" t="s">
        <v>413</v>
      </c>
    </row>
  </sheetData>
  <mergeCells count="74">
    <mergeCell ref="D10:D23"/>
    <mergeCell ref="E10:E13"/>
    <mergeCell ref="F10:F11"/>
    <mergeCell ref="F12:F13"/>
    <mergeCell ref="E14:E17"/>
    <mergeCell ref="F14:F15"/>
    <mergeCell ref="E18:E20"/>
    <mergeCell ref="F19:F20"/>
    <mergeCell ref="E22:E23"/>
    <mergeCell ref="D24:D41"/>
    <mergeCell ref="E24:E30"/>
    <mergeCell ref="F24:F25"/>
    <mergeCell ref="F26:F29"/>
    <mergeCell ref="E31:E34"/>
    <mergeCell ref="E35:E39"/>
    <mergeCell ref="E40:E41"/>
    <mergeCell ref="D42:D48"/>
    <mergeCell ref="E42:E43"/>
    <mergeCell ref="E44:E45"/>
    <mergeCell ref="E47:E48"/>
    <mergeCell ref="D49:D56"/>
    <mergeCell ref="E49:E50"/>
    <mergeCell ref="F49:F50"/>
    <mergeCell ref="E51:E52"/>
    <mergeCell ref="E53:E55"/>
    <mergeCell ref="D57:D68"/>
    <mergeCell ref="E58:E59"/>
    <mergeCell ref="E60:E67"/>
    <mergeCell ref="F62:F63"/>
    <mergeCell ref="D69:D83"/>
    <mergeCell ref="E69:E71"/>
    <mergeCell ref="E72:E76"/>
    <mergeCell ref="F73:F75"/>
    <mergeCell ref="E77:E78"/>
    <mergeCell ref="E79:E82"/>
    <mergeCell ref="D84:D90"/>
    <mergeCell ref="E85:E88"/>
    <mergeCell ref="E89:E90"/>
    <mergeCell ref="D91:D103"/>
    <mergeCell ref="E91:E92"/>
    <mergeCell ref="E93:E95"/>
    <mergeCell ref="E96:E98"/>
    <mergeCell ref="E99:E101"/>
    <mergeCell ref="D104:D116"/>
    <mergeCell ref="E105:E108"/>
    <mergeCell ref="E109:E111"/>
    <mergeCell ref="E112:E115"/>
    <mergeCell ref="D117:D126"/>
    <mergeCell ref="E118:E120"/>
    <mergeCell ref="E122:E125"/>
    <mergeCell ref="D127:D139"/>
    <mergeCell ref="E128:E130"/>
    <mergeCell ref="E131:E132"/>
    <mergeCell ref="E133:E134"/>
    <mergeCell ref="E135:E136"/>
    <mergeCell ref="E137:E138"/>
    <mergeCell ref="F137:F139"/>
    <mergeCell ref="D140:D182"/>
    <mergeCell ref="E140:E141"/>
    <mergeCell ref="E142:E146"/>
    <mergeCell ref="F145:F146"/>
    <mergeCell ref="E147:E149"/>
    <mergeCell ref="E150:E152"/>
    <mergeCell ref="E153:E154"/>
    <mergeCell ref="E155:E158"/>
    <mergeCell ref="E159:E163"/>
    <mergeCell ref="E164:E165"/>
    <mergeCell ref="E166:E169"/>
    <mergeCell ref="E170:E180"/>
    <mergeCell ref="F172:F173"/>
    <mergeCell ref="F174:F175"/>
    <mergeCell ref="F176:F177"/>
    <mergeCell ref="F179:F180"/>
    <mergeCell ref="E181:E182"/>
  </mergeCells>
  <dataValidations count="1">
    <dataValidation type="list" allowBlank="1" showErrorMessage="1" errorTitle="잘못된 값" error="Pass, Fail, N/T, Block 중 하나를 선택하세요." sqref="I10:J182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비용 테스트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2026-05-21T09:03:45Z</dcterms:created>
  <dcterms:modified xsi:type="dcterms:W3CDTF">2026-05-21T09:03:45Z</dcterms:modified>
</cp:coreProperties>
</file>