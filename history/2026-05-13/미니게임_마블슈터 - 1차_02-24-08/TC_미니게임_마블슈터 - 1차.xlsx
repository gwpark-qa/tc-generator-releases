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미니게임_마블슈터 - 1차" state="visible" r:id="rId4"/>
  </sheets>
  <calcPr calcId="171027"/>
</workbook>
</file>

<file path=xl/sharedStrings.xml><?xml version="1.0" encoding="utf-8"?>
<sst xmlns="http://schemas.openxmlformats.org/spreadsheetml/2006/main" count="624" uniqueCount="421">
  <si>
    <t>(C)미니게임_마블슈터 - 1차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</si>
  <si>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</si>
  <si>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</si>
  <si>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</si>
  <si>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</si>
  <si>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</si>
  <si>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</si>
  <si>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</si>
  <si>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</si>
  <si>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</si>
  <si>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</si>
  <si>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</si>
  <si>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</si>
  <si>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</si>
  <si>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</si>
  <si>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</si>
  <si>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</si>
  <si>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</si>
  <si>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</si>
  <si>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</si>
  <si>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</si>
  <si>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</si>
  <si>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Normal</t>
  </si>
  <si>
    <t>이벤트 진입</t>
  </si>
  <si>
    <t>메인 로비</t>
  </si>
  <si>
    <t>이벤트 노티 배너</t>
  </si>
  <si>
    <t>이벤트 패널 노출</t>
  </si>
  <si>
    <t>메인 로비 화면 진입 시, 우측 영역에 이벤트 진입 배너가 출력된다.</t>
  </si>
  <si>
    <t>참고 화면: 이벤트 진입 - 메인 로비</t>
  </si>
  <si>
    <t>Major</t>
  </si>
  <si>
    <t>메인 로비의 이벤트 노티 배너 터치 시, 이벤트 사이드 패널 화면으로 전환된다.</t>
  </si>
  <si>
    <t>이벤트 사이드 패널</t>
  </si>
  <si>
    <t>이벤트 리스트</t>
  </si>
  <si>
    <t>반죽 게임즈 테스트 센터 진입</t>
  </si>
  <si>
    <t>이벤트 사이드 패널 좌측 카테고리에 출석부, 쿠키 출시 이벤트, 플레이 이벤트 그룹이 출력된다.</t>
  </si>
  <si>
    <t>참고 화면: 이벤트 진입 - 이벤트 리스트</t>
  </si>
  <si>
    <t>플레이 이벤트 그룹의 반죽 게임즈 테스트 센터 항목 터치 시, 이벤트 메인 화면으로 전환된다.</t>
  </si>
  <si>
    <t>이벤트 메인 화면</t>
  </si>
  <si>
    <t>상단 영역</t>
  </si>
  <si>
    <t>잔여 시간 표시</t>
  </si>
  <si>
    <t>이벤트 메인 화면 상단에 이벤트 종료까지 남은 시간이 출력된다.</t>
  </si>
  <si>
    <t>참고 화면: 이벤트 메인 화면 - 잔여시간 22일 16시간</t>
  </si>
  <si>
    <t>정보(i) 버튼</t>
  </si>
  <si>
    <t>이벤트 메인 화면 상단의 정보(i) 버튼 터치 시, 이벤트 안내 정보가 출력된다.</t>
  </si>
  <si>
    <t>참고 화면: 이벤트 메인 화면</t>
  </si>
  <si>
    <t>뒤로가기 버튼</t>
  </si>
  <si>
    <t>이벤트 메인 화면 상단의 뒤로가기 버튼 터치 시, 이벤트 사이드 패널 화면으로 이동된다.</t>
  </si>
  <si>
    <t>이벤트 메뉴 영역</t>
  </si>
  <si>
    <t>튜토리얼 버튼</t>
  </si>
  <si>
    <t>이벤트 메인 화면의 튜토리얼 버튼 터치 시, 튜토리얼 팝업이 출력된다.</t>
  </si>
  <si>
    <t>참고 화면: 이벤트 메인 화면 - 메뉴 버튼 3종</t>
  </si>
  <si>
    <t>랭킹 버튼</t>
  </si>
  <si>
    <t>이벤트 메인 화면의 랭킹 버튼 터치 시, 랭킹 팝업이 출력된다.</t>
  </si>
  <si>
    <t>미션 버튼</t>
  </si>
  <si>
    <t>이벤트 메인 화면의 미션 버튼 터치 시, 미션 팝업이 출력된다.</t>
  </si>
  <si>
    <t>이벤트 진입 썸네일</t>
  </si>
  <si>
    <t>MINI GAME 모니터 영역</t>
  </si>
  <si>
    <t>이벤트 메인 화면에 미니게임 진입 모니터 썸네일이 출력된다.</t>
  </si>
  <si>
    <t>참고 화면: 이벤트 메인 화면 - 미니게임 썸네일</t>
  </si>
  <si>
    <t>미니게임 모니터 진입 시, 빈 화면 → 연출 → MINI GAME 텍스트 순으로 연출이 재생된다.</t>
  </si>
  <si>
    <t>참고 화면: 모니터 연출 흐름</t>
  </si>
  <si>
    <t>일일 보상 목표 점수</t>
  </si>
  <si>
    <t>일일 보상 목표 점수 미달성 시, 진행도 게이지가 Normal 상태로 출력된다.</t>
  </si>
  <si>
    <t>참고 화면: 일일 보상 목표 점수 - Normal</t>
  </si>
  <si>
    <t>일일 보상 목표 점수 달성 후 미수령 시, 진행도 패널에 빨간 알림(N) 뱃지가 출력된다.</t>
  </si>
  <si>
    <t>참고 화면: 일일 보상 목표 점수 - Complete</t>
  </si>
  <si>
    <t>일일 보상 수령 완료 시, 진행도 패널에 체크 아이콘이 출력된다.</t>
  </si>
  <si>
    <t>참고 화면: 일일 보상 목표 점수 - Done</t>
  </si>
  <si>
    <t>Critical</t>
  </si>
  <si>
    <t>START 버튼</t>
  </si>
  <si>
    <t>미니게임 화면 전환</t>
  </si>
  <si>
    <t>이벤트 메인 화면의 START 버튼 터치 시, 미니게임 인게임 화면으로 전환된다.</t>
  </si>
  <si>
    <t>참고 화면: 이벤트 메인 화면 - START 버튼</t>
  </si>
  <si>
    <t>미니게임 인게임</t>
  </si>
  <si>
    <t>인게임 상단 UI</t>
  </si>
  <si>
    <t>Wave 표시 영역</t>
  </si>
  <si>
    <t>현재 웨이브 출력</t>
  </si>
  <si>
    <t>인게임 화면 상단 영역에 현재 웨이브 번호가 출력된다.</t>
  </si>
  <si>
    <t>참고 화면: 이벤트 모드 상세 - 2. 현재 웨이브</t>
  </si>
  <si>
    <t>다음 웨이브 게이지바</t>
  </si>
  <si>
    <t>인게임 화면 상단에 다음 웨이브까지 남은 진행 게이지바가 출력된다.</t>
  </si>
  <si>
    <t>WAVE 안내 오버랩</t>
  </si>
  <si>
    <t>웨이브 전환 시, 화면 중앙에 WAVE 번호 텍스트가 오버랩 트윈 연출로 출력된다.</t>
  </si>
  <si>
    <t>참고 화면: 이펙트 3-3 Wave 안내 Overlap</t>
  </si>
  <si>
    <t>점수 표시 영역</t>
  </si>
  <si>
    <t>Best 점수 출력</t>
  </si>
  <si>
    <t>인게임 화면 상단에 시즌 최고 점수(Best)가 출력된다.</t>
  </si>
  <si>
    <t>참고 화면: 이벤트 모드 상세 - 3. 최고 점수</t>
  </si>
  <si>
    <t>현재 Score 출력</t>
  </si>
  <si>
    <t>인게임 화면 상단에 현재 플레이 점수(Score)가 출력된다.</t>
  </si>
  <si>
    <t>참고 화면: 이벤트 모드 상세 - 3. 점수</t>
  </si>
  <si>
    <t>레일 및 구슬</t>
  </si>
  <si>
    <t>시작 지점</t>
  </si>
  <si>
    <t>구슬 스폰 출력</t>
  </si>
  <si>
    <t>구슬이 레일 시작 지점에서 스폰되어 레일을 따라 굴러간다.</t>
  </si>
  <si>
    <t>참고 화면: 이벤트 모드 상세 - 4. 시작 지점</t>
  </si>
  <si>
    <t>레일 형태</t>
  </si>
  <si>
    <t>구슬 6색 출력</t>
  </si>
  <si>
    <t>레일 위 구슬이 6개의 색상으로 출력된다.</t>
  </si>
  <si>
    <t>참고 화면: 이벤트 모드 상세 - 7. 레일 및 구슬</t>
  </si>
  <si>
    <t>둥근 레일 출력</t>
  </si>
  <si>
    <t>레일이 둥근 형태로 여러 겹 둘러싸인 형태로 출력된다.</t>
  </si>
  <si>
    <t>참고 화면: 이벤트 모드 상세 - 7. 레일</t>
  </si>
  <si>
    <t>종료 지점</t>
  </si>
  <si>
    <t>구슬 도달 처리</t>
  </si>
  <si>
    <t>구슬이 레일 끝의 종료 지점에 도달 시, 게임 오버가 발생된다.</t>
  </si>
  <si>
    <t>참고 화면: 이벤트 모드 상세 - 5. 종료 지점</t>
  </si>
  <si>
    <t>포대</t>
  </si>
  <si>
    <t>발사 동작</t>
  </si>
  <si>
    <t>발사 방향 전환</t>
  </si>
  <si>
    <t>화면 터치(드래그) 시, 포대의 발사 방향이 터치한 방향으로 전환된다.</t>
  </si>
  <si>
    <t>참고 화면: 이벤트 모드 상세 - 6-A. 포대</t>
  </si>
  <si>
    <t>발사 궤적 출력</t>
  </si>
  <si>
    <t>포대 조준 시, 발사 궤적이 발사할 구슬과 같은 색상에 투명도가 적용되어 표시된다.</t>
  </si>
  <si>
    <t>참고 화면: 이벤트 모드 상세 - 6-A. 발사 궤적</t>
  </si>
  <si>
    <t>구슬 매칭 폭발</t>
  </si>
  <si>
    <t>같은 색 구슬이 3개 이상 모일 시, 해당 구슬들이 폭발하여 점수가 획득된다.</t>
  </si>
  <si>
    <t>참고 화면: 튜토리얼 1 - 발사</t>
  </si>
  <si>
    <t>구슬 교체</t>
  </si>
  <si>
    <t>현재/다음 구슬 표시</t>
  </si>
  <si>
    <t>포대 영역에 현재 발사할 구슬과 다음 발사될 구슬이 출력된다.</t>
  </si>
  <si>
    <t>참고 화면: 이벤트 모드 상세 - 6-B. 구슬 교체</t>
  </si>
  <si>
    <t>포대 주변 터치 교체</t>
  </si>
  <si>
    <t>포대 주변 일정 범위 터치 시, 현재 발사할 구슬과 다음 발사할 구슬의 색상이 교체된다.</t>
  </si>
  <si>
    <t>참고 화면: 튜토리얼 2 - 구슬 교체</t>
  </si>
  <si>
    <t>스킬</t>
  </si>
  <si>
    <t>일시정지 스킬</t>
  </si>
  <si>
    <t>사용 동작</t>
  </si>
  <si>
    <t>일시정지 스킬 사용 시, 레일 위 모든 구슬의 이동이 일정 시간 동안 정지된다.</t>
  </si>
  <si>
    <t>참고 화면: 이벤트 모드 상세 - 8. 스킬</t>
  </si>
  <si>
    <t>화면 가장자리 알림 이펙트</t>
  </si>
  <si>
    <t>일시정지 스킬 발동 시, 화면 가장자리에 알람 이펙트가 출력된다.</t>
  </si>
  <si>
    <t>참고 화면: 이펙트 3-5 일시 정지</t>
  </si>
  <si>
    <t>시계바늘 회전 이펙트</t>
  </si>
  <si>
    <t>일시정지 스킬 발동 시, 일시정지 아이템 아이콘에 시계바늘 회전 이펙트가 출력된다.</t>
  </si>
  <si>
    <t>사용 후 비활성 처리</t>
  </si>
  <si>
    <t>일시정지 스킬 1회 사용 후, 해당 스킬 아이콘이 딤드 및 비활성 상태로 처리된다.</t>
  </si>
  <si>
    <t>참고 화면: 이벤트 모드 상세 - 8. 스킬 (게임당 1회)</t>
  </si>
  <si>
    <t>같은 색 구슬 제거 스킬</t>
  </si>
  <si>
    <t>특별 구슬 장전</t>
  </si>
  <si>
    <t>같은 색 구슬 제거 스킬 사용 시, 포대에 특별한 구슬이 장전된다.</t>
  </si>
  <si>
    <t>색상 매칭 제거 동작</t>
  </si>
  <si>
    <t>특별 구슬 발사 후 맞힌 구슬과 같은 색상의 구슬이 필드에서 모두 제거된다.</t>
  </si>
  <si>
    <t>자석 등장 이펙트</t>
  </si>
  <si>
    <t>같은 색 구슬 제거 스킬 발동 시, 자석 우글우글 등장 이펙트가 출력된다.</t>
  </si>
  <si>
    <t>참고 화면: 이펙트 3-4 구슬 제거(자석)</t>
  </si>
  <si>
    <t>구슬 끌어당김 이펙트</t>
  </si>
  <si>
    <t>같은 색 구슬 제거 스킬 발동 시, 구슬을 끌어당기는 파지직 이펙트가 출력된다.</t>
  </si>
  <si>
    <t>같은 색 구슬 제거 스킬 1회 사용 후, 해당 스킬 아이콘이 딤드 및 비활성 상태로 처리된다.</t>
  </si>
  <si>
    <t>피버샷</t>
  </si>
  <si>
    <t>게이지 충전</t>
  </si>
  <si>
    <t>구슬 폭파 시 충전</t>
  </si>
  <si>
    <t>구슬 폭파 시, 피버샷 게이지가 소량 충전된다.</t>
  </si>
  <si>
    <t>참고 화면: 이벤트 모드 상세 - 9. 피버샷 게이지</t>
  </si>
  <si>
    <t>콤보 시 추가 충전</t>
  </si>
  <si>
    <t>콤보 발생 시, 피버샷 게이지가 추가 충전된다.</t>
  </si>
  <si>
    <t>게이지 파티클 충전 연출</t>
  </si>
  <si>
    <t>피버샷 게이지 충전 시, 파티클이 게이지 방향으로 이동하는 충전 연출이 재생된다.</t>
  </si>
  <si>
    <t>참고 화면: 이펙트 3-1 Combo 적용 후 Fever 게이지 차오름</t>
  </si>
  <si>
    <t>만충 발동</t>
  </si>
  <si>
    <t>FEVER 텍스트 흔들림 트윈</t>
  </si>
  <si>
    <t>피버샷 게이지 만충 시, FEVER 텍스트가 흔들리는 트윈 연출이 재생된다.</t>
  </si>
  <si>
    <t>참고 화면: 이펙트 3-2 Fever 발동</t>
  </si>
  <si>
    <t>게이지 중앙 파티클 반짝임</t>
  </si>
  <si>
    <t>피버샷 게이지 만충 시, 게이지 영역에 파티클 반짝임 연출이 재생된다.</t>
  </si>
  <si>
    <t>참고 화면: 이펙트 - 피버 게이지 기본 형태 파티클</t>
  </si>
  <si>
    <t>강화 상태 진입</t>
  </si>
  <si>
    <t>피버샷 게이지 만충 후 터치 시, 다음 공격이 강화 상태로 진입된다.</t>
  </si>
  <si>
    <t>피버 발사</t>
  </si>
  <si>
    <t>포대 이미지 변경</t>
  </si>
  <si>
    <t>피버 강화 상태 진입 시, 포대의 발사 구슬이 특별한 보석 형태로 변경된다.</t>
  </si>
  <si>
    <t>특별한 공 난사</t>
  </si>
  <si>
    <t>피버 발사 시, 포대에서 구슬을 파괴하는 특별한 공 난사 연출이 재생된다.</t>
  </si>
  <si>
    <t>참고 화면: 이펙트 - 포탑 구슬 파괴 특별한 공</t>
  </si>
  <si>
    <t>강화 상태 취소 불가</t>
  </si>
  <si>
    <t>피버 강화 상태 진입 후, 해당 상태는 취소되지 않는다.</t>
  </si>
  <si>
    <t>참고 화면: 이벤트 모드 상세 - 9. 피버샷 게이지 (취소 불가)</t>
  </si>
  <si>
    <t>콤보</t>
  </si>
  <si>
    <t>연쇄 폭발 동작</t>
  </si>
  <si>
    <t>자력 끌어당김 연출</t>
  </si>
  <si>
    <t>구슬 폭파 후 빈 공간 양 옆 구슬 색상이 같을 시, 자력에 의해 끌어당겨져 연쇄 폭발이 발생된다.</t>
  </si>
  <si>
    <t>참고 화면: 튜토리얼 3 - 콤보</t>
  </si>
  <si>
    <t>콤보 연출</t>
  </si>
  <si>
    <t>콤보 텍스트 트윈</t>
  </si>
  <si>
    <t>콤보 발생 시, 콤보 텍스트 트윈 연출이 재생된다.</t>
  </si>
  <si>
    <t>참고 화면: 이펙트 3-1 Combo Text Tween</t>
  </si>
  <si>
    <t>구슬 획득 이펙트</t>
  </si>
  <si>
    <t>구슬 폭파 시, 구슬 획득 이펙트가 재생된다.</t>
  </si>
  <si>
    <t>참고 화면: 이펙트 3-1 구슬 획득 이펙트</t>
  </si>
  <si>
    <t>보너스 점수</t>
  </si>
  <si>
    <t>별(★) 아이템</t>
  </si>
  <si>
    <t>랜덤 스폰</t>
  </si>
  <si>
    <t>정해진 스폰 후보 위치 중 랜덤한 위치에 보너스 점수 별(★)이 스폰된다.</t>
  </si>
  <si>
    <t>참고 화면: 이벤트 모드 상세 - 10. 보너스 점수</t>
  </si>
  <si>
    <t>직접 타격 점수 획득</t>
  </si>
  <si>
    <t>발사한 구슬이 보너스 점수 별(★)에 직접 타격 시, 보너스 점수가 획득된다.</t>
  </si>
  <si>
    <t>사라짐 처리</t>
  </si>
  <si>
    <t>보너스 점수 별(★)이 스폰 후 일정 시간이 경과 시, 자동으로 사라진다.</t>
  </si>
  <si>
    <t>게임 시작 연출</t>
  </si>
  <si>
    <t>START 안내문</t>
  </si>
  <si>
    <t>트윈 연출 출력</t>
  </si>
  <si>
    <t>미니게임 라운드 시작 시, 화면 중앙에 START 텍스트 트윈 연출이 출력된다.</t>
  </si>
  <si>
    <t>참고 화면: 미니게임 A안 - START 텍스트</t>
  </si>
  <si>
    <t>튜토리얼</t>
  </si>
  <si>
    <t>튜토리얼 팝업 진입</t>
  </si>
  <si>
    <t>가이드 아이콘 터치</t>
  </si>
  <si>
    <t>일시정지 및 딤드 처리</t>
  </si>
  <si>
    <t>메뉴의 가이드 아이콘 터치 시, 기존 게임 화면이 일시 정지 및 딤드 처리된다.</t>
  </si>
  <si>
    <t>참고 화면: 튜토리얼 - 인게임 팝업</t>
  </si>
  <si>
    <t>팝업 출력</t>
  </si>
  <si>
    <t>메뉴의 가이드 아이콘 터치 시, 튜토리얼 팝업이 출력된다.</t>
  </si>
  <si>
    <t>튜토리얼 페이지 구성</t>
  </si>
  <si>
    <t>페이지 이동</t>
  </si>
  <si>
    <t>페이지 인디케이터 도트</t>
  </si>
  <si>
    <t>튜토리얼 팝업 하단에 현재 페이지 위치를 나타내는 인디케이터 도트가 출력된다.</t>
  </si>
  <si>
    <t>참고 화면: 튜토리얼 팝업 - 페이지 인디케이터</t>
  </si>
  <si>
    <t>페이지 이동 화살표</t>
  </si>
  <si>
    <t>튜토리얼 팝업의 좌/우 화살표 버튼 터치 시, 이전/다음 페이지로 이동된다.</t>
  </si>
  <si>
    <t>참고 화면: 튜토리얼 팝업 - 화살표</t>
  </si>
  <si>
    <t>페이지별 안내</t>
  </si>
  <si>
    <t>발사 안내</t>
  </si>
  <si>
    <t>튜토리얼 1페이지에서 같은 색 구슬 3개 이상 모이면 폭발하여 점수가 획득되는 발사 안내가 출력된다.</t>
  </si>
  <si>
    <t>구슬 교체 안내</t>
  </si>
  <si>
    <t>튜토리얼 2페이지에서 대포를 터치하여 현재 구슬과 대기 구슬의 색상을 교체할 수 있다는 안내가 출력된다.</t>
  </si>
  <si>
    <t>콤보 안내</t>
  </si>
  <si>
    <t>튜토리얼 3페이지에서 빈 공간 양 옆 색상이 같으면 자력에 의해 연쇄 폭발이 발생되는 콤보 안내가 출력된다.</t>
  </si>
  <si>
    <t>피버 안내</t>
  </si>
  <si>
    <t>튜토리얼 4페이지에서 구슬 폭파 시 게이지를 모두 채우면 강력한 일격을 발사할 수 있다는 피버 안내가 출력된다.</t>
  </si>
  <si>
    <t>참고 화면: 튜토리얼 4 - 피버</t>
  </si>
  <si>
    <t>스킬 안내</t>
  </si>
  <si>
    <t>튜토리얼 5페이지에서 스킬은 게임당 1회만 사용 가능하다는 스킬 안내가 출력된다.</t>
  </si>
  <si>
    <t>참고 화면: 튜토리얼 5 - 스킬</t>
  </si>
  <si>
    <t>종료 조건 안내</t>
  </si>
  <si>
    <t>튜토리얼 6페이지에서 구슬이 한 개라도 레일 끝에 도달 시 게임이 종료된다는 종료 조건 안내가 출력된다.</t>
  </si>
  <si>
    <t>참고 화면: 튜토리얼 6 - 종료 조건</t>
  </si>
  <si>
    <t>튜토리얼 팝업 닫기</t>
  </si>
  <si>
    <t>X 버튼</t>
  </si>
  <si>
    <t>게임 화면 복귀</t>
  </si>
  <si>
    <t>튜토리얼 팝업의 X 버튼 터치 시, 팝업이 닫히고 게임 화면으로 복귀된다.</t>
  </si>
  <si>
    <t>참고 화면: 튜토리얼 팝업 - 닫기</t>
  </si>
  <si>
    <t>메뉴</t>
  </si>
  <si>
    <t>메뉴 버튼</t>
  </si>
  <si>
    <t>플로팅 목록 노출</t>
  </si>
  <si>
    <t>인게임의 메뉴 버튼 터치 시, 게임 화면이 일시 정지 및 딤드 처리된다.</t>
  </si>
  <si>
    <t>참고 화면: 이벤트 모드 상세 - 1. 메뉴 버튼</t>
  </si>
  <si>
    <t>메뉴 항목 출력</t>
  </si>
  <si>
    <t>인게임의 메뉴 버튼 터치 시, 설정/미션/랭킹/가이드/나가기 항목이 포함된 플로팅 목록이 출력된다.</t>
  </si>
  <si>
    <t>참고 화면: 이벤트 모드 상세 - 1-B. 플로팅 목록</t>
  </si>
  <si>
    <t>메뉴 항목 동작</t>
  </si>
  <si>
    <t>가이드 항목</t>
  </si>
  <si>
    <t>튜토리얼 팝업 출력</t>
  </si>
  <si>
    <t>메뉴 플로팅 목록의 가이드 항목 터치 시, 튜토리얼 팝업이 출력된다.</t>
  </si>
  <si>
    <t>참고 화면: 이벤트 모드 상세 - 1-B. 가이드</t>
  </si>
  <si>
    <t>랭킹 항목</t>
  </si>
  <si>
    <t>랭킹 팝업 출력</t>
  </si>
  <si>
    <t>메뉴 플로팅 목록의 랭킹 항목 터치 시, 랭킹 팝업이 출력된다.</t>
  </si>
  <si>
    <t>참고 화면: 이벤트 모드 상세 - 1-B. 랭킹</t>
  </si>
  <si>
    <t>미션 항목</t>
  </si>
  <si>
    <t>미션 팝업 출력</t>
  </si>
  <si>
    <t>메뉴 플로팅 목록의 미션 항목 터치 시, 미션 팝업이 출력된다.</t>
  </si>
  <si>
    <t>참고 화면: 이벤트 모드 상세 - 1-B. 미션</t>
  </si>
  <si>
    <t>설정 항목</t>
  </si>
  <si>
    <t>설정 팝업 출력</t>
  </si>
  <si>
    <t>메뉴 플로팅 목록의 설정 항목 터치 시, 미니 게임 설정 팝업이 출력된다.</t>
  </si>
  <si>
    <t>참고 화면: 이벤트 모드 상세 - 1-B. 설정</t>
  </si>
  <si>
    <t>나가기 항목</t>
  </si>
  <si>
    <t>이벤트 화면 이동</t>
  </si>
  <si>
    <t>메뉴 플로팅 목록의 나가기 항목 터치 시, 이벤트 메인 화면으로 이동된다.</t>
  </si>
  <si>
    <t>참고 화면: 이벤트 모드 상세 - 1-B. 나가기</t>
  </si>
  <si>
    <t>설정</t>
  </si>
  <si>
    <t>설정 팝업 진입</t>
  </si>
  <si>
    <t>메뉴의 설정 아이콘 터치 시, 기존 게임 화면이 일시 정지 및 딤드 처리된다.</t>
  </si>
  <si>
    <t>참고 화면: 설정 팝업</t>
  </si>
  <si>
    <t>메뉴의 설정 아이콘 터치 시, 미니 게임 설정 팝업이 출력된다.</t>
  </si>
  <si>
    <t>사운드 설정</t>
  </si>
  <si>
    <t>음악 토글</t>
  </si>
  <si>
    <t>활성/비활성 전환</t>
  </si>
  <si>
    <t>설정 팝업의 음악 토글 버튼 터치 시, 음악 활성(주황)/비활성(회색) 상태가 전환된다.</t>
  </si>
  <si>
    <t>참고 화면: 설정 팝업 - 사운드 토글</t>
  </si>
  <si>
    <t>음악 재생 처리</t>
  </si>
  <si>
    <t>설정 팝업의 음악 토글 활성 상태에서 배경음악이 재생된다.</t>
  </si>
  <si>
    <t>효과음 토글</t>
  </si>
  <si>
    <t>설정 팝업의 효과음 토글 버튼 터치 시, 효과음 활성(주황)/비활성(회색) 상태가 전환된다.</t>
  </si>
  <si>
    <t>참고 화면: 설정 팝업 - 효과음 토글</t>
  </si>
  <si>
    <t>효과음 재생 처리</t>
  </si>
  <si>
    <t>설정 팝업의 효과음 토글 활성 상태에서 인게임 효과음이 재생된다.</t>
  </si>
  <si>
    <t>진동 토글</t>
  </si>
  <si>
    <t>설정 팝업의 진동 토글 버튼 터치 시, 진동 활성(주황)/비활성(회색) 상태가 전환된다.</t>
  </si>
  <si>
    <t>참고 화면: 설정 팝업 - 진동 토글</t>
  </si>
  <si>
    <t>진동 처리</t>
  </si>
  <si>
    <t>설정 팝업의 진동 토글 활성 상태에서 인게임 진동이 발생된다.</t>
  </si>
  <si>
    <t>설정 팝업 버튼</t>
  </si>
  <si>
    <t>계속하기</t>
  </si>
  <si>
    <t>설정 팝업의 계속하기 버튼 터치 시, 팝업이 닫히고 게임 화면으로 복귀된다.</t>
  </si>
  <si>
    <t>참고 화면: 설정 팝업 - 계속하기</t>
  </si>
  <si>
    <t>다시하기</t>
  </si>
  <si>
    <t>확인 팝업 출력</t>
  </si>
  <si>
    <t>설정 팝업의 다시하기 버튼 터치 시, 진행도 초기화 확인 팝업이 출력된다.</t>
  </si>
  <si>
    <t>참고 화면: 다시하기 확인 팝업</t>
  </si>
  <si>
    <t>나가기</t>
  </si>
  <si>
    <t>설정 팝업의 나가기 버튼 터치 시, 이벤트 메인 화면으로 이동된다.</t>
  </si>
  <si>
    <t>참고 화면: 설정 팝업 - 나가기</t>
  </si>
  <si>
    <t>다시하기 확인 팝업</t>
  </si>
  <si>
    <t>안내 문구 출력</t>
  </si>
  <si>
    <t>다시하기 확인 팝업에 "진행도를 초기화 합니다. 계속하시겠습니까?" 문구가 출력된다.</t>
  </si>
  <si>
    <t>확인 버튼</t>
  </si>
  <si>
    <t>게임 초기화 및 재시작</t>
  </si>
  <si>
    <t>다시하기 확인 팝업의 확인 버튼 터치 시, 게임 진행도가 초기화되고 새 라운드가 시작된다.</t>
  </si>
  <si>
    <t>취소 버튼</t>
  </si>
  <si>
    <t>팝업 닫기</t>
  </si>
  <si>
    <t>다시하기 확인 팝업의 취소 버튼 터치 시, 확인 팝업이 닫히고 설정 팝업으로 복귀된다.</t>
  </si>
  <si>
    <t>다시하기 확인 팝업의 X 버튼 터치 시, 확인 팝업이 닫힌다.</t>
  </si>
  <si>
    <t>설정 팝업 닫기</t>
  </si>
  <si>
    <t>설정 팝업의 X 버튼 터치 시, 팝업이 닫히고 게임 화면으로 복귀된다.</t>
  </si>
  <si>
    <t>참고 화면: 설정 팝업 - 닫기</t>
  </si>
  <si>
    <t>미션</t>
  </si>
  <si>
    <t>미션 팝업 진입</t>
  </si>
  <si>
    <t>메뉴의 미션 아이콘 터치 시, 기존 게임 화면이 정지 및 딤드 처리된다.</t>
  </si>
  <si>
    <t>참고 화면: 미션 팝업</t>
  </si>
  <si>
    <t>메뉴의 미션 아이콘 터치 시, 미션 팝업이 출력된다.</t>
  </si>
  <si>
    <t>미션 팝업 헤더</t>
  </si>
  <si>
    <t>타이틀 출력</t>
  </si>
  <si>
    <t>미션 팝업 상단에 "미션" 타이틀이 출력된다.</t>
  </si>
  <si>
    <t>참고 화면: 미션 팝업 - 헤더</t>
  </si>
  <si>
    <t>종료까지 남은 시간 카운트다운</t>
  </si>
  <si>
    <t>미션 팝업 상단에 미션 종료까지 남은 시간이 카운트다운으로 출력된다.</t>
  </si>
  <si>
    <t>참고 화면: 미션 팝업 - 잔여시간</t>
  </si>
  <si>
    <t>미션 리스트</t>
  </si>
  <si>
    <t>미션 정보 출력</t>
  </si>
  <si>
    <t>미션명 출력</t>
  </si>
  <si>
    <t>미션 리스트 각 항목에 미션명이 출력된다.</t>
  </si>
  <si>
    <t>참고 화면: 미션 팝업 - 미션 리스트</t>
  </si>
  <si>
    <t>진행도 게이지 출력</t>
  </si>
  <si>
    <t>미션 리스트 각 항목에 진행도 게이지바와 진행도 수치가 출력된다.</t>
  </si>
  <si>
    <t>참고 화면: 미션 팝업 - 진행도</t>
  </si>
  <si>
    <t>보상 아이콘 출력</t>
  </si>
  <si>
    <t>미션 리스트 각 항목에 보상 아이콘과 수량이 출력된다.</t>
  </si>
  <si>
    <t>참고 화면: 미션 팝업 - 보상</t>
  </si>
  <si>
    <t>획득 버튼 상태</t>
  </si>
  <si>
    <t>진행 중 비활성</t>
  </si>
  <si>
    <t>미션 진행도 미달성 시, 획득 버튼이 비활성(회색) 상태로 출력된다.</t>
  </si>
  <si>
    <t>참고 화면: 미션 팝업 - 획득 버튼</t>
  </si>
  <si>
    <t>달성 시 활성</t>
  </si>
  <si>
    <t>미션 진행도 100% 달성 시, 획득 버튼이 활성(녹색) 상태로 출력된다.</t>
  </si>
  <si>
    <t>수령 후 비활성</t>
  </si>
  <si>
    <t>미션 보상 수령 완료 시, 해당 미션의 획득 버튼이 비활성 상태로 전환된다.</t>
  </si>
  <si>
    <t>보상 수령</t>
  </si>
  <si>
    <t>획득 버튼 터치</t>
  </si>
  <si>
    <t>보상 지급 처리</t>
  </si>
  <si>
    <t>미션 획득 버튼 터치 시, 해당 미션의 보상이 지급된다.</t>
  </si>
  <si>
    <t>참고 화면: 미션 팝업 - 보상 수령</t>
  </si>
  <si>
    <t>미션 팝업 닫기</t>
  </si>
  <si>
    <t>미션 팝업의 X 버튼 터치 시, 팝업이 닫히고 게임 화면으로 복귀된다.</t>
  </si>
  <si>
    <t>참고 화면: 미션 팝업 - 닫기</t>
  </si>
  <si>
    <t>랭킹</t>
  </si>
  <si>
    <t>랭킹 팝업 진입</t>
  </si>
  <si>
    <t>메뉴의 랭킹 아이콘 터치 시, 기존 게임 화면이 정지 및 딤드 처리된다.</t>
  </si>
  <si>
    <t>참고 화면: 랭킹 팝업</t>
  </si>
  <si>
    <t>메뉴의 랭킹 아이콘 터치 시, 랭킹 팝업이 출력된다.</t>
  </si>
  <si>
    <t>랭킹 팝업 헤더</t>
  </si>
  <si>
    <t>랭킹 팝업 상단에 "랭킹" 타이틀이 출력된다.</t>
  </si>
  <si>
    <t>참고 화면: 랭킹 팝업 - 헤더</t>
  </si>
  <si>
    <t>랭킹 팝업 상단에 랭킹 종료까지 남은 시간이 카운트다운으로 출력된다.</t>
  </si>
  <si>
    <t>참고 화면: 랭킹 팝업 - 잔여시간</t>
  </si>
  <si>
    <t>랭킹 리스트</t>
  </si>
  <si>
    <t>헤더 영역</t>
  </si>
  <si>
    <t>랭크/플레이어/점수</t>
  </si>
  <si>
    <t>랭킹 리스트 상단에 랭크/플레이어/점수 컬럼 헤더가 출력된다.</t>
  </si>
  <si>
    <t>참고 화면: 랭킹 팝업 - 컬럼 헤더</t>
  </si>
  <si>
    <t>상위 랭킹 출력</t>
  </si>
  <si>
    <t>1위 메달 표시</t>
  </si>
  <si>
    <t>랭킹 리스트의 1위 항목에 금메달 아이콘이 출력된다.</t>
  </si>
  <si>
    <t>참고 화면: 랭킹 팝업 - 1위 메달</t>
  </si>
  <si>
    <t>2위 메달 표시</t>
  </si>
  <si>
    <t>랭킹 리스트의 2위 항목에 은메달 아이콘이 출력된다.</t>
  </si>
  <si>
    <t>참고 화면: 랭킹 팝업 - 2위 메달</t>
  </si>
  <si>
    <t>3위 메달 표시</t>
  </si>
  <si>
    <t>랭킹 리스트의 3위 항목에 동메달 아이콘이 출력된다.</t>
  </si>
  <si>
    <t>참고 화면: 랭킹 팝업 - 3위 메달</t>
  </si>
  <si>
    <t>4위 이하 출력</t>
  </si>
  <si>
    <t>랭킹 리스트의 4위 이하 항목에 메달 대신 순위 숫자가 출력된다.</t>
  </si>
  <si>
    <t>참고 화면: 랭킹 팝업 - 4위 표시</t>
  </si>
  <si>
    <t>본인 행 강조</t>
  </si>
  <si>
    <t>랭킹 리스트에 본인 행이 다른 행과 구분되는 강조 배경색으로 출력된다.</t>
  </si>
  <si>
    <t>참고 화면: 랭킹 팝업 - 본인 행</t>
  </si>
  <si>
    <t>랭킹 팝업 닫기</t>
  </si>
  <si>
    <t>랭킹 팝업의 X 버튼 터치 시, 팝업이 닫히고 게임 화면으로 복귀된다.</t>
  </si>
  <si>
    <t>참고 화면: 랭킹 팝업 - 닫기</t>
  </si>
  <si>
    <t>게임 종료</t>
  </si>
  <si>
    <t>게임오버 트리거</t>
  </si>
  <si>
    <t>구슬 종료 지점 도달</t>
  </si>
  <si>
    <t>게임 종료 처리</t>
  </si>
  <si>
    <t>구슬이 한 개라도 레일 끝 균열에 도달 시, 게임이 종료된다.</t>
  </si>
  <si>
    <t>참고 화면: 게임종료 - 종료 트리거</t>
  </si>
  <si>
    <t>잔여 구슬 빨림 연출</t>
  </si>
  <si>
    <t>게임 종료 시, 레일에 남은 구슬들이 모두 구멍으로 빨려 들어가는 연출이 재생된다.</t>
  </si>
  <si>
    <t>참고 화면: 게임종료 - 종료 연출</t>
  </si>
  <si>
    <t>결과 팝업</t>
  </si>
  <si>
    <t>게임 화면 딤드 처리</t>
  </si>
  <si>
    <t>게임 종료 시, 게임 화면이 딤드 처리되고 결과 팝업이 출력된다.</t>
  </si>
  <si>
    <t>참고 화면: 게임종료 - 결과 팝업</t>
  </si>
  <si>
    <t>점수 영역</t>
  </si>
  <si>
    <t>BEST SCORE 출력</t>
  </si>
  <si>
    <t>결과 팝업에 시즌 최고 점수(BEST SCORE)가 출력된다.</t>
  </si>
  <si>
    <t>SCORE 출력</t>
  </si>
  <si>
    <t>결과 팝업에 현재 플레이 점수(SCORE)가 출력된다.</t>
  </si>
  <si>
    <t>New Record 라벨 출력</t>
  </si>
  <si>
    <t>현재 점수가 기존 최고 점수보다 높을 시, 결과 팝업에 New Record 라벨이 출력된다.</t>
  </si>
  <si>
    <t>참고 화면: 게임종료 - New Record</t>
  </si>
  <si>
    <t>New Record 미표시 분기</t>
  </si>
  <si>
    <t>현재 점수가 기존 최고 점수 이하일 시, 결과 팝업에 New Record 라벨이 표시되지 않는다.</t>
  </si>
  <si>
    <t>결과 팝업 버튼</t>
  </si>
  <si>
    <t>다시하기 버튼</t>
  </si>
  <si>
    <t>결과 팝업의 다시하기 버튼 터치 시, 게임이 처음부터 재시작된다.</t>
  </si>
  <si>
    <t>참고 화면: 게임종료 - 결과 팝업 버튼</t>
  </si>
  <si>
    <t>나가기 버튼</t>
  </si>
  <si>
    <t>결과 팝업의 나가기 버튼 터치 시, 이벤트 메인 화면으로 이동된다.</t>
  </si>
  <si>
    <t>예외 처리</t>
  </si>
  <si>
    <t>게임오버 시 미션/랭킹 갱신</t>
  </si>
  <si>
    <t>게임 종료 시, 현재 점수가 미션 진행도 및 랭킹 점수에 반영되어 갱신된다.</t>
  </si>
  <si>
    <t>참고 화면: 게임종료 - 결과 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</si>
</sst>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9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COUNTIF(I10:I131,"Pass")</f>
      </c>
      <c r="K3" t="s">
        <v>4</v>
      </c>
      <c r="L3">
        <f>COUNTIF(I10:I131,"")</f>
      </c>
      <c r="M3" s="3" t="s">
        <v>3</v>
      </c>
      <c r="N3">
        <f>COUNTIF(J10:J131,"Pass")</f>
      </c>
    </row>
    <row r="4" spans="9:14" x14ac:dyDescent="0.25">
      <c r="I4" s="4" t="s">
        <v>5</v>
      </c>
      <c r="J4">
        <f>COUNTIF(I10:I131,"N/T")</f>
      </c>
      <c r="K4" t="s">
        <v>6</v>
      </c>
      <c r="L4">
        <f>COUNTA(I10:I131)-COUNTIF(I10:I131,"")</f>
      </c>
      <c r="M4" s="4" t="s">
        <v>5</v>
      </c>
      <c r="N4">
        <f>COUNTIF(J10:J131,"N/T")</f>
      </c>
    </row>
    <row r="5" spans="9:14" x14ac:dyDescent="0.25">
      <c r="I5" s="5" t="s">
        <v>7</v>
      </c>
      <c r="J5">
        <f>COUNTIF(I10:I131,"Fail")</f>
      </c>
      <c r="K5" t="s">
        <v>8</v>
      </c>
      <c r="L5">
        <v>122</v>
      </c>
      <c r="M5" s="5" t="s">
        <v>7</v>
      </c>
      <c r="N5">
        <f>COUNTIF(J10:J131,"Fail")</f>
      </c>
    </row>
    <row r="6" spans="9:14" x14ac:dyDescent="0.25">
      <c r="I6" s="6" t="s">
        <v>9</v>
      </c>
      <c r="J6">
        <f>COUNTIF(I10:I131,"Block")</f>
      </c>
      <c r="K6" t="s">
        <v>10</v>
      </c>
      <c r="L6" s="7">
        <f>IF(L5=0,0,L4/L5)</f>
      </c>
      <c r="M6" s="6" t="s">
        <v>9</v>
      </c>
      <c r="N6">
        <f>COUNTIF(J10:J131,"Block")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26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5" t="s">
        <v>29</v>
      </c>
      <c r="D12" s="11"/>
      <c r="E12" s="11" t="s">
        <v>31</v>
      </c>
      <c r="F12" s="11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35</v>
      </c>
    </row>
    <row r="13" spans="2:14" x14ac:dyDescent="0.25">
      <c r="B13" s="9">
        <v>4</v>
      </c>
      <c r="C13" s="15" t="s">
        <v>29</v>
      </c>
      <c r="D13" s="11"/>
      <c r="E13" s="11"/>
      <c r="F13" s="11"/>
      <c r="G13" s="12" t="s">
        <v>33</v>
      </c>
      <c r="H13" s="13" t="s">
        <v>36</v>
      </c>
      <c r="I13" s="12"/>
      <c r="J13" s="12"/>
      <c r="K13" s="12"/>
      <c r="L13" s="12"/>
      <c r="M13" s="12"/>
      <c r="N13" s="14" t="s">
        <v>35</v>
      </c>
    </row>
    <row r="14" spans="2:14" x14ac:dyDescent="0.25">
      <c r="B14" s="9">
        <v>5</v>
      </c>
      <c r="C14" s="15" t="s">
        <v>29</v>
      </c>
      <c r="D14" s="11"/>
      <c r="E14" s="11" t="s">
        <v>37</v>
      </c>
      <c r="F14" s="11" t="s">
        <v>38</v>
      </c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41</v>
      </c>
    </row>
    <row r="15" spans="2:14" x14ac:dyDescent="0.25">
      <c r="B15" s="9">
        <v>6</v>
      </c>
      <c r="C15" s="15" t="s">
        <v>29</v>
      </c>
      <c r="D15" s="11"/>
      <c r="E15" s="11"/>
      <c r="F15" s="11"/>
      <c r="G15" s="12" t="s">
        <v>42</v>
      </c>
      <c r="H15" s="13" t="s">
        <v>43</v>
      </c>
      <c r="I15" s="12"/>
      <c r="J15" s="12"/>
      <c r="K15" s="12"/>
      <c r="L15" s="12"/>
      <c r="M15" s="12"/>
      <c r="N15" s="14" t="s">
        <v>44</v>
      </c>
    </row>
    <row r="16" spans="2:14" x14ac:dyDescent="0.25">
      <c r="B16" s="9">
        <v>7</v>
      </c>
      <c r="C16" s="15" t="s">
        <v>29</v>
      </c>
      <c r="D16" s="11"/>
      <c r="E16" s="11"/>
      <c r="F16" s="11"/>
      <c r="G16" s="12" t="s">
        <v>45</v>
      </c>
      <c r="H16" s="13" t="s">
        <v>46</v>
      </c>
      <c r="I16" s="12"/>
      <c r="J16" s="12"/>
      <c r="K16" s="12"/>
      <c r="L16" s="12"/>
      <c r="M16" s="12"/>
      <c r="N16" s="14" t="s">
        <v>44</v>
      </c>
    </row>
    <row r="17" spans="2:14" x14ac:dyDescent="0.25">
      <c r="B17" s="9">
        <v>8</v>
      </c>
      <c r="C17" s="15" t="s">
        <v>29</v>
      </c>
      <c r="D17" s="11"/>
      <c r="E17" s="11"/>
      <c r="F17" s="11" t="s">
        <v>47</v>
      </c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50</v>
      </c>
    </row>
    <row r="18" spans="2:14" x14ac:dyDescent="0.25">
      <c r="B18" s="9">
        <v>9</v>
      </c>
      <c r="C18" s="15" t="s">
        <v>29</v>
      </c>
      <c r="D18" s="11"/>
      <c r="E18" s="11"/>
      <c r="F18" s="11"/>
      <c r="G18" s="12" t="s">
        <v>51</v>
      </c>
      <c r="H18" s="13" t="s">
        <v>52</v>
      </c>
      <c r="I18" s="12"/>
      <c r="J18" s="12"/>
      <c r="K18" s="12"/>
      <c r="L18" s="12"/>
      <c r="M18" s="12"/>
      <c r="N18" s="14" t="s">
        <v>50</v>
      </c>
    </row>
    <row r="19" spans="2:14" x14ac:dyDescent="0.25">
      <c r="B19" s="9">
        <v>10</v>
      </c>
      <c r="C19" s="15" t="s">
        <v>29</v>
      </c>
      <c r="D19" s="11"/>
      <c r="E19" s="11"/>
      <c r="F19" s="11"/>
      <c r="G19" s="12" t="s">
        <v>53</v>
      </c>
      <c r="H19" s="13" t="s">
        <v>54</v>
      </c>
      <c r="I19" s="12"/>
      <c r="J19" s="12"/>
      <c r="K19" s="12"/>
      <c r="L19" s="12"/>
      <c r="M19" s="12"/>
      <c r="N19" s="14" t="s">
        <v>50</v>
      </c>
    </row>
    <row r="20" spans="2:14" x14ac:dyDescent="0.25">
      <c r="B20" s="9">
        <v>11</v>
      </c>
      <c r="C20" s="10" t="s">
        <v>22</v>
      </c>
      <c r="D20" s="11"/>
      <c r="E20" s="11"/>
      <c r="F20" s="11" t="s">
        <v>55</v>
      </c>
      <c r="G20" s="12" t="s">
        <v>56</v>
      </c>
      <c r="H20" s="13" t="s">
        <v>57</v>
      </c>
      <c r="I20" s="12"/>
      <c r="J20" s="12"/>
      <c r="K20" s="12"/>
      <c r="L20" s="12"/>
      <c r="M20" s="12"/>
      <c r="N20" s="14" t="s">
        <v>58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56</v>
      </c>
      <c r="H21" s="13" t="s">
        <v>59</v>
      </c>
      <c r="I21" s="12"/>
      <c r="J21" s="12"/>
      <c r="K21" s="12"/>
      <c r="L21" s="12"/>
      <c r="M21" s="12"/>
      <c r="N21" s="14" t="s">
        <v>60</v>
      </c>
    </row>
    <row r="22" spans="2:14" x14ac:dyDescent="0.25">
      <c r="B22" s="9">
        <v>13</v>
      </c>
      <c r="C22" s="15" t="s">
        <v>29</v>
      </c>
      <c r="D22" s="11"/>
      <c r="E22" s="11"/>
      <c r="F22" s="11"/>
      <c r="G22" s="12" t="s">
        <v>61</v>
      </c>
      <c r="H22" s="13" t="s">
        <v>62</v>
      </c>
      <c r="I22" s="12"/>
      <c r="J22" s="12"/>
      <c r="K22" s="12"/>
      <c r="L22" s="12"/>
      <c r="M22" s="12"/>
      <c r="N22" s="14" t="s">
        <v>63</v>
      </c>
    </row>
    <row r="23" spans="2:14" x14ac:dyDescent="0.25">
      <c r="B23" s="9">
        <v>14</v>
      </c>
      <c r="C23" s="15" t="s">
        <v>29</v>
      </c>
      <c r="D23" s="11"/>
      <c r="E23" s="11"/>
      <c r="F23" s="11"/>
      <c r="G23" s="12" t="s">
        <v>61</v>
      </c>
      <c r="H23" s="13" t="s">
        <v>64</v>
      </c>
      <c r="I23" s="12"/>
      <c r="J23" s="12"/>
      <c r="K23" s="12"/>
      <c r="L23" s="12"/>
      <c r="M23" s="12"/>
      <c r="N23" s="14" t="s">
        <v>65</v>
      </c>
    </row>
    <row r="24" spans="2:14" x14ac:dyDescent="0.25">
      <c r="B24" s="9">
        <v>15</v>
      </c>
      <c r="C24" s="15" t="s">
        <v>29</v>
      </c>
      <c r="D24" s="11"/>
      <c r="E24" s="11"/>
      <c r="F24" s="11"/>
      <c r="G24" s="12" t="s">
        <v>61</v>
      </c>
      <c r="H24" s="13" t="s">
        <v>66</v>
      </c>
      <c r="I24" s="12"/>
      <c r="J24" s="12"/>
      <c r="K24" s="12"/>
      <c r="L24" s="12"/>
      <c r="M24" s="12"/>
      <c r="N24" s="14" t="s">
        <v>67</v>
      </c>
    </row>
    <row r="25" spans="2:14" x14ac:dyDescent="0.25">
      <c r="B25" s="9">
        <v>16</v>
      </c>
      <c r="C25" s="16" t="s">
        <v>68</v>
      </c>
      <c r="D25" s="11"/>
      <c r="E25" s="11"/>
      <c r="F25" s="12" t="s">
        <v>69</v>
      </c>
      <c r="G25" s="12" t="s">
        <v>70</v>
      </c>
      <c r="H25" s="13" t="s">
        <v>71</v>
      </c>
      <c r="I25" s="12"/>
      <c r="J25" s="12"/>
      <c r="K25" s="12"/>
      <c r="L25" s="12"/>
      <c r="M25" s="12"/>
      <c r="N25" s="14" t="s">
        <v>72</v>
      </c>
    </row>
    <row r="26" spans="2:14" x14ac:dyDescent="0.25">
      <c r="B26" s="9">
        <v>17</v>
      </c>
      <c r="C26" s="15" t="s">
        <v>29</v>
      </c>
      <c r="D26" s="11" t="s">
        <v>73</v>
      </c>
      <c r="E26" s="11" t="s">
        <v>74</v>
      </c>
      <c r="F26" s="11" t="s">
        <v>75</v>
      </c>
      <c r="G26" s="12" t="s">
        <v>76</v>
      </c>
      <c r="H26" s="13" t="s">
        <v>77</v>
      </c>
      <c r="I26" s="12"/>
      <c r="J26" s="12"/>
      <c r="K26" s="12"/>
      <c r="L26" s="12"/>
      <c r="M26" s="12"/>
      <c r="N26" s="14" t="s">
        <v>78</v>
      </c>
    </row>
    <row r="27" spans="2:14" x14ac:dyDescent="0.25">
      <c r="B27" s="9">
        <v>18</v>
      </c>
      <c r="C27" s="15" t="s">
        <v>29</v>
      </c>
      <c r="D27" s="11"/>
      <c r="E27" s="11"/>
      <c r="F27" s="11"/>
      <c r="G27" s="12" t="s">
        <v>79</v>
      </c>
      <c r="H27" s="13" t="s">
        <v>80</v>
      </c>
      <c r="I27" s="12"/>
      <c r="J27" s="12"/>
      <c r="K27" s="12"/>
      <c r="L27" s="12"/>
      <c r="M27" s="12"/>
      <c r="N27" s="14" t="s">
        <v>78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81</v>
      </c>
      <c r="H28" s="13" t="s">
        <v>82</v>
      </c>
      <c r="I28" s="12"/>
      <c r="J28" s="12"/>
      <c r="K28" s="12"/>
      <c r="L28" s="12"/>
      <c r="M28" s="12"/>
      <c r="N28" s="14" t="s">
        <v>83</v>
      </c>
    </row>
    <row r="29" spans="2:14" x14ac:dyDescent="0.25">
      <c r="B29" s="9">
        <v>20</v>
      </c>
      <c r="C29" s="15" t="s">
        <v>29</v>
      </c>
      <c r="D29" s="11"/>
      <c r="E29" s="11"/>
      <c r="F29" s="11" t="s">
        <v>84</v>
      </c>
      <c r="G29" s="12" t="s">
        <v>85</v>
      </c>
      <c r="H29" s="13" t="s">
        <v>86</v>
      </c>
      <c r="I29" s="12"/>
      <c r="J29" s="12"/>
      <c r="K29" s="12"/>
      <c r="L29" s="12"/>
      <c r="M29" s="12"/>
      <c r="N29" s="14" t="s">
        <v>87</v>
      </c>
    </row>
    <row r="30" spans="2:14" x14ac:dyDescent="0.25">
      <c r="B30" s="9">
        <v>21</v>
      </c>
      <c r="C30" s="15" t="s">
        <v>29</v>
      </c>
      <c r="D30" s="11"/>
      <c r="E30" s="11"/>
      <c r="F30" s="11"/>
      <c r="G30" s="12" t="s">
        <v>88</v>
      </c>
      <c r="H30" s="13" t="s">
        <v>89</v>
      </c>
      <c r="I30" s="12"/>
      <c r="J30" s="12"/>
      <c r="K30" s="12"/>
      <c r="L30" s="12"/>
      <c r="M30" s="12"/>
      <c r="N30" s="14" t="s">
        <v>90</v>
      </c>
    </row>
    <row r="31" spans="2:14" x14ac:dyDescent="0.25">
      <c r="B31" s="9">
        <v>22</v>
      </c>
      <c r="C31" s="15" t="s">
        <v>29</v>
      </c>
      <c r="D31" s="11"/>
      <c r="E31" s="11" t="s">
        <v>91</v>
      </c>
      <c r="F31" s="12" t="s">
        <v>92</v>
      </c>
      <c r="G31" s="12" t="s">
        <v>93</v>
      </c>
      <c r="H31" s="13" t="s">
        <v>94</v>
      </c>
      <c r="I31" s="12"/>
      <c r="J31" s="12"/>
      <c r="K31" s="12"/>
      <c r="L31" s="12"/>
      <c r="M31" s="12"/>
      <c r="N31" s="14" t="s">
        <v>95</v>
      </c>
    </row>
    <row r="32" spans="2:14" x14ac:dyDescent="0.25">
      <c r="B32" s="9">
        <v>23</v>
      </c>
      <c r="C32" s="15" t="s">
        <v>29</v>
      </c>
      <c r="D32" s="11"/>
      <c r="E32" s="11"/>
      <c r="F32" s="11" t="s">
        <v>96</v>
      </c>
      <c r="G32" s="12" t="s">
        <v>97</v>
      </c>
      <c r="H32" s="13" t="s">
        <v>98</v>
      </c>
      <c r="I32" s="12"/>
      <c r="J32" s="12"/>
      <c r="K32" s="12"/>
      <c r="L32" s="12"/>
      <c r="M32" s="12"/>
      <c r="N32" s="14" t="s">
        <v>99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100</v>
      </c>
      <c r="H33" s="13" t="s">
        <v>101</v>
      </c>
      <c r="I33" s="12"/>
      <c r="J33" s="12"/>
      <c r="K33" s="12"/>
      <c r="L33" s="12"/>
      <c r="M33" s="12"/>
      <c r="N33" s="14" t="s">
        <v>102</v>
      </c>
    </row>
    <row r="34" spans="2:14" x14ac:dyDescent="0.25">
      <c r="B34" s="9">
        <v>25</v>
      </c>
      <c r="C34" s="16" t="s">
        <v>68</v>
      </c>
      <c r="D34" s="11"/>
      <c r="E34" s="11"/>
      <c r="F34" s="12" t="s">
        <v>103</v>
      </c>
      <c r="G34" s="12" t="s">
        <v>104</v>
      </c>
      <c r="H34" s="13" t="s">
        <v>105</v>
      </c>
      <c r="I34" s="12"/>
      <c r="J34" s="12"/>
      <c r="K34" s="12"/>
      <c r="L34" s="12"/>
      <c r="M34" s="12"/>
      <c r="N34" s="14" t="s">
        <v>106</v>
      </c>
    </row>
    <row r="35" spans="2:14" x14ac:dyDescent="0.25">
      <c r="B35" s="9">
        <v>26</v>
      </c>
      <c r="C35" s="15" t="s">
        <v>29</v>
      </c>
      <c r="D35" s="11"/>
      <c r="E35" s="11" t="s">
        <v>107</v>
      </c>
      <c r="F35" s="11" t="s">
        <v>108</v>
      </c>
      <c r="G35" s="12" t="s">
        <v>109</v>
      </c>
      <c r="H35" s="13" t="s">
        <v>110</v>
      </c>
      <c r="I35" s="12"/>
      <c r="J35" s="12"/>
      <c r="K35" s="12"/>
      <c r="L35" s="12"/>
      <c r="M35" s="12"/>
      <c r="N35" s="14" t="s">
        <v>111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112</v>
      </c>
      <c r="H36" s="13" t="s">
        <v>113</v>
      </c>
      <c r="I36" s="12"/>
      <c r="J36" s="12"/>
      <c r="K36" s="12"/>
      <c r="L36" s="12"/>
      <c r="M36" s="12"/>
      <c r="N36" s="14" t="s">
        <v>114</v>
      </c>
    </row>
    <row r="37" spans="2:14" x14ac:dyDescent="0.25">
      <c r="B37" s="9">
        <v>28</v>
      </c>
      <c r="C37" s="16" t="s">
        <v>68</v>
      </c>
      <c r="D37" s="11"/>
      <c r="E37" s="11"/>
      <c r="F37" s="11"/>
      <c r="G37" s="12" t="s">
        <v>115</v>
      </c>
      <c r="H37" s="13" t="s">
        <v>116</v>
      </c>
      <c r="I37" s="12"/>
      <c r="J37" s="12"/>
      <c r="K37" s="12"/>
      <c r="L37" s="12"/>
      <c r="M37" s="12"/>
      <c r="N37" s="14" t="s">
        <v>117</v>
      </c>
    </row>
    <row r="38" spans="2:14" x14ac:dyDescent="0.25">
      <c r="B38" s="9">
        <v>29</v>
      </c>
      <c r="C38" s="15" t="s">
        <v>29</v>
      </c>
      <c r="D38" s="11"/>
      <c r="E38" s="11"/>
      <c r="F38" s="11" t="s">
        <v>118</v>
      </c>
      <c r="G38" s="12" t="s">
        <v>119</v>
      </c>
      <c r="H38" s="13" t="s">
        <v>120</v>
      </c>
      <c r="I38" s="12"/>
      <c r="J38" s="12"/>
      <c r="K38" s="12"/>
      <c r="L38" s="12"/>
      <c r="M38" s="12"/>
      <c r="N38" s="14" t="s">
        <v>121</v>
      </c>
    </row>
    <row r="39" spans="2:14" x14ac:dyDescent="0.25">
      <c r="B39" s="9">
        <v>30</v>
      </c>
      <c r="C39" s="15" t="s">
        <v>29</v>
      </c>
      <c r="D39" s="11"/>
      <c r="E39" s="11"/>
      <c r="F39" s="11"/>
      <c r="G39" s="12" t="s">
        <v>122</v>
      </c>
      <c r="H39" s="13" t="s">
        <v>123</v>
      </c>
      <c r="I39" s="12"/>
      <c r="J39" s="12"/>
      <c r="K39" s="12"/>
      <c r="L39" s="12"/>
      <c r="M39" s="12"/>
      <c r="N39" s="14" t="s">
        <v>124</v>
      </c>
    </row>
    <row r="40" spans="2:14" x14ac:dyDescent="0.25">
      <c r="B40" s="9">
        <v>31</v>
      </c>
      <c r="C40" s="15" t="s">
        <v>29</v>
      </c>
      <c r="D40" s="11"/>
      <c r="E40" s="11" t="s">
        <v>125</v>
      </c>
      <c r="F40" s="11" t="s">
        <v>126</v>
      </c>
      <c r="G40" s="12" t="s">
        <v>127</v>
      </c>
      <c r="H40" s="13" t="s">
        <v>128</v>
      </c>
      <c r="I40" s="12"/>
      <c r="J40" s="12"/>
      <c r="K40" s="12"/>
      <c r="L40" s="12"/>
      <c r="M40" s="12"/>
      <c r="N40" s="14" t="s">
        <v>129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130</v>
      </c>
      <c r="H41" s="13" t="s">
        <v>131</v>
      </c>
      <c r="I41" s="12"/>
      <c r="J41" s="12"/>
      <c r="K41" s="12"/>
      <c r="L41" s="12"/>
      <c r="M41" s="12"/>
      <c r="N41" s="14" t="s">
        <v>132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133</v>
      </c>
      <c r="H42" s="13" t="s">
        <v>134</v>
      </c>
      <c r="I42" s="12"/>
      <c r="J42" s="12"/>
      <c r="K42" s="12"/>
      <c r="L42" s="12"/>
      <c r="M42" s="12"/>
      <c r="N42" s="14" t="s">
        <v>132</v>
      </c>
    </row>
    <row r="43" spans="2:14" x14ac:dyDescent="0.25">
      <c r="B43" s="9">
        <v>34</v>
      </c>
      <c r="C43" s="15" t="s">
        <v>29</v>
      </c>
      <c r="D43" s="11"/>
      <c r="E43" s="11"/>
      <c r="F43" s="11"/>
      <c r="G43" s="12" t="s">
        <v>135</v>
      </c>
      <c r="H43" s="13" t="s">
        <v>136</v>
      </c>
      <c r="I43" s="12"/>
      <c r="J43" s="12"/>
      <c r="K43" s="12"/>
      <c r="L43" s="12"/>
      <c r="M43" s="12"/>
      <c r="N43" s="14" t="s">
        <v>137</v>
      </c>
    </row>
    <row r="44" spans="2:14" x14ac:dyDescent="0.25">
      <c r="B44" s="9">
        <v>35</v>
      </c>
      <c r="C44" s="15" t="s">
        <v>29</v>
      </c>
      <c r="D44" s="11"/>
      <c r="E44" s="11"/>
      <c r="F44" s="11" t="s">
        <v>138</v>
      </c>
      <c r="G44" s="12" t="s">
        <v>139</v>
      </c>
      <c r="H44" s="13" t="s">
        <v>140</v>
      </c>
      <c r="I44" s="12"/>
      <c r="J44" s="12"/>
      <c r="K44" s="12"/>
      <c r="L44" s="12"/>
      <c r="M44" s="12"/>
      <c r="N44" s="14" t="s">
        <v>129</v>
      </c>
    </row>
    <row r="45" spans="2:14" x14ac:dyDescent="0.25">
      <c r="B45" s="9">
        <v>36</v>
      </c>
      <c r="C45" s="15" t="s">
        <v>29</v>
      </c>
      <c r="D45" s="11"/>
      <c r="E45" s="11"/>
      <c r="F45" s="11"/>
      <c r="G45" s="12" t="s">
        <v>141</v>
      </c>
      <c r="H45" s="13" t="s">
        <v>142</v>
      </c>
      <c r="I45" s="12"/>
      <c r="J45" s="12"/>
      <c r="K45" s="12"/>
      <c r="L45" s="12"/>
      <c r="M45" s="12"/>
      <c r="N45" s="14" t="s">
        <v>129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143</v>
      </c>
      <c r="H46" s="13" t="s">
        <v>144</v>
      </c>
      <c r="I46" s="12"/>
      <c r="J46" s="12"/>
      <c r="K46" s="12"/>
      <c r="L46" s="12"/>
      <c r="M46" s="12"/>
      <c r="N46" s="14" t="s">
        <v>145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146</v>
      </c>
      <c r="H47" s="13" t="s">
        <v>147</v>
      </c>
      <c r="I47" s="12"/>
      <c r="J47" s="12"/>
      <c r="K47" s="12"/>
      <c r="L47" s="12"/>
      <c r="M47" s="12"/>
      <c r="N47" s="14" t="s">
        <v>145</v>
      </c>
    </row>
    <row r="48" spans="2:14" x14ac:dyDescent="0.25">
      <c r="B48" s="9">
        <v>39</v>
      </c>
      <c r="C48" s="15" t="s">
        <v>29</v>
      </c>
      <c r="D48" s="11"/>
      <c r="E48" s="11"/>
      <c r="F48" s="11"/>
      <c r="G48" s="12" t="s">
        <v>135</v>
      </c>
      <c r="H48" s="13" t="s">
        <v>148</v>
      </c>
      <c r="I48" s="12"/>
      <c r="J48" s="12"/>
      <c r="K48" s="12"/>
      <c r="L48" s="12"/>
      <c r="M48" s="12"/>
      <c r="N48" s="14" t="s">
        <v>137</v>
      </c>
    </row>
    <row r="49" spans="2:14" x14ac:dyDescent="0.25">
      <c r="B49" s="9">
        <v>40</v>
      </c>
      <c r="C49" s="15" t="s">
        <v>29</v>
      </c>
      <c r="D49" s="11"/>
      <c r="E49" s="11" t="s">
        <v>149</v>
      </c>
      <c r="F49" s="11" t="s">
        <v>150</v>
      </c>
      <c r="G49" s="12" t="s">
        <v>151</v>
      </c>
      <c r="H49" s="13" t="s">
        <v>152</v>
      </c>
      <c r="I49" s="12"/>
      <c r="J49" s="12"/>
      <c r="K49" s="12"/>
      <c r="L49" s="12"/>
      <c r="M49" s="12"/>
      <c r="N49" s="14" t="s">
        <v>153</v>
      </c>
    </row>
    <row r="50" spans="2:14" x14ac:dyDescent="0.25">
      <c r="B50" s="9">
        <v>41</v>
      </c>
      <c r="C50" s="15" t="s">
        <v>29</v>
      </c>
      <c r="D50" s="11"/>
      <c r="E50" s="11"/>
      <c r="F50" s="11"/>
      <c r="G50" s="12" t="s">
        <v>154</v>
      </c>
      <c r="H50" s="13" t="s">
        <v>155</v>
      </c>
      <c r="I50" s="12"/>
      <c r="J50" s="12"/>
      <c r="K50" s="12"/>
      <c r="L50" s="12"/>
      <c r="M50" s="12"/>
      <c r="N50" s="14" t="s">
        <v>153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156</v>
      </c>
      <c r="H51" s="13" t="s">
        <v>157</v>
      </c>
      <c r="I51" s="12"/>
      <c r="J51" s="12"/>
      <c r="K51" s="12"/>
      <c r="L51" s="12"/>
      <c r="M51" s="12"/>
      <c r="N51" s="14" t="s">
        <v>158</v>
      </c>
    </row>
    <row r="52" spans="2:14" x14ac:dyDescent="0.25">
      <c r="B52" s="9">
        <v>43</v>
      </c>
      <c r="C52" s="10" t="s">
        <v>22</v>
      </c>
      <c r="D52" s="11"/>
      <c r="E52" s="11"/>
      <c r="F52" s="11" t="s">
        <v>159</v>
      </c>
      <c r="G52" s="12" t="s">
        <v>160</v>
      </c>
      <c r="H52" s="13" t="s">
        <v>161</v>
      </c>
      <c r="I52" s="12"/>
      <c r="J52" s="12"/>
      <c r="K52" s="12"/>
      <c r="L52" s="12"/>
      <c r="M52" s="12"/>
      <c r="N52" s="14" t="s">
        <v>162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163</v>
      </c>
      <c r="H53" s="13" t="s">
        <v>164</v>
      </c>
      <c r="I53" s="12"/>
      <c r="J53" s="12"/>
      <c r="K53" s="12"/>
      <c r="L53" s="12"/>
      <c r="M53" s="12"/>
      <c r="N53" s="14" t="s">
        <v>165</v>
      </c>
    </row>
    <row r="54" spans="2:14" x14ac:dyDescent="0.25">
      <c r="B54" s="9">
        <v>45</v>
      </c>
      <c r="C54" s="15" t="s">
        <v>29</v>
      </c>
      <c r="D54" s="11"/>
      <c r="E54" s="11"/>
      <c r="F54" s="11"/>
      <c r="G54" s="12" t="s">
        <v>166</v>
      </c>
      <c r="H54" s="13" t="s">
        <v>167</v>
      </c>
      <c r="I54" s="12"/>
      <c r="J54" s="12"/>
      <c r="K54" s="12"/>
      <c r="L54" s="12"/>
      <c r="M54" s="12"/>
      <c r="N54" s="14" t="s">
        <v>153</v>
      </c>
    </row>
    <row r="55" spans="2:14" x14ac:dyDescent="0.25">
      <c r="B55" s="9">
        <v>46</v>
      </c>
      <c r="C55" s="10" t="s">
        <v>22</v>
      </c>
      <c r="D55" s="11"/>
      <c r="E55" s="11"/>
      <c r="F55" s="11" t="s">
        <v>168</v>
      </c>
      <c r="G55" s="12" t="s">
        <v>169</v>
      </c>
      <c r="H55" s="13" t="s">
        <v>170</v>
      </c>
      <c r="I55" s="12"/>
      <c r="J55" s="12"/>
      <c r="K55" s="12"/>
      <c r="L55" s="12"/>
      <c r="M55" s="12"/>
      <c r="N55" s="14" t="s">
        <v>162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171</v>
      </c>
      <c r="H56" s="13" t="s">
        <v>172</v>
      </c>
      <c r="I56" s="12"/>
      <c r="J56" s="12"/>
      <c r="K56" s="12"/>
      <c r="L56" s="12"/>
      <c r="M56" s="12"/>
      <c r="N56" s="14" t="s">
        <v>173</v>
      </c>
    </row>
    <row r="57" spans="2:14" x14ac:dyDescent="0.25">
      <c r="B57" s="9">
        <v>48</v>
      </c>
      <c r="C57" s="15" t="s">
        <v>29</v>
      </c>
      <c r="D57" s="11"/>
      <c r="E57" s="11"/>
      <c r="F57" s="11"/>
      <c r="G57" s="12" t="s">
        <v>174</v>
      </c>
      <c r="H57" s="13" t="s">
        <v>175</v>
      </c>
      <c r="I57" s="12"/>
      <c r="J57" s="12"/>
      <c r="K57" s="12"/>
      <c r="L57" s="12"/>
      <c r="M57" s="12"/>
      <c r="N57" s="14" t="s">
        <v>176</v>
      </c>
    </row>
    <row r="58" spans="2:14" x14ac:dyDescent="0.25">
      <c r="B58" s="9">
        <v>49</v>
      </c>
      <c r="C58" s="15" t="s">
        <v>29</v>
      </c>
      <c r="D58" s="11"/>
      <c r="E58" s="11" t="s">
        <v>177</v>
      </c>
      <c r="F58" s="12" t="s">
        <v>178</v>
      </c>
      <c r="G58" s="12" t="s">
        <v>179</v>
      </c>
      <c r="H58" s="13" t="s">
        <v>180</v>
      </c>
      <c r="I58" s="12"/>
      <c r="J58" s="12"/>
      <c r="K58" s="12"/>
      <c r="L58" s="12"/>
      <c r="M58" s="12"/>
      <c r="N58" s="14" t="s">
        <v>181</v>
      </c>
    </row>
    <row r="59" spans="2:14" x14ac:dyDescent="0.25">
      <c r="B59" s="9">
        <v>50</v>
      </c>
      <c r="C59" s="10" t="s">
        <v>22</v>
      </c>
      <c r="D59" s="11"/>
      <c r="E59" s="11"/>
      <c r="F59" s="11" t="s">
        <v>182</v>
      </c>
      <c r="G59" s="12" t="s">
        <v>183</v>
      </c>
      <c r="H59" s="13" t="s">
        <v>184</v>
      </c>
      <c r="I59" s="12"/>
      <c r="J59" s="12"/>
      <c r="K59" s="12"/>
      <c r="L59" s="12"/>
      <c r="M59" s="12"/>
      <c r="N59" s="14" t="s">
        <v>185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186</v>
      </c>
      <c r="H60" s="13" t="s">
        <v>187</v>
      </c>
      <c r="I60" s="12"/>
      <c r="J60" s="12"/>
      <c r="K60" s="12"/>
      <c r="L60" s="12"/>
      <c r="M60" s="12"/>
      <c r="N60" s="14" t="s">
        <v>188</v>
      </c>
    </row>
    <row r="61" spans="2:14" x14ac:dyDescent="0.25">
      <c r="B61" s="9">
        <v>52</v>
      </c>
      <c r="C61" s="15" t="s">
        <v>29</v>
      </c>
      <c r="D61" s="11"/>
      <c r="E61" s="11" t="s">
        <v>189</v>
      </c>
      <c r="F61" s="11" t="s">
        <v>190</v>
      </c>
      <c r="G61" s="12" t="s">
        <v>191</v>
      </c>
      <c r="H61" s="13" t="s">
        <v>192</v>
      </c>
      <c r="I61" s="12"/>
      <c r="J61" s="12"/>
      <c r="K61" s="12"/>
      <c r="L61" s="12"/>
      <c r="M61" s="12"/>
      <c r="N61" s="14" t="s">
        <v>193</v>
      </c>
    </row>
    <row r="62" spans="2:14" x14ac:dyDescent="0.25">
      <c r="B62" s="9">
        <v>53</v>
      </c>
      <c r="C62" s="15" t="s">
        <v>29</v>
      </c>
      <c r="D62" s="11"/>
      <c r="E62" s="11"/>
      <c r="F62" s="11"/>
      <c r="G62" s="12" t="s">
        <v>194</v>
      </c>
      <c r="H62" s="13" t="s">
        <v>195</v>
      </c>
      <c r="I62" s="12"/>
      <c r="J62" s="12"/>
      <c r="K62" s="12"/>
      <c r="L62" s="12"/>
      <c r="M62" s="12"/>
      <c r="N62" s="14" t="s">
        <v>193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196</v>
      </c>
      <c r="H63" s="13" t="s">
        <v>197</v>
      </c>
      <c r="I63" s="12"/>
      <c r="J63" s="12"/>
      <c r="K63" s="12"/>
      <c r="L63" s="12"/>
      <c r="M63" s="12"/>
      <c r="N63" s="14" t="s">
        <v>193</v>
      </c>
    </row>
    <row r="64" spans="2:14" x14ac:dyDescent="0.25">
      <c r="B64" s="9">
        <v>55</v>
      </c>
      <c r="C64" s="10" t="s">
        <v>22</v>
      </c>
      <c r="D64" s="11"/>
      <c r="E64" s="12" t="s">
        <v>198</v>
      </c>
      <c r="F64" s="12" t="s">
        <v>199</v>
      </c>
      <c r="G64" s="12" t="s">
        <v>200</v>
      </c>
      <c r="H64" s="13" t="s">
        <v>201</v>
      </c>
      <c r="I64" s="12"/>
      <c r="J64" s="12"/>
      <c r="K64" s="12"/>
      <c r="L64" s="12"/>
      <c r="M64" s="12"/>
      <c r="N64" s="14" t="s">
        <v>202</v>
      </c>
    </row>
    <row r="65" spans="2:14" x14ac:dyDescent="0.25">
      <c r="B65" s="9">
        <v>56</v>
      </c>
      <c r="C65" s="15" t="s">
        <v>29</v>
      </c>
      <c r="D65" s="11" t="s">
        <v>203</v>
      </c>
      <c r="E65" s="11" t="s">
        <v>204</v>
      </c>
      <c r="F65" s="11" t="s">
        <v>205</v>
      </c>
      <c r="G65" s="12" t="s">
        <v>206</v>
      </c>
      <c r="H65" s="13" t="s">
        <v>207</v>
      </c>
      <c r="I65" s="12"/>
      <c r="J65" s="12"/>
      <c r="K65" s="12"/>
      <c r="L65" s="12"/>
      <c r="M65" s="12"/>
      <c r="N65" s="14" t="s">
        <v>208</v>
      </c>
    </row>
    <row r="66" spans="2:14" x14ac:dyDescent="0.25">
      <c r="B66" s="9">
        <v>57</v>
      </c>
      <c r="C66" s="15" t="s">
        <v>29</v>
      </c>
      <c r="D66" s="11"/>
      <c r="E66" s="11"/>
      <c r="F66" s="11"/>
      <c r="G66" s="12" t="s">
        <v>209</v>
      </c>
      <c r="H66" s="13" t="s">
        <v>210</v>
      </c>
      <c r="I66" s="12"/>
      <c r="J66" s="12"/>
      <c r="K66" s="12"/>
      <c r="L66" s="12"/>
      <c r="M66" s="12"/>
      <c r="N66" s="14" t="s">
        <v>208</v>
      </c>
    </row>
    <row r="67" spans="2:14" x14ac:dyDescent="0.25">
      <c r="B67" s="9">
        <v>58</v>
      </c>
      <c r="C67" s="15" t="s">
        <v>29</v>
      </c>
      <c r="D67" s="11"/>
      <c r="E67" s="11" t="s">
        <v>211</v>
      </c>
      <c r="F67" s="11" t="s">
        <v>212</v>
      </c>
      <c r="G67" s="12" t="s">
        <v>213</v>
      </c>
      <c r="H67" s="13" t="s">
        <v>214</v>
      </c>
      <c r="I67" s="12"/>
      <c r="J67" s="12"/>
      <c r="K67" s="12"/>
      <c r="L67" s="12"/>
      <c r="M67" s="12"/>
      <c r="N67" s="14" t="s">
        <v>215</v>
      </c>
    </row>
    <row r="68" spans="2:14" x14ac:dyDescent="0.25">
      <c r="B68" s="9">
        <v>59</v>
      </c>
      <c r="C68" s="15" t="s">
        <v>29</v>
      </c>
      <c r="D68" s="11"/>
      <c r="E68" s="11"/>
      <c r="F68" s="11"/>
      <c r="G68" s="12" t="s">
        <v>216</v>
      </c>
      <c r="H68" s="13" t="s">
        <v>217</v>
      </c>
      <c r="I68" s="12"/>
      <c r="J68" s="12"/>
      <c r="K68" s="12"/>
      <c r="L68" s="12"/>
      <c r="M68" s="12"/>
      <c r="N68" s="14" t="s">
        <v>218</v>
      </c>
    </row>
    <row r="69" spans="2:14" x14ac:dyDescent="0.25">
      <c r="B69" s="9">
        <v>60</v>
      </c>
      <c r="C69" s="10" t="s">
        <v>22</v>
      </c>
      <c r="D69" s="11"/>
      <c r="E69" s="11"/>
      <c r="F69" s="11" t="s">
        <v>219</v>
      </c>
      <c r="G69" s="12" t="s">
        <v>220</v>
      </c>
      <c r="H69" s="13" t="s">
        <v>221</v>
      </c>
      <c r="I69" s="12"/>
      <c r="J69" s="12"/>
      <c r="K69" s="12"/>
      <c r="L69" s="12"/>
      <c r="M69" s="12"/>
      <c r="N69" s="14" t="s">
        <v>117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222</v>
      </c>
      <c r="H70" s="13" t="s">
        <v>223</v>
      </c>
      <c r="I70" s="12"/>
      <c r="J70" s="12"/>
      <c r="K70" s="12"/>
      <c r="L70" s="12"/>
      <c r="M70" s="12"/>
      <c r="N70" s="14" t="s">
        <v>124</v>
      </c>
    </row>
    <row r="71" spans="2:14" x14ac:dyDescent="0.25">
      <c r="B71" s="9">
        <v>62</v>
      </c>
      <c r="C71" s="10" t="s">
        <v>22</v>
      </c>
      <c r="D71" s="11"/>
      <c r="E71" s="11"/>
      <c r="F71" s="11"/>
      <c r="G71" s="12" t="s">
        <v>224</v>
      </c>
      <c r="H71" s="13" t="s">
        <v>225</v>
      </c>
      <c r="I71" s="12"/>
      <c r="J71" s="12"/>
      <c r="K71" s="12"/>
      <c r="L71" s="12"/>
      <c r="M71" s="12"/>
      <c r="N71" s="14" t="s">
        <v>181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226</v>
      </c>
      <c r="H72" s="13" t="s">
        <v>227</v>
      </c>
      <c r="I72" s="12"/>
      <c r="J72" s="12"/>
      <c r="K72" s="12"/>
      <c r="L72" s="12"/>
      <c r="M72" s="12"/>
      <c r="N72" s="14" t="s">
        <v>228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229</v>
      </c>
      <c r="H73" s="13" t="s">
        <v>230</v>
      </c>
      <c r="I73" s="12"/>
      <c r="J73" s="12"/>
      <c r="K73" s="12"/>
      <c r="L73" s="12"/>
      <c r="M73" s="12"/>
      <c r="N73" s="14" t="s">
        <v>231</v>
      </c>
    </row>
    <row r="74" spans="2:14" x14ac:dyDescent="0.25">
      <c r="B74" s="9">
        <v>65</v>
      </c>
      <c r="C74" s="10" t="s">
        <v>22</v>
      </c>
      <c r="D74" s="11"/>
      <c r="E74" s="11"/>
      <c r="F74" s="11"/>
      <c r="G74" s="12" t="s">
        <v>232</v>
      </c>
      <c r="H74" s="13" t="s">
        <v>233</v>
      </c>
      <c r="I74" s="12"/>
      <c r="J74" s="12"/>
      <c r="K74" s="12"/>
      <c r="L74" s="12"/>
      <c r="M74" s="12"/>
      <c r="N74" s="14" t="s">
        <v>234</v>
      </c>
    </row>
    <row r="75" spans="2:14" x14ac:dyDescent="0.25">
      <c r="B75" s="9">
        <v>66</v>
      </c>
      <c r="C75" s="15" t="s">
        <v>29</v>
      </c>
      <c r="D75" s="11"/>
      <c r="E75" s="12" t="s">
        <v>235</v>
      </c>
      <c r="F75" s="12" t="s">
        <v>236</v>
      </c>
      <c r="G75" s="12" t="s">
        <v>237</v>
      </c>
      <c r="H75" s="13" t="s">
        <v>238</v>
      </c>
      <c r="I75" s="12"/>
      <c r="J75" s="12"/>
      <c r="K75" s="12"/>
      <c r="L75" s="12"/>
      <c r="M75" s="12"/>
      <c r="N75" s="14" t="s">
        <v>239</v>
      </c>
    </row>
    <row r="76" spans="2:14" x14ac:dyDescent="0.25">
      <c r="B76" s="9">
        <v>67</v>
      </c>
      <c r="C76" s="15" t="s">
        <v>29</v>
      </c>
      <c r="D76" s="11" t="s">
        <v>240</v>
      </c>
      <c r="E76" s="11" t="s">
        <v>241</v>
      </c>
      <c r="F76" s="11" t="s">
        <v>242</v>
      </c>
      <c r="G76" s="12" t="s">
        <v>206</v>
      </c>
      <c r="H76" s="13" t="s">
        <v>243</v>
      </c>
      <c r="I76" s="12"/>
      <c r="J76" s="12"/>
      <c r="K76" s="12"/>
      <c r="L76" s="12"/>
      <c r="M76" s="12"/>
      <c r="N76" s="14" t="s">
        <v>244</v>
      </c>
    </row>
    <row r="77" spans="2:14" x14ac:dyDescent="0.25">
      <c r="B77" s="9">
        <v>68</v>
      </c>
      <c r="C77" s="15" t="s">
        <v>29</v>
      </c>
      <c r="D77" s="11"/>
      <c r="E77" s="11"/>
      <c r="F77" s="11"/>
      <c r="G77" s="12" t="s">
        <v>245</v>
      </c>
      <c r="H77" s="13" t="s">
        <v>246</v>
      </c>
      <c r="I77" s="12"/>
      <c r="J77" s="12"/>
      <c r="K77" s="12"/>
      <c r="L77" s="12"/>
      <c r="M77" s="12"/>
      <c r="N77" s="14" t="s">
        <v>247</v>
      </c>
    </row>
    <row r="78" spans="2:14" x14ac:dyDescent="0.25">
      <c r="B78" s="9">
        <v>69</v>
      </c>
      <c r="C78" s="15" t="s">
        <v>29</v>
      </c>
      <c r="D78" s="11"/>
      <c r="E78" s="11" t="s">
        <v>248</v>
      </c>
      <c r="F78" s="12" t="s">
        <v>249</v>
      </c>
      <c r="G78" s="12" t="s">
        <v>250</v>
      </c>
      <c r="H78" s="13" t="s">
        <v>251</v>
      </c>
      <c r="I78" s="12"/>
      <c r="J78" s="12"/>
      <c r="K78" s="12"/>
      <c r="L78" s="12"/>
      <c r="M78" s="12"/>
      <c r="N78" s="14" t="s">
        <v>252</v>
      </c>
    </row>
    <row r="79" spans="2:14" x14ac:dyDescent="0.25">
      <c r="B79" s="9">
        <v>70</v>
      </c>
      <c r="C79" s="15" t="s">
        <v>29</v>
      </c>
      <c r="D79" s="11"/>
      <c r="E79" s="11"/>
      <c r="F79" s="12" t="s">
        <v>253</v>
      </c>
      <c r="G79" s="12" t="s">
        <v>254</v>
      </c>
      <c r="H79" s="13" t="s">
        <v>255</v>
      </c>
      <c r="I79" s="12"/>
      <c r="J79" s="12"/>
      <c r="K79" s="12"/>
      <c r="L79" s="12"/>
      <c r="M79" s="12"/>
      <c r="N79" s="14" t="s">
        <v>256</v>
      </c>
    </row>
    <row r="80" spans="2:14" x14ac:dyDescent="0.25">
      <c r="B80" s="9">
        <v>71</v>
      </c>
      <c r="C80" s="15" t="s">
        <v>29</v>
      </c>
      <c r="D80" s="11"/>
      <c r="E80" s="11"/>
      <c r="F80" s="12" t="s">
        <v>257</v>
      </c>
      <c r="G80" s="12" t="s">
        <v>258</v>
      </c>
      <c r="H80" s="13" t="s">
        <v>259</v>
      </c>
      <c r="I80" s="12"/>
      <c r="J80" s="12"/>
      <c r="K80" s="12"/>
      <c r="L80" s="12"/>
      <c r="M80" s="12"/>
      <c r="N80" s="14" t="s">
        <v>260</v>
      </c>
    </row>
    <row r="81" spans="2:14" x14ac:dyDescent="0.25">
      <c r="B81" s="9">
        <v>72</v>
      </c>
      <c r="C81" s="15" t="s">
        <v>29</v>
      </c>
      <c r="D81" s="11"/>
      <c r="E81" s="11"/>
      <c r="F81" s="12" t="s">
        <v>261</v>
      </c>
      <c r="G81" s="12" t="s">
        <v>262</v>
      </c>
      <c r="H81" s="13" t="s">
        <v>263</v>
      </c>
      <c r="I81" s="12"/>
      <c r="J81" s="12"/>
      <c r="K81" s="12"/>
      <c r="L81" s="12"/>
      <c r="M81" s="12"/>
      <c r="N81" s="14" t="s">
        <v>264</v>
      </c>
    </row>
    <row r="82" spans="2:14" x14ac:dyDescent="0.25">
      <c r="B82" s="9">
        <v>73</v>
      </c>
      <c r="C82" s="15" t="s">
        <v>29</v>
      </c>
      <c r="D82" s="11"/>
      <c r="E82" s="11"/>
      <c r="F82" s="12" t="s">
        <v>265</v>
      </c>
      <c r="G82" s="12" t="s">
        <v>266</v>
      </c>
      <c r="H82" s="13" t="s">
        <v>267</v>
      </c>
      <c r="I82" s="12"/>
      <c r="J82" s="12"/>
      <c r="K82" s="12"/>
      <c r="L82" s="12"/>
      <c r="M82" s="12"/>
      <c r="N82" s="14" t="s">
        <v>268</v>
      </c>
    </row>
    <row r="83" spans="2:14" x14ac:dyDescent="0.25">
      <c r="B83" s="9">
        <v>74</v>
      </c>
      <c r="C83" s="15" t="s">
        <v>29</v>
      </c>
      <c r="D83" s="11" t="s">
        <v>269</v>
      </c>
      <c r="E83" s="11" t="s">
        <v>270</v>
      </c>
      <c r="F83" s="12" t="s">
        <v>206</v>
      </c>
      <c r="G83" s="12" t="s">
        <v>11</v>
      </c>
      <c r="H83" s="13" t="s">
        <v>271</v>
      </c>
      <c r="I83" s="12"/>
      <c r="J83" s="12"/>
      <c r="K83" s="12"/>
      <c r="L83" s="12"/>
      <c r="M83" s="12"/>
      <c r="N83" s="14" t="s">
        <v>272</v>
      </c>
    </row>
    <row r="84" spans="2:14" x14ac:dyDescent="0.25">
      <c r="B84" s="9">
        <v>75</v>
      </c>
      <c r="C84" s="15" t="s">
        <v>29</v>
      </c>
      <c r="D84" s="11"/>
      <c r="E84" s="11"/>
      <c r="F84" s="12" t="s">
        <v>209</v>
      </c>
      <c r="G84" s="12" t="s">
        <v>11</v>
      </c>
      <c r="H84" s="13" t="s">
        <v>273</v>
      </c>
      <c r="I84" s="12"/>
      <c r="J84" s="12"/>
      <c r="K84" s="12"/>
      <c r="L84" s="12"/>
      <c r="M84" s="12"/>
      <c r="N84" s="14" t="s">
        <v>272</v>
      </c>
    </row>
    <row r="85" spans="2:14" x14ac:dyDescent="0.25">
      <c r="B85" s="9">
        <v>76</v>
      </c>
      <c r="C85" s="15" t="s">
        <v>29</v>
      </c>
      <c r="D85" s="11"/>
      <c r="E85" s="11" t="s">
        <v>274</v>
      </c>
      <c r="F85" s="11" t="s">
        <v>275</v>
      </c>
      <c r="G85" s="12" t="s">
        <v>276</v>
      </c>
      <c r="H85" s="13" t="s">
        <v>277</v>
      </c>
      <c r="I85" s="12"/>
      <c r="J85" s="12"/>
      <c r="K85" s="12"/>
      <c r="L85" s="12"/>
      <c r="M85" s="12"/>
      <c r="N85" s="14" t="s">
        <v>278</v>
      </c>
    </row>
    <row r="86" spans="2:14" x14ac:dyDescent="0.25">
      <c r="B86" s="9">
        <v>77</v>
      </c>
      <c r="C86" s="10" t="s">
        <v>22</v>
      </c>
      <c r="D86" s="11"/>
      <c r="E86" s="11"/>
      <c r="F86" s="11"/>
      <c r="G86" s="12" t="s">
        <v>279</v>
      </c>
      <c r="H86" s="13" t="s">
        <v>280</v>
      </c>
      <c r="I86" s="12"/>
      <c r="J86" s="12"/>
      <c r="K86" s="12"/>
      <c r="L86" s="12"/>
      <c r="M86" s="12"/>
      <c r="N86" s="14" t="s">
        <v>278</v>
      </c>
    </row>
    <row r="87" spans="2:14" x14ac:dyDescent="0.25">
      <c r="B87" s="9">
        <v>78</v>
      </c>
      <c r="C87" s="15" t="s">
        <v>29</v>
      </c>
      <c r="D87" s="11"/>
      <c r="E87" s="11"/>
      <c r="F87" s="11" t="s">
        <v>281</v>
      </c>
      <c r="G87" s="12" t="s">
        <v>276</v>
      </c>
      <c r="H87" s="13" t="s">
        <v>282</v>
      </c>
      <c r="I87" s="12"/>
      <c r="J87" s="12"/>
      <c r="K87" s="12"/>
      <c r="L87" s="12"/>
      <c r="M87" s="12"/>
      <c r="N87" s="14" t="s">
        <v>283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284</v>
      </c>
      <c r="H88" s="13" t="s">
        <v>285</v>
      </c>
      <c r="I88" s="12"/>
      <c r="J88" s="12"/>
      <c r="K88" s="12"/>
      <c r="L88" s="12"/>
      <c r="M88" s="12"/>
      <c r="N88" s="14" t="s">
        <v>283</v>
      </c>
    </row>
    <row r="89" spans="2:14" x14ac:dyDescent="0.25">
      <c r="B89" s="9">
        <v>80</v>
      </c>
      <c r="C89" s="15" t="s">
        <v>29</v>
      </c>
      <c r="D89" s="11"/>
      <c r="E89" s="11"/>
      <c r="F89" s="11" t="s">
        <v>286</v>
      </c>
      <c r="G89" s="12" t="s">
        <v>276</v>
      </c>
      <c r="H89" s="13" t="s">
        <v>287</v>
      </c>
      <c r="I89" s="12"/>
      <c r="J89" s="12"/>
      <c r="K89" s="12"/>
      <c r="L89" s="12"/>
      <c r="M89" s="12"/>
      <c r="N89" s="14" t="s">
        <v>288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289</v>
      </c>
      <c r="H90" s="13" t="s">
        <v>290</v>
      </c>
      <c r="I90" s="12"/>
      <c r="J90" s="12"/>
      <c r="K90" s="12"/>
      <c r="L90" s="12"/>
      <c r="M90" s="12"/>
      <c r="N90" s="14" t="s">
        <v>288</v>
      </c>
    </row>
    <row r="91" spans="2:14" x14ac:dyDescent="0.25">
      <c r="B91" s="9">
        <v>82</v>
      </c>
      <c r="C91" s="15" t="s">
        <v>29</v>
      </c>
      <c r="D91" s="11"/>
      <c r="E91" s="11" t="s">
        <v>291</v>
      </c>
      <c r="F91" s="12" t="s">
        <v>292</v>
      </c>
      <c r="G91" s="12" t="s">
        <v>237</v>
      </c>
      <c r="H91" s="13" t="s">
        <v>293</v>
      </c>
      <c r="I91" s="12"/>
      <c r="J91" s="12"/>
      <c r="K91" s="12"/>
      <c r="L91" s="12"/>
      <c r="M91" s="12"/>
      <c r="N91" s="14" t="s">
        <v>294</v>
      </c>
    </row>
    <row r="92" spans="2:14" x14ac:dyDescent="0.25">
      <c r="B92" s="9">
        <v>83</v>
      </c>
      <c r="C92" s="15" t="s">
        <v>29</v>
      </c>
      <c r="D92" s="11"/>
      <c r="E92" s="11"/>
      <c r="F92" s="12" t="s">
        <v>295</v>
      </c>
      <c r="G92" s="12" t="s">
        <v>296</v>
      </c>
      <c r="H92" s="13" t="s">
        <v>297</v>
      </c>
      <c r="I92" s="12"/>
      <c r="J92" s="12"/>
      <c r="K92" s="12"/>
      <c r="L92" s="12"/>
      <c r="M92" s="12"/>
      <c r="N92" s="14" t="s">
        <v>298</v>
      </c>
    </row>
    <row r="93" spans="2:14" x14ac:dyDescent="0.25">
      <c r="B93" s="9">
        <v>84</v>
      </c>
      <c r="C93" s="15" t="s">
        <v>29</v>
      </c>
      <c r="D93" s="11"/>
      <c r="E93" s="11"/>
      <c r="F93" s="12" t="s">
        <v>299</v>
      </c>
      <c r="G93" s="12" t="s">
        <v>266</v>
      </c>
      <c r="H93" s="13" t="s">
        <v>300</v>
      </c>
      <c r="I93" s="12"/>
      <c r="J93" s="12"/>
      <c r="K93" s="12"/>
      <c r="L93" s="12"/>
      <c r="M93" s="12"/>
      <c r="N93" s="14" t="s">
        <v>301</v>
      </c>
    </row>
    <row r="94" spans="2:14" x14ac:dyDescent="0.25">
      <c r="B94" s="9">
        <v>85</v>
      </c>
      <c r="C94" s="15" t="s">
        <v>29</v>
      </c>
      <c r="D94" s="11"/>
      <c r="E94" s="11" t="s">
        <v>302</v>
      </c>
      <c r="F94" s="12" t="s">
        <v>303</v>
      </c>
      <c r="G94" s="12" t="s">
        <v>11</v>
      </c>
      <c r="H94" s="13" t="s">
        <v>304</v>
      </c>
      <c r="I94" s="12"/>
      <c r="J94" s="12"/>
      <c r="K94" s="12"/>
      <c r="L94" s="12"/>
      <c r="M94" s="12"/>
      <c r="N94" s="14" t="s">
        <v>298</v>
      </c>
    </row>
    <row r="95" spans="2:14" x14ac:dyDescent="0.25">
      <c r="B95" s="9">
        <v>86</v>
      </c>
      <c r="C95" s="16" t="s">
        <v>68</v>
      </c>
      <c r="D95" s="11"/>
      <c r="E95" s="11"/>
      <c r="F95" s="12" t="s">
        <v>305</v>
      </c>
      <c r="G95" s="12" t="s">
        <v>306</v>
      </c>
      <c r="H95" s="13" t="s">
        <v>307</v>
      </c>
      <c r="I95" s="12"/>
      <c r="J95" s="12"/>
      <c r="K95" s="12"/>
      <c r="L95" s="12"/>
      <c r="M95" s="12"/>
      <c r="N95" s="14" t="s">
        <v>298</v>
      </c>
    </row>
    <row r="96" spans="2:14" x14ac:dyDescent="0.25">
      <c r="B96" s="9">
        <v>87</v>
      </c>
      <c r="C96" s="15" t="s">
        <v>29</v>
      </c>
      <c r="D96" s="11"/>
      <c r="E96" s="11"/>
      <c r="F96" s="12" t="s">
        <v>308</v>
      </c>
      <c r="G96" s="12" t="s">
        <v>309</v>
      </c>
      <c r="H96" s="13" t="s">
        <v>310</v>
      </c>
      <c r="I96" s="12"/>
      <c r="J96" s="12"/>
      <c r="K96" s="12"/>
      <c r="L96" s="12"/>
      <c r="M96" s="12"/>
      <c r="N96" s="14" t="s">
        <v>298</v>
      </c>
    </row>
    <row r="97" spans="2:14" x14ac:dyDescent="0.25">
      <c r="B97" s="9">
        <v>88</v>
      </c>
      <c r="C97" s="15" t="s">
        <v>29</v>
      </c>
      <c r="D97" s="11"/>
      <c r="E97" s="11"/>
      <c r="F97" s="11" t="s">
        <v>236</v>
      </c>
      <c r="G97" s="12" t="s">
        <v>309</v>
      </c>
      <c r="H97" s="13" t="s">
        <v>311</v>
      </c>
      <c r="I97" s="12"/>
      <c r="J97" s="12"/>
      <c r="K97" s="12"/>
      <c r="L97" s="12"/>
      <c r="M97" s="12"/>
      <c r="N97" s="14" t="s">
        <v>298</v>
      </c>
    </row>
    <row r="98" spans="2:14" x14ac:dyDescent="0.25">
      <c r="B98" s="9">
        <v>89</v>
      </c>
      <c r="C98" s="15" t="s">
        <v>29</v>
      </c>
      <c r="D98" s="11"/>
      <c r="E98" s="12" t="s">
        <v>312</v>
      </c>
      <c r="F98" s="11"/>
      <c r="G98" s="12" t="s">
        <v>11</v>
      </c>
      <c r="H98" s="13" t="s">
        <v>313</v>
      </c>
      <c r="I98" s="12"/>
      <c r="J98" s="12"/>
      <c r="K98" s="12"/>
      <c r="L98" s="12"/>
      <c r="M98" s="12"/>
      <c r="N98" s="14" t="s">
        <v>314</v>
      </c>
    </row>
    <row r="99" spans="2:14" x14ac:dyDescent="0.25">
      <c r="B99" s="9">
        <v>90</v>
      </c>
      <c r="C99" s="15" t="s">
        <v>29</v>
      </c>
      <c r="D99" s="11" t="s">
        <v>315</v>
      </c>
      <c r="E99" s="11" t="s">
        <v>316</v>
      </c>
      <c r="F99" s="12" t="s">
        <v>206</v>
      </c>
      <c r="G99" s="12" t="s">
        <v>11</v>
      </c>
      <c r="H99" s="13" t="s">
        <v>317</v>
      </c>
      <c r="I99" s="12"/>
      <c r="J99" s="12"/>
      <c r="K99" s="12"/>
      <c r="L99" s="12"/>
      <c r="M99" s="12"/>
      <c r="N99" s="14" t="s">
        <v>318</v>
      </c>
    </row>
    <row r="100" spans="2:14" x14ac:dyDescent="0.25">
      <c r="B100" s="9">
        <v>91</v>
      </c>
      <c r="C100" s="15" t="s">
        <v>29</v>
      </c>
      <c r="D100" s="11"/>
      <c r="E100" s="11"/>
      <c r="F100" s="12" t="s">
        <v>209</v>
      </c>
      <c r="G100" s="12" t="s">
        <v>11</v>
      </c>
      <c r="H100" s="13" t="s">
        <v>319</v>
      </c>
      <c r="I100" s="12"/>
      <c r="J100" s="12"/>
      <c r="K100" s="12"/>
      <c r="L100" s="12"/>
      <c r="M100" s="12"/>
      <c r="N100" s="14" t="s">
        <v>318</v>
      </c>
    </row>
    <row r="101" spans="2:14" x14ac:dyDescent="0.25">
      <c r="B101" s="9">
        <v>92</v>
      </c>
      <c r="C101" s="15" t="s">
        <v>29</v>
      </c>
      <c r="D101" s="11"/>
      <c r="E101" s="11" t="s">
        <v>320</v>
      </c>
      <c r="F101" s="12" t="s">
        <v>321</v>
      </c>
      <c r="G101" s="12" t="s">
        <v>11</v>
      </c>
      <c r="H101" s="13" t="s">
        <v>322</v>
      </c>
      <c r="I101" s="12"/>
      <c r="J101" s="12"/>
      <c r="K101" s="12"/>
      <c r="L101" s="12"/>
      <c r="M101" s="12"/>
      <c r="N101" s="14" t="s">
        <v>323</v>
      </c>
    </row>
    <row r="102" spans="2:14" x14ac:dyDescent="0.25">
      <c r="B102" s="9">
        <v>93</v>
      </c>
      <c r="C102" s="15" t="s">
        <v>29</v>
      </c>
      <c r="D102" s="11"/>
      <c r="E102" s="11"/>
      <c r="F102" s="12" t="s">
        <v>324</v>
      </c>
      <c r="G102" s="12" t="s">
        <v>11</v>
      </c>
      <c r="H102" s="13" t="s">
        <v>325</v>
      </c>
      <c r="I102" s="12"/>
      <c r="J102" s="12"/>
      <c r="K102" s="12"/>
      <c r="L102" s="12"/>
      <c r="M102" s="12"/>
      <c r="N102" s="14" t="s">
        <v>326</v>
      </c>
    </row>
    <row r="103" spans="2:14" x14ac:dyDescent="0.25">
      <c r="B103" s="9">
        <v>94</v>
      </c>
      <c r="C103" s="15" t="s">
        <v>29</v>
      </c>
      <c r="D103" s="11"/>
      <c r="E103" s="11" t="s">
        <v>327</v>
      </c>
      <c r="F103" s="11" t="s">
        <v>328</v>
      </c>
      <c r="G103" s="12" t="s">
        <v>329</v>
      </c>
      <c r="H103" s="13" t="s">
        <v>330</v>
      </c>
      <c r="I103" s="12"/>
      <c r="J103" s="12"/>
      <c r="K103" s="12"/>
      <c r="L103" s="12"/>
      <c r="M103" s="12"/>
      <c r="N103" s="14" t="s">
        <v>331</v>
      </c>
    </row>
    <row r="104" spans="2:14" x14ac:dyDescent="0.25">
      <c r="B104" s="9">
        <v>95</v>
      </c>
      <c r="C104" s="15" t="s">
        <v>29</v>
      </c>
      <c r="D104" s="11"/>
      <c r="E104" s="11"/>
      <c r="F104" s="11"/>
      <c r="G104" s="12" t="s">
        <v>332</v>
      </c>
      <c r="H104" s="13" t="s">
        <v>333</v>
      </c>
      <c r="I104" s="12"/>
      <c r="J104" s="12"/>
      <c r="K104" s="12"/>
      <c r="L104" s="12"/>
      <c r="M104" s="12"/>
      <c r="N104" s="14" t="s">
        <v>334</v>
      </c>
    </row>
    <row r="105" spans="2:14" x14ac:dyDescent="0.25">
      <c r="B105" s="9">
        <v>96</v>
      </c>
      <c r="C105" s="15" t="s">
        <v>29</v>
      </c>
      <c r="D105" s="11"/>
      <c r="E105" s="11"/>
      <c r="F105" s="11"/>
      <c r="G105" s="12" t="s">
        <v>335</v>
      </c>
      <c r="H105" s="13" t="s">
        <v>336</v>
      </c>
      <c r="I105" s="12"/>
      <c r="J105" s="12"/>
      <c r="K105" s="12"/>
      <c r="L105" s="12"/>
      <c r="M105" s="12"/>
      <c r="N105" s="14" t="s">
        <v>337</v>
      </c>
    </row>
    <row r="106" spans="2:14" x14ac:dyDescent="0.25">
      <c r="B106" s="9">
        <v>97</v>
      </c>
      <c r="C106" s="15" t="s">
        <v>29</v>
      </c>
      <c r="D106" s="11"/>
      <c r="E106" s="11"/>
      <c r="F106" s="11" t="s">
        <v>338</v>
      </c>
      <c r="G106" s="12" t="s">
        <v>339</v>
      </c>
      <c r="H106" s="13" t="s">
        <v>340</v>
      </c>
      <c r="I106" s="12"/>
      <c r="J106" s="12"/>
      <c r="K106" s="12"/>
      <c r="L106" s="12"/>
      <c r="M106" s="12"/>
      <c r="N106" s="14" t="s">
        <v>341</v>
      </c>
    </row>
    <row r="107" spans="2:14" x14ac:dyDescent="0.25">
      <c r="B107" s="9">
        <v>98</v>
      </c>
      <c r="C107" s="15" t="s">
        <v>29</v>
      </c>
      <c r="D107" s="11"/>
      <c r="E107" s="11"/>
      <c r="F107" s="11"/>
      <c r="G107" s="12" t="s">
        <v>342</v>
      </c>
      <c r="H107" s="13" t="s">
        <v>343</v>
      </c>
      <c r="I107" s="12"/>
      <c r="J107" s="12"/>
      <c r="K107" s="12"/>
      <c r="L107" s="12"/>
      <c r="M107" s="12"/>
      <c r="N107" s="14" t="s">
        <v>341</v>
      </c>
    </row>
    <row r="108" spans="2:14" x14ac:dyDescent="0.25">
      <c r="B108" s="9">
        <v>99</v>
      </c>
      <c r="C108" s="15" t="s">
        <v>29</v>
      </c>
      <c r="D108" s="11"/>
      <c r="E108" s="11"/>
      <c r="F108" s="11"/>
      <c r="G108" s="12" t="s">
        <v>344</v>
      </c>
      <c r="H108" s="13" t="s">
        <v>345</v>
      </c>
      <c r="I108" s="12"/>
      <c r="J108" s="12"/>
      <c r="K108" s="12"/>
      <c r="L108" s="12"/>
      <c r="M108" s="12"/>
      <c r="N108" s="14" t="s">
        <v>341</v>
      </c>
    </row>
    <row r="109" spans="2:14" x14ac:dyDescent="0.25">
      <c r="B109" s="9">
        <v>100</v>
      </c>
      <c r="C109" s="16" t="s">
        <v>68</v>
      </c>
      <c r="D109" s="11"/>
      <c r="E109" s="12" t="s">
        <v>346</v>
      </c>
      <c r="F109" s="12" t="s">
        <v>347</v>
      </c>
      <c r="G109" s="12" t="s">
        <v>348</v>
      </c>
      <c r="H109" s="13" t="s">
        <v>349</v>
      </c>
      <c r="I109" s="12"/>
      <c r="J109" s="12"/>
      <c r="K109" s="12"/>
      <c r="L109" s="12"/>
      <c r="M109" s="12"/>
      <c r="N109" s="14" t="s">
        <v>350</v>
      </c>
    </row>
    <row r="110" spans="2:14" x14ac:dyDescent="0.25">
      <c r="B110" s="9">
        <v>101</v>
      </c>
      <c r="C110" s="15" t="s">
        <v>29</v>
      </c>
      <c r="D110" s="11"/>
      <c r="E110" s="12" t="s">
        <v>351</v>
      </c>
      <c r="F110" s="12" t="s">
        <v>236</v>
      </c>
      <c r="G110" s="12" t="s">
        <v>11</v>
      </c>
      <c r="H110" s="13" t="s">
        <v>352</v>
      </c>
      <c r="I110" s="12"/>
      <c r="J110" s="12"/>
      <c r="K110" s="12"/>
      <c r="L110" s="12"/>
      <c r="M110" s="12"/>
      <c r="N110" s="14" t="s">
        <v>353</v>
      </c>
    </row>
    <row r="111" spans="2:14" x14ac:dyDescent="0.25">
      <c r="B111" s="9">
        <v>102</v>
      </c>
      <c r="C111" s="15" t="s">
        <v>29</v>
      </c>
      <c r="D111" s="11" t="s">
        <v>354</v>
      </c>
      <c r="E111" s="11" t="s">
        <v>355</v>
      </c>
      <c r="F111" s="12" t="s">
        <v>206</v>
      </c>
      <c r="G111" s="12" t="s">
        <v>11</v>
      </c>
      <c r="H111" s="13" t="s">
        <v>356</v>
      </c>
      <c r="I111" s="12"/>
      <c r="J111" s="12"/>
      <c r="K111" s="12"/>
      <c r="L111" s="12"/>
      <c r="M111" s="12"/>
      <c r="N111" s="14" t="s">
        <v>357</v>
      </c>
    </row>
    <row r="112" spans="2:14" x14ac:dyDescent="0.25">
      <c r="B112" s="9">
        <v>103</v>
      </c>
      <c r="C112" s="15" t="s">
        <v>29</v>
      </c>
      <c r="D112" s="11"/>
      <c r="E112" s="11"/>
      <c r="F112" s="12" t="s">
        <v>209</v>
      </c>
      <c r="G112" s="12" t="s">
        <v>11</v>
      </c>
      <c r="H112" s="13" t="s">
        <v>358</v>
      </c>
      <c r="I112" s="12"/>
      <c r="J112" s="12"/>
      <c r="K112" s="12"/>
      <c r="L112" s="12"/>
      <c r="M112" s="12"/>
      <c r="N112" s="14" t="s">
        <v>357</v>
      </c>
    </row>
    <row r="113" spans="2:14" x14ac:dyDescent="0.25">
      <c r="B113" s="9">
        <v>104</v>
      </c>
      <c r="C113" s="15" t="s">
        <v>29</v>
      </c>
      <c r="D113" s="11"/>
      <c r="E113" s="11" t="s">
        <v>359</v>
      </c>
      <c r="F113" s="12" t="s">
        <v>321</v>
      </c>
      <c r="G113" s="12" t="s">
        <v>11</v>
      </c>
      <c r="H113" s="13" t="s">
        <v>360</v>
      </c>
      <c r="I113" s="12"/>
      <c r="J113" s="12"/>
      <c r="K113" s="12"/>
      <c r="L113" s="12"/>
      <c r="M113" s="12"/>
      <c r="N113" s="14" t="s">
        <v>361</v>
      </c>
    </row>
    <row r="114" spans="2:14" x14ac:dyDescent="0.25">
      <c r="B114" s="9">
        <v>105</v>
      </c>
      <c r="C114" s="15" t="s">
        <v>29</v>
      </c>
      <c r="D114" s="11"/>
      <c r="E114" s="11"/>
      <c r="F114" s="12" t="s">
        <v>324</v>
      </c>
      <c r="G114" s="12" t="s">
        <v>11</v>
      </c>
      <c r="H114" s="13" t="s">
        <v>362</v>
      </c>
      <c r="I114" s="12"/>
      <c r="J114" s="12"/>
      <c r="K114" s="12"/>
      <c r="L114" s="12"/>
      <c r="M114" s="12"/>
      <c r="N114" s="14" t="s">
        <v>363</v>
      </c>
    </row>
    <row r="115" spans="2:14" x14ac:dyDescent="0.25">
      <c r="B115" s="9">
        <v>106</v>
      </c>
      <c r="C115" s="15" t="s">
        <v>29</v>
      </c>
      <c r="D115" s="11"/>
      <c r="E115" s="11" t="s">
        <v>364</v>
      </c>
      <c r="F115" s="12" t="s">
        <v>365</v>
      </c>
      <c r="G115" s="12" t="s">
        <v>366</v>
      </c>
      <c r="H115" s="13" t="s">
        <v>367</v>
      </c>
      <c r="I115" s="12"/>
      <c r="J115" s="12"/>
      <c r="K115" s="12"/>
      <c r="L115" s="12"/>
      <c r="M115" s="12"/>
      <c r="N115" s="14" t="s">
        <v>368</v>
      </c>
    </row>
    <row r="116" spans="2:14" x14ac:dyDescent="0.25">
      <c r="B116" s="9">
        <v>107</v>
      </c>
      <c r="C116" s="10" t="s">
        <v>22</v>
      </c>
      <c r="D116" s="11"/>
      <c r="E116" s="11"/>
      <c r="F116" s="11" t="s">
        <v>369</v>
      </c>
      <c r="G116" s="12" t="s">
        <v>370</v>
      </c>
      <c r="H116" s="13" t="s">
        <v>371</v>
      </c>
      <c r="I116" s="12"/>
      <c r="J116" s="12"/>
      <c r="K116" s="12"/>
      <c r="L116" s="12"/>
      <c r="M116" s="12"/>
      <c r="N116" s="14" t="s">
        <v>372</v>
      </c>
    </row>
    <row r="117" spans="2:14" x14ac:dyDescent="0.25">
      <c r="B117" s="9">
        <v>108</v>
      </c>
      <c r="C117" s="10" t="s">
        <v>22</v>
      </c>
      <c r="D117" s="11"/>
      <c r="E117" s="11"/>
      <c r="F117" s="11"/>
      <c r="G117" s="12" t="s">
        <v>373</v>
      </c>
      <c r="H117" s="13" t="s">
        <v>374</v>
      </c>
      <c r="I117" s="12"/>
      <c r="J117" s="12"/>
      <c r="K117" s="12"/>
      <c r="L117" s="12"/>
      <c r="M117" s="12"/>
      <c r="N117" s="14" t="s">
        <v>375</v>
      </c>
    </row>
    <row r="118" spans="2:14" x14ac:dyDescent="0.25">
      <c r="B118" s="9">
        <v>109</v>
      </c>
      <c r="C118" s="10" t="s">
        <v>22</v>
      </c>
      <c r="D118" s="11"/>
      <c r="E118" s="11"/>
      <c r="F118" s="11"/>
      <c r="G118" s="12" t="s">
        <v>376</v>
      </c>
      <c r="H118" s="13" t="s">
        <v>377</v>
      </c>
      <c r="I118" s="12"/>
      <c r="J118" s="12"/>
      <c r="K118" s="12"/>
      <c r="L118" s="12"/>
      <c r="M118" s="12"/>
      <c r="N118" s="14" t="s">
        <v>378</v>
      </c>
    </row>
    <row r="119" spans="2:14" x14ac:dyDescent="0.25">
      <c r="B119" s="9">
        <v>110</v>
      </c>
      <c r="C119" s="15" t="s">
        <v>29</v>
      </c>
      <c r="D119" s="11"/>
      <c r="E119" s="11"/>
      <c r="F119" s="12" t="s">
        <v>379</v>
      </c>
      <c r="G119" s="12" t="s">
        <v>11</v>
      </c>
      <c r="H119" s="13" t="s">
        <v>380</v>
      </c>
      <c r="I119" s="12"/>
      <c r="J119" s="12"/>
      <c r="K119" s="12"/>
      <c r="L119" s="12"/>
      <c r="M119" s="12"/>
      <c r="N119" s="14" t="s">
        <v>381</v>
      </c>
    </row>
    <row r="120" spans="2:14" x14ac:dyDescent="0.25">
      <c r="B120" s="9">
        <v>111</v>
      </c>
      <c r="C120" s="15" t="s">
        <v>29</v>
      </c>
      <c r="D120" s="11"/>
      <c r="E120" s="11"/>
      <c r="F120" s="12" t="s">
        <v>382</v>
      </c>
      <c r="G120" s="12" t="s">
        <v>11</v>
      </c>
      <c r="H120" s="13" t="s">
        <v>383</v>
      </c>
      <c r="I120" s="12"/>
      <c r="J120" s="12"/>
      <c r="K120" s="12"/>
      <c r="L120" s="12"/>
      <c r="M120" s="12"/>
      <c r="N120" s="14" t="s">
        <v>384</v>
      </c>
    </row>
    <row r="121" spans="2:14" x14ac:dyDescent="0.25">
      <c r="B121" s="9">
        <v>112</v>
      </c>
      <c r="C121" s="15" t="s">
        <v>29</v>
      </c>
      <c r="D121" s="11"/>
      <c r="E121" s="12" t="s">
        <v>385</v>
      </c>
      <c r="F121" s="12" t="s">
        <v>236</v>
      </c>
      <c r="G121" s="12" t="s">
        <v>11</v>
      </c>
      <c r="H121" s="13" t="s">
        <v>386</v>
      </c>
      <c r="I121" s="12"/>
      <c r="J121" s="12"/>
      <c r="K121" s="12"/>
      <c r="L121" s="12"/>
      <c r="M121" s="12"/>
      <c r="N121" s="14" t="s">
        <v>387</v>
      </c>
    </row>
    <row r="122" spans="2:14" x14ac:dyDescent="0.25">
      <c r="B122" s="9">
        <v>113</v>
      </c>
      <c r="C122" s="16" t="s">
        <v>68</v>
      </c>
      <c r="D122" s="11" t="s">
        <v>388</v>
      </c>
      <c r="E122" s="11" t="s">
        <v>389</v>
      </c>
      <c r="F122" s="11" t="s">
        <v>390</v>
      </c>
      <c r="G122" s="12" t="s">
        <v>391</v>
      </c>
      <c r="H122" s="13" t="s">
        <v>392</v>
      </c>
      <c r="I122" s="12"/>
      <c r="J122" s="12"/>
      <c r="K122" s="12"/>
      <c r="L122" s="12"/>
      <c r="M122" s="12"/>
      <c r="N122" s="14" t="s">
        <v>393</v>
      </c>
    </row>
    <row r="123" spans="2:14" x14ac:dyDescent="0.25">
      <c r="B123" s="9">
        <v>114</v>
      </c>
      <c r="C123" s="10" t="s">
        <v>22</v>
      </c>
      <c r="D123" s="11"/>
      <c r="E123" s="11"/>
      <c r="F123" s="11"/>
      <c r="G123" s="12" t="s">
        <v>394</v>
      </c>
      <c r="H123" s="13" t="s">
        <v>395</v>
      </c>
      <c r="I123" s="12"/>
      <c r="J123" s="12"/>
      <c r="K123" s="12"/>
      <c r="L123" s="12"/>
      <c r="M123" s="12"/>
      <c r="N123" s="14" t="s">
        <v>396</v>
      </c>
    </row>
    <row r="124" spans="2:14" x14ac:dyDescent="0.25">
      <c r="B124" s="9">
        <v>115</v>
      </c>
      <c r="C124" s="15" t="s">
        <v>29</v>
      </c>
      <c r="D124" s="11"/>
      <c r="E124" s="11" t="s">
        <v>397</v>
      </c>
      <c r="F124" s="12" t="s">
        <v>398</v>
      </c>
      <c r="G124" s="12" t="s">
        <v>11</v>
      </c>
      <c r="H124" s="13" t="s">
        <v>399</v>
      </c>
      <c r="I124" s="12"/>
      <c r="J124" s="12"/>
      <c r="K124" s="12"/>
      <c r="L124" s="12"/>
      <c r="M124" s="12"/>
      <c r="N124" s="14" t="s">
        <v>400</v>
      </c>
    </row>
    <row r="125" spans="2:14" x14ac:dyDescent="0.25">
      <c r="B125" s="9">
        <v>116</v>
      </c>
      <c r="C125" s="15" t="s">
        <v>29</v>
      </c>
      <c r="D125" s="11"/>
      <c r="E125" s="11"/>
      <c r="F125" s="11" t="s">
        <v>401</v>
      </c>
      <c r="G125" s="12" t="s">
        <v>402</v>
      </c>
      <c r="H125" s="13" t="s">
        <v>403</v>
      </c>
      <c r="I125" s="12"/>
      <c r="J125" s="12"/>
      <c r="K125" s="12"/>
      <c r="L125" s="12"/>
      <c r="M125" s="12"/>
      <c r="N125" s="14" t="s">
        <v>400</v>
      </c>
    </row>
    <row r="126" spans="2:14" x14ac:dyDescent="0.25">
      <c r="B126" s="9">
        <v>117</v>
      </c>
      <c r="C126" s="16" t="s">
        <v>68</v>
      </c>
      <c r="D126" s="11"/>
      <c r="E126" s="11"/>
      <c r="F126" s="11"/>
      <c r="G126" s="12" t="s">
        <v>404</v>
      </c>
      <c r="H126" s="13" t="s">
        <v>405</v>
      </c>
      <c r="I126" s="12"/>
      <c r="J126" s="12"/>
      <c r="K126" s="12"/>
      <c r="L126" s="12"/>
      <c r="M126" s="12"/>
      <c r="N126" s="14" t="s">
        <v>400</v>
      </c>
    </row>
    <row r="127" spans="2:14" x14ac:dyDescent="0.25">
      <c r="B127" s="9">
        <v>118</v>
      </c>
      <c r="C127" s="15" t="s">
        <v>29</v>
      </c>
      <c r="D127" s="11"/>
      <c r="E127" s="11"/>
      <c r="F127" s="11"/>
      <c r="G127" s="12" t="s">
        <v>406</v>
      </c>
      <c r="H127" s="13" t="s">
        <v>407</v>
      </c>
      <c r="I127" s="12"/>
      <c r="J127" s="12"/>
      <c r="K127" s="12"/>
      <c r="L127" s="12"/>
      <c r="M127" s="12"/>
      <c r="N127" s="14" t="s">
        <v>408</v>
      </c>
    </row>
    <row r="128" spans="2:14" x14ac:dyDescent="0.25">
      <c r="B128" s="9">
        <v>119</v>
      </c>
      <c r="C128" s="15" t="s">
        <v>29</v>
      </c>
      <c r="D128" s="11"/>
      <c r="E128" s="11"/>
      <c r="F128" s="11"/>
      <c r="G128" s="12" t="s">
        <v>409</v>
      </c>
      <c r="H128" s="13" t="s">
        <v>410</v>
      </c>
      <c r="I128" s="12"/>
      <c r="J128" s="12"/>
      <c r="K128" s="12"/>
      <c r="L128" s="12"/>
      <c r="M128" s="12"/>
      <c r="N128" s="14" t="s">
        <v>400</v>
      </c>
    </row>
    <row r="129" spans="2:14" x14ac:dyDescent="0.25">
      <c r="B129" s="9">
        <v>120</v>
      </c>
      <c r="C129" s="15" t="s">
        <v>29</v>
      </c>
      <c r="D129" s="11"/>
      <c r="E129" s="11"/>
      <c r="F129" s="11" t="s">
        <v>411</v>
      </c>
      <c r="G129" s="12" t="s">
        <v>412</v>
      </c>
      <c r="H129" s="13" t="s">
        <v>413</v>
      </c>
      <c r="I129" s="12"/>
      <c r="J129" s="12"/>
      <c r="K129" s="12"/>
      <c r="L129" s="12"/>
      <c r="M129" s="12"/>
      <c r="N129" s="14" t="s">
        <v>414</v>
      </c>
    </row>
    <row r="130" spans="2:14" x14ac:dyDescent="0.25">
      <c r="B130" s="9">
        <v>121</v>
      </c>
      <c r="C130" s="15" t="s">
        <v>29</v>
      </c>
      <c r="D130" s="11"/>
      <c r="E130" s="11"/>
      <c r="F130" s="11"/>
      <c r="G130" s="12" t="s">
        <v>415</v>
      </c>
      <c r="H130" s="13" t="s">
        <v>416</v>
      </c>
      <c r="I130" s="12"/>
      <c r="J130" s="12"/>
      <c r="K130" s="12"/>
      <c r="L130" s="12"/>
      <c r="M130" s="12"/>
      <c r="N130" s="14" t="s">
        <v>414</v>
      </c>
    </row>
    <row r="131" spans="2:14" x14ac:dyDescent="0.25">
      <c r="B131" s="9">
        <v>122</v>
      </c>
      <c r="C131" s="15" t="s">
        <v>29</v>
      </c>
      <c r="D131" s="11"/>
      <c r="E131" s="12" t="s">
        <v>417</v>
      </c>
      <c r="F131" s="12" t="s">
        <v>418</v>
      </c>
      <c r="G131" s="12" t="s">
        <v>11</v>
      </c>
      <c r="H131" s="13" t="s">
        <v>419</v>
      </c>
      <c r="I131" s="12"/>
      <c r="J131" s="12"/>
      <c r="K131" s="12"/>
      <c r="L131" s="12"/>
      <c r="M131" s="12"/>
      <c r="N131" s="14" t="s">
        <v>420</v>
      </c>
    </row>
  </sheetData>
  <mergeCells count="65">
    <mergeCell ref="D10:D25"/>
    <mergeCell ref="E10:E11"/>
    <mergeCell ref="F10:F11"/>
    <mergeCell ref="E12:E13"/>
    <mergeCell ref="F12:F13"/>
    <mergeCell ref="E14:E25"/>
    <mergeCell ref="F14:F16"/>
    <mergeCell ref="F17:F19"/>
    <mergeCell ref="F20:F24"/>
    <mergeCell ref="D26:D64"/>
    <mergeCell ref="E26:E30"/>
    <mergeCell ref="F26:F28"/>
    <mergeCell ref="F29:F30"/>
    <mergeCell ref="E31:E34"/>
    <mergeCell ref="F32:F33"/>
    <mergeCell ref="E35:E39"/>
    <mergeCell ref="F35:F37"/>
    <mergeCell ref="F38:F39"/>
    <mergeCell ref="E40:E48"/>
    <mergeCell ref="F40:F43"/>
    <mergeCell ref="F44:F48"/>
    <mergeCell ref="E49:E57"/>
    <mergeCell ref="F49:F51"/>
    <mergeCell ref="F52:F54"/>
    <mergeCell ref="F55:F57"/>
    <mergeCell ref="E58:E60"/>
    <mergeCell ref="F59:F60"/>
    <mergeCell ref="E61:E63"/>
    <mergeCell ref="F61:F63"/>
    <mergeCell ref="D65:D75"/>
    <mergeCell ref="E65:E66"/>
    <mergeCell ref="F65:F66"/>
    <mergeCell ref="E67:E74"/>
    <mergeCell ref="F67:F68"/>
    <mergeCell ref="F69:F74"/>
    <mergeCell ref="D76:D82"/>
    <mergeCell ref="E76:E77"/>
    <mergeCell ref="F76:F77"/>
    <mergeCell ref="E78:E82"/>
    <mergeCell ref="D83:D98"/>
    <mergeCell ref="E83:E84"/>
    <mergeCell ref="E85:E90"/>
    <mergeCell ref="F85:F86"/>
    <mergeCell ref="F87:F88"/>
    <mergeCell ref="F89:F90"/>
    <mergeCell ref="E91:E93"/>
    <mergeCell ref="E94:E97"/>
    <mergeCell ref="F97:F98"/>
    <mergeCell ref="D99:D110"/>
    <mergeCell ref="E99:E100"/>
    <mergeCell ref="E101:E102"/>
    <mergeCell ref="E103:E108"/>
    <mergeCell ref="F103:F105"/>
    <mergeCell ref="F106:F108"/>
    <mergeCell ref="D111:D121"/>
    <mergeCell ref="E111:E112"/>
    <mergeCell ref="E113:E114"/>
    <mergeCell ref="E115:E120"/>
    <mergeCell ref="F116:F118"/>
    <mergeCell ref="D122:D131"/>
    <mergeCell ref="E122:E123"/>
    <mergeCell ref="F122:F123"/>
    <mergeCell ref="E124:E130"/>
    <mergeCell ref="F125:F128"/>
    <mergeCell ref="F129:F130"/>
  </mergeCells>
  <dataValidations count="1">
    <dataValidation type="list" allowBlank="1" showErrorMessage="1" errorTitle="잘못된 값" error="Pass, Fail, N/T, Block 중 하나를 선택하세요." sqref="I10:J131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미니게임_마블슈터 - 1차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2026-05-13T02:24:13Z</dcterms:created>
  <dcterms:modified xsi:type="dcterms:W3CDTF">2026-05-13T02:24:13Z</dcterms:modified>
</cp:coreProperties>
</file>