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이벤트모드 인게임" state="visible" r:id="rId4"/>
  </sheets>
  <calcPr calcId="171027"/>
</workbook>
</file>

<file path=xl/sharedStrings.xml><?xml version="1.0" encoding="utf-8"?>
<sst xmlns="http://schemas.openxmlformats.org/spreadsheetml/2006/main" count="1006" uniqueCount="526">
  <si>
    <t>(C)23이벤트모드 인게임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</si>
  <si>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</si>
  <si>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</si>
  <si>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</si>
  <si>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</si>
  <si>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</si>
  <si>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</si>
  <si>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</si>
  <si>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</si>
  <si>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</si>
  <si>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</si>
  <si>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</si>
  <si>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</si>
  <si>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</si>
  <si>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</si>
  <si>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</si>
  <si>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</si>
  <si>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</si>
  <si>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</si>
  <si>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</si>
  <si>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</si>
  <si>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</si>
  <si>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</si>
  <si>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인게임 진입</t>
  </si>
  <si>
    <t>초기 진입 연출</t>
  </si>
  <si>
    <t>시작 메시지</t>
  </si>
  <si>
    <t>인게임 진입 시, 시작 메시지가 화면에 출력된다.</t>
  </si>
  <si>
    <t>기획서 - 인게임 플로우</t>
  </si>
  <si>
    <t>열차 출발 연출</t>
  </si>
  <si>
    <t>시작 메시지 출력 후, 열차가 출발하는 연출이 재생된다.</t>
  </si>
  <si>
    <t>Critical</t>
  </si>
  <si>
    <t>초기 UI 표시</t>
  </si>
  <si>
    <t>상단 UI</t>
  </si>
  <si>
    <t>시간 표시 출력</t>
  </si>
  <si>
    <t>인게임 진입 시, 화면 좌측 상단에 라운드 제한시간 표시가 출력된다.</t>
  </si>
  <si>
    <t>기획서 - 인게임 UI</t>
  </si>
  <si>
    <t>스코어 UI 출력</t>
  </si>
  <si>
    <t>인게임 진입 시, 화면 우측 상단에 점수 UI가 출력된다.</t>
  </si>
  <si>
    <t>기획서 - 스코어 UI</t>
  </si>
  <si>
    <t>Normal</t>
  </si>
  <si>
    <t>일시정지 버튼 출력</t>
  </si>
  <si>
    <t>인게임 진입 시, 화면 우측 상단에 일시정지 버튼이 출력된다.</t>
  </si>
  <si>
    <t>하단 UI</t>
  </si>
  <si>
    <t>조이스틱 출력</t>
  </si>
  <si>
    <t>인게임 진입 시, 화면 좌측 하단에 가상 조이스틱이 출력된다.</t>
  </si>
  <si>
    <t>액션 버튼 출력</t>
  </si>
  <si>
    <t>인게임 진입 시, 화면 우측 하단에 공격/대시/특수스킬/궁극기 버튼이 출력된다.</t>
  </si>
  <si>
    <t>인게임 조작</t>
  </si>
  <si>
    <t>이동 조작</t>
  </si>
  <si>
    <t>조이스틱 동작</t>
  </si>
  <si>
    <t>좌측 가상 조이스틱 조작 시, 쿠키가 입력 방향으로 이동된다.</t>
  </si>
  <si>
    <t>인게임 시스템 - 조작 체계</t>
  </si>
  <si>
    <t>전투 조작</t>
  </si>
  <si>
    <t>공격 버튼</t>
  </si>
  <si>
    <t>공격 버튼 터치 시, 쿠키의 기본 공격이 발동된다.</t>
  </si>
  <si>
    <t>스킬 버튼</t>
  </si>
  <si>
    <t>특수스킬 버튼 터치 시, 쿠키의 특수스킬이 사용된다.</t>
  </si>
  <si>
    <t>궁극기 버튼</t>
  </si>
  <si>
    <t>궁극기 버튼 터치 시, 무적 판정과 함께 궁극기 연출이 재생된다.</t>
  </si>
  <si>
    <t>인게임 시스템 - 스킬 시스템</t>
  </si>
  <si>
    <t>대시 버튼</t>
  </si>
  <si>
    <t>대시 버튼 터치 시, 쿠키의 이동기가 발동된다.</t>
  </si>
  <si>
    <t>휴대 상태 조작 제한</t>
  </si>
  <si>
    <t>휴대 상태 진입</t>
  </si>
  <si>
    <t>휴대 아이콘 변경</t>
  </si>
  <si>
    <t>별석탄/약초를 들어올린 시, 공격 버튼은 놓기, 스킬 버튼은 던지기 아이콘으로 변경된다.</t>
  </si>
  <si>
    <t>기획서 - 휴대 상태 UI 변화</t>
  </si>
  <si>
    <t>사용 불가 버튼 표시</t>
  </si>
  <si>
    <t>별석탄/약초 휴대 중 사용 불가능한 버튼은 비활성화된 금지 아이콘으로 표시된다.</t>
  </si>
  <si>
    <t>기획서 - 조작 UI 상태 변화</t>
  </si>
  <si>
    <t>휴대 해제</t>
  </si>
  <si>
    <t>별석탄/약초 휴대 해제 시, 조작 버튼이 평상시 상태로 복귀된다.</t>
  </si>
  <si>
    <t>인게임 UI</t>
  </si>
  <si>
    <t>연료 게이지</t>
  </si>
  <si>
    <t>기본 표시</t>
  </si>
  <si>
    <t>위치 출력</t>
  </si>
  <si>
    <t>연료 게이지가 화면 상단 중앙에 출력된다.</t>
  </si>
  <si>
    <t>기획서 - 연료량 프로그레스 바</t>
  </si>
  <si>
    <t>최대치 표시</t>
  </si>
  <si>
    <t>연료 게이지에는 최대치가 존재하며, 최대치 이상으로는 충전되지 않는다.</t>
  </si>
  <si>
    <t>게이지 변화</t>
  </si>
  <si>
    <t>시간 경과 감소</t>
  </si>
  <si>
    <t>시간이 경과될수록, 연료 게이지가 점차 감소된다.</t>
  </si>
  <si>
    <t>기획서 - 연료 동작</t>
  </si>
  <si>
    <t>50% 색상 변경</t>
  </si>
  <si>
    <t>연료 게이지가 50% 이하로 감소 시, 게이지 색이 노란색으로 변경된다.</t>
  </si>
  <si>
    <t>20% 색상 변경</t>
  </si>
  <si>
    <t>연료 게이지가 20% 이하로 감소 시, 게이지 색이 빨간색으로 변경된다.</t>
  </si>
  <si>
    <t>포스트 이펙트</t>
  </si>
  <si>
    <t>연료 게이지가 20% 이하로 감소 시, 화면에 위험 상태 포스트 이펙트가 적용된다.</t>
  </si>
  <si>
    <t>연료 투입 처리</t>
  </si>
  <si>
    <t>1초간 증가</t>
  </si>
  <si>
    <t>별석탄을 열차에 투입 시, 연료가 1초 동안 채워진다.</t>
  </si>
  <si>
    <t>증가 후 감소</t>
  </si>
  <si>
    <t>별석탄 투입으로 인한 연료 충전 1초 종료 시, 다시 게이지가 감소된다.</t>
  </si>
  <si>
    <t>최대치 초과 처리</t>
  </si>
  <si>
    <t>별석탄 투입 시 연료가 최대치 이상이 될 경우, 1초간 최대치에서 멈춘 뒤 다시 감소된다.</t>
  </si>
  <si>
    <t>연료 0 도달</t>
  </si>
  <si>
    <t>실패 처리</t>
  </si>
  <si>
    <t>연료 게이지가 0에 도달 시, 라운드 실패 처리된다.</t>
  </si>
  <si>
    <t>기획서 - 라운드 실패 조건</t>
  </si>
  <si>
    <t>경험치 게이지</t>
  </si>
  <si>
    <t>경험치 게이지가 연료 게이지 바로 아래 위치에 출력된다.</t>
  </si>
  <si>
    <t>기획서 - 경험치 게이지</t>
  </si>
  <si>
    <t>젤리빈 획득 시 충전</t>
  </si>
  <si>
    <t>일반 몬스터 처치 후 드롭된 젤리빈 획득 시, 경험치 게이지가 충전된다.</t>
  </si>
  <si>
    <t>레벨업 처리</t>
  </si>
  <si>
    <t>레벨업 텍스트 출력</t>
  </si>
  <si>
    <t>경험치 게이지가 만충 시, Level Up! 텍스트가 화면에 출력된다.</t>
  </si>
  <si>
    <t>기획서 - 레벨업 표현</t>
  </si>
  <si>
    <t>게이지 초기화</t>
  </si>
  <si>
    <t>레벨업 발생 시, 경험치 게이지가 0으로 초기화된다.</t>
  </si>
  <si>
    <t>최대 레벨 도달</t>
  </si>
  <si>
    <t>쿠키 레벨이 15에 도달 시, 더 이상 경험치가 증가하지 않는다.</t>
  </si>
  <si>
    <t>기획서 - 최대 레벨 15</t>
  </si>
  <si>
    <t>서브 드래프트 등장</t>
  </si>
  <si>
    <t>레벨업 발생 시, 서브 드래프트 선택지가 등장된다.</t>
  </si>
  <si>
    <t>라운드 진도 UI</t>
  </si>
  <si>
    <t>진입 시 출력</t>
  </si>
  <si>
    <t>라운드 진입 시, 라운드 진도 현황 UI가 출력된다.</t>
  </si>
  <si>
    <t>기획서 - 라운드 진도 현황 UI</t>
  </si>
  <si>
    <t>위치 인디케이터</t>
  </si>
  <si>
    <t>보스 표시</t>
  </si>
  <si>
    <t>보스 몬스터가 화면 바깥에 있을 시, 화면 가장자리에 보스 위치 인디케이터가 표시된다.</t>
  </si>
  <si>
    <t>기획서 - 위치 인디케이터</t>
  </si>
  <si>
    <t>엘리트 표시</t>
  </si>
  <si>
    <t>엘리트 몬스터가 화면 바깥에 있을 시, 화면 가장자리에 엘리트 위치 인디케이터가 표시된다.</t>
  </si>
  <si>
    <t>약초/별석탄 표시</t>
  </si>
  <si>
    <t>약초/별석탄이 화면 바깥에 있을 시, 화면 가장자리에 위치 인디케이터가 표시된다.</t>
  </si>
  <si>
    <t>알림 배너</t>
  </si>
  <si>
    <t>적 등장 알림 출력</t>
  </si>
  <si>
    <t>몬스터 웨이브 등장 시, 화면에 "적들이 몰려옵니다!" 알림 텍스트가 출력된다.</t>
  </si>
  <si>
    <t>기획서 - 화면 알림 텍스트</t>
  </si>
  <si>
    <t>인게임 카메라</t>
  </si>
  <si>
    <t>열차 중심 카메라</t>
  </si>
  <si>
    <t>추적 동작</t>
  </si>
  <si>
    <t>열차가 이동 시, 카메라가 열차를 중심으로 따라간다.</t>
  </si>
  <si>
    <t>기획서 - 인게임 카메라</t>
  </si>
  <si>
    <t>영역 이탈 동작</t>
  </si>
  <si>
    <t>쿠키가 카메라 영역 끝까지 다가갈 시, 카메라가 쿠키 방향으로 이동된다.</t>
  </si>
  <si>
    <t>쿠키 카메라 영역</t>
  </si>
  <si>
    <t>영역 외 이동 제한</t>
  </si>
  <si>
    <t>쿠키는 카메라 영역 밖으로 이동할 수 없다.</t>
  </si>
  <si>
    <t>멀티플레이어 카메라</t>
  </si>
  <si>
    <t>영역별 동작</t>
  </si>
  <si>
    <t>멀티플레이 시, 각 플레이어별 고유 카메라 영역이 설정되어 각자의 영역에 맞게 카메라가 동작된다.</t>
  </si>
  <si>
    <t>기획서 - 인게임 카메라 멀티플레이어</t>
  </si>
  <si>
    <t>난이도 투표 영역에 한 명 이상이 진입 시, 카메라가 살짝 줌아웃되어 투표 영역을 확인하기 쉽게 표시된다.</t>
  </si>
  <si>
    <t>기획서 - 난이도 투표 UI</t>
  </si>
  <si>
    <t>라운드 시스템</t>
  </si>
  <si>
    <t>라운드 진행</t>
  </si>
  <si>
    <t>라운드 시작</t>
  </si>
  <si>
    <t>각 라운드 시작 시, 100초의 제한시간이 적용된다.</t>
  </si>
  <si>
    <t>기획서 - 라운드 구성</t>
  </si>
  <si>
    <t>라운드 클리어 조건</t>
  </si>
  <si>
    <t>열차가 정해진 도착지점에 도달 시, 라운드 클리어 처리된다.</t>
  </si>
  <si>
    <t>기획서 - 라운드 클리어 조건</t>
  </si>
  <si>
    <t>라운드 종료</t>
  </si>
  <si>
    <t>클리어 화면 출력</t>
  </si>
  <si>
    <t>라운드 클리어 시, COMPLETED! 화면이 출력된다.</t>
  </si>
  <si>
    <t>기획서 - 라운드 종료</t>
  </si>
  <si>
    <t>점수 환산 표시</t>
  </si>
  <si>
    <t>라운드 클리어 화면 출력 후, 남은 시간이 점수로 환산되어 표시된다.</t>
  </si>
  <si>
    <t>실패 조건</t>
  </si>
  <si>
    <t>연료 소진 실패</t>
  </si>
  <si>
    <t>라운드 진행 중 열차의 연료가 0에 도달 시, 게임 실패 처리된다.</t>
  </si>
  <si>
    <t>기획서 - 실패 조건</t>
  </si>
  <si>
    <t>전멸 실패</t>
  </si>
  <si>
    <t>모든 플레이어의 쿠키가 동시에 유령 상태가 될 시, 게임 실패 처리된다.</t>
  </si>
  <si>
    <t>난이도 선택</t>
  </si>
  <si>
    <t>1라운드</t>
  </si>
  <si>
    <t>쉬움 고정</t>
  </si>
  <si>
    <t>1라운드 진입 시, 난이도는 쉬움으로 고정되어 진행된다.</t>
  </si>
  <si>
    <t>난이도 투표</t>
  </si>
  <si>
    <t>선택지 표시</t>
  </si>
  <si>
    <t>3개 난이도 출력</t>
  </si>
  <si>
    <t>라운드 클리어 후, 쉬움/보통/어려움 3개의 난이도 선택지가 출력된다.</t>
  </si>
  <si>
    <t>기획서 - 라운드 난이도 투표</t>
  </si>
  <si>
    <t>위험 레벨업 아이콘 출력</t>
  </si>
  <si>
    <t>각 난이도 선택지에는 위험 레벨업 아이콘(+0/+1/+2)이 출력된다.</t>
  </si>
  <si>
    <t>기획서 - 난이도별 변경점</t>
  </si>
  <si>
    <t>변화 요소 아이콘 출력</t>
  </si>
  <si>
    <t>각 난이도 선택지에는 변화 요소를 직관적으로 표시하는 아이콘이 출력된다.</t>
  </si>
  <si>
    <t>카운트다운</t>
  </si>
  <si>
    <t>1인 진입 시 카운트 시작</t>
  </si>
  <si>
    <t>플레이어 1명이라도 난이도 투표 영역에 진입 시, 10초 카운트다운이 시작된다.</t>
  </si>
  <si>
    <t>전원 진입 시 정지</t>
  </si>
  <si>
    <t>모든 플레이어가 투표 영역에 진입 시, 카운트다운이 정지되고 즉시 투표가 시작된다.</t>
  </si>
  <si>
    <t>카운트 종료 처리</t>
  </si>
  <si>
    <t>10초 카운트다운 종료 시, 영역에 진입한 플레이어끼리 투표가 시작된다.</t>
  </si>
  <si>
    <t>미선택 시 처리</t>
  </si>
  <si>
    <t>쉬움 자동 진행</t>
  </si>
  <si>
    <t>제한시간이 종료될 때까지 영역에 진입한 플레이어가 없을 시, 가장 쉬운 난이도로 자동 진행된다.</t>
  </si>
  <si>
    <t>투표 결과</t>
  </si>
  <si>
    <t>무작위 선정</t>
  </si>
  <si>
    <t>투표 종료 시, 3명의 플레이어 중 1인이 무작위로 선정되어 해당 경로로 진행된다.</t>
  </si>
  <si>
    <t>카메라 줌아웃</t>
  </si>
  <si>
    <t>난이도 투표 진행 중, 카메라가 줌아웃되어 투표 영역을 확인하기 쉽게 표시된다.</t>
  </si>
  <si>
    <t>난이도별 효과</t>
  </si>
  <si>
    <t>쉬움</t>
  </si>
  <si>
    <t>쉬움 난이도 선택 시, 한 웨이브당 10~12마리의 몬스터가 등장된다.</t>
  </si>
  <si>
    <t>보통</t>
  </si>
  <si>
    <t>규칙 추가</t>
  </si>
  <si>
    <t>보통 난이도 선택 시, 회오리/사슬 등의 규약이 추가되어 난이도가 상승된다.</t>
  </si>
  <si>
    <t>기획서 - 난이도별 이벤트 추가</t>
  </si>
  <si>
    <t>기믹 추가</t>
  </si>
  <si>
    <t>보통 난이도 선택 시, 엔진으로 향하는 길목에 문 오브젝트가 배치된다.</t>
  </si>
  <si>
    <t>기획서 - 기믹 추가</t>
  </si>
  <si>
    <t>보통 난이도 선택 시, 한 웨이브당 16~18마리의 몬스터가 등장된다.</t>
  </si>
  <si>
    <t>어려움</t>
  </si>
  <si>
    <t>어려움 난이도 선택 시, 강화된 규약이 추가되어 난이도가 더욱 상승된다.</t>
  </si>
  <si>
    <t>어려움 난이도 선택 시, 추가 기믹과 함께 한 웨이브당 22~25마리의 몬스터가 등장된다.</t>
  </si>
  <si>
    <t>몬스터</t>
  </si>
  <si>
    <t>일반 몬스터</t>
  </si>
  <si>
    <t>스폰</t>
  </si>
  <si>
    <t>라운드 진행 중 일정 시간마다 일반 몬스터가 스폰된다.</t>
  </si>
  <si>
    <t>기획서 - 등장 몬스터</t>
  </si>
  <si>
    <t>처치 시 젤리빈 드롭</t>
  </si>
  <si>
    <t>일반 몬스터 처치 시, 처치 지점에 젤리빈이 드롭된다.</t>
  </si>
  <si>
    <t>엘리트 몬스터</t>
  </si>
  <si>
    <t>라운드 진행 중 엘리트 버프를 가진 엘리트 몬스터가 스폰된다.</t>
  </si>
  <si>
    <t>처치 시 특수 보상 드롭</t>
  </si>
  <si>
    <t>엘리트 몬스터 처치 시, 보상 상자 또는 달빛 포션이 드롭된다.</t>
  </si>
  <si>
    <t>보스 몬스터</t>
  </si>
  <si>
    <t>3라운드 등장</t>
  </si>
  <si>
    <t>3라운드 진입 시, 보스 몬스터가 등장된다.</t>
  </si>
  <si>
    <t>기획서 - 보스 몬스터</t>
  </si>
  <si>
    <t>처치 처리</t>
  </si>
  <si>
    <t>보스 몬스터는 처치되지 않고, 주기적으로 스킬을 사용하여 플레이어를 방해한다.</t>
  </si>
  <si>
    <t>라운드가 진행될수록 몬스터의 스펙이 점진적으로 증가된다.</t>
  </si>
  <si>
    <t>기획서 - 몬스터 추가 리소스</t>
  </si>
  <si>
    <t>별석탄광석</t>
  </si>
  <si>
    <t>평상시 상태</t>
  </si>
  <si>
    <t>발광 표시</t>
  </si>
  <si>
    <t>별석탄광석은 평상시 약하게 반짝이며 상호작용 가능한 기믹임을 표시한다.</t>
  </si>
  <si>
    <t>기획서 - 별석탄광석 표현</t>
  </si>
  <si>
    <t>보유량 게이지 표시</t>
  </si>
  <si>
    <t>별석탄광석 위에는 보유한 보호막 개수를 나타내는 게이지가 작게 표시된다.</t>
  </si>
  <si>
    <t>채굴 상호작용</t>
  </si>
  <si>
    <t>근접 시 캐기 버튼 변경</t>
  </si>
  <si>
    <t>쿠키가 별석탄광석 근처로 이동 시, 스킬 버튼이 곡괭이 모양의 캐기 버튼으로 변경된다.</t>
  </si>
  <si>
    <t>기획서 - 별석탄광석 작동 방식</t>
  </si>
  <si>
    <t>단일 캐기</t>
  </si>
  <si>
    <t>1회 누름 처리</t>
  </si>
  <si>
    <t>캐기 버튼을 한 번 누를 시, 별석탄광석의 보호막이 1개 감소된다.</t>
  </si>
  <si>
    <t>캐는 동안 무방비</t>
  </si>
  <si>
    <t>캐기 애니메이션 재생 중, 쿠키의 모든 조작이 막혀 무방비 상태가 된다.</t>
  </si>
  <si>
    <t>홀드 캐기</t>
  </si>
  <si>
    <t>연속 캐기 처리</t>
  </si>
  <si>
    <t>캐기 버튼 홀드 시, 끊김없이 연속으로 별석탄광석을 캘 수 있다.</t>
  </si>
  <si>
    <t>홀드 해제 처리</t>
  </si>
  <si>
    <t>캐기 도중 홀드를 해제 시, 현재 재생 중인 액션까지만 재생된 후 채굴이 중단된다.</t>
  </si>
  <si>
    <t>피격 시 중단</t>
  </si>
  <si>
    <t>채굴 도중 몬스터에게 피격 시, 채굴 과정이 중단된다.</t>
  </si>
  <si>
    <t>파괴 처리</t>
  </si>
  <si>
    <t>별석탄 드롭</t>
  </si>
  <si>
    <t>별석탄광석이 부서질 시, 바닥에 별석탄이 N개 드롭된다.</t>
  </si>
  <si>
    <t>드롭 위치 랜덤</t>
  </si>
  <si>
    <t>별석탄 드롭 시, 별석탄광석 근처에 랜덤한 위치로 드롭된다.</t>
  </si>
  <si>
    <t>벽 근처 위치 보정</t>
  </si>
  <si>
    <t>별석탄광석 근처에 벽이 있을 시, 별석탄은 벽이 아닌 위치에 드롭된다.</t>
  </si>
  <si>
    <t>크기별 표현</t>
  </si>
  <si>
    <t>작은 사이즈</t>
  </si>
  <si>
    <t>작은 사이즈의 별석탄광석은 3m × 3m 사이즈로 표시된다.</t>
  </si>
  <si>
    <t>큰 사이즈</t>
  </si>
  <si>
    <t>큰 사이즈의 별석탄광석은 6m × 3m 사이즈로 표시된다.</t>
  </si>
  <si>
    <t>별석탄</t>
  </si>
  <si>
    <t>들어올리기</t>
  </si>
  <si>
    <t>근접 상호작용</t>
  </si>
  <si>
    <t>바닥의 별석탄에 근접 후 공격 버튼 입력 시, 별석탄을 들어올린다.</t>
  </si>
  <si>
    <t>기획서 - 별석탄 작동 방식</t>
  </si>
  <si>
    <t>휴대 중 동작</t>
  </si>
  <si>
    <t>던지기</t>
  </si>
  <si>
    <t>포물선 투척</t>
  </si>
  <si>
    <t>별석탄 휴대 중 스킬 버튼 입력 시, 정면으로 포물선을 그리며 별석탄이 던져진다.</t>
  </si>
  <si>
    <t>놓기</t>
  </si>
  <si>
    <t>별석탄 휴대 중 공격 버튼 입력 시, 쿠키의 아래(바닥)에 별석탄이 떨어진다.</t>
  </si>
  <si>
    <t>피격 시 떨굼</t>
  </si>
  <si>
    <t>별석탄 휴대 중 피격 시, 별석탄이 바닥에 떨어진다.</t>
  </si>
  <si>
    <t>바닥 잔존</t>
  </si>
  <si>
    <t>N초 경과</t>
  </si>
  <si>
    <t>별석탄이 바닥에 떨어진 상태로 일정 시간(N초) 경과 시, 깜빡이는 효과가 시작된다.</t>
  </si>
  <si>
    <t>깜빡임 3초</t>
  </si>
  <si>
    <t>별석탄의 깜빡임은 3초간 지속된다.</t>
  </si>
  <si>
    <t>소멸</t>
  </si>
  <si>
    <t>깜빡임 3초 종료 시, 별석탄이 화면에서 사라진다.</t>
  </si>
  <si>
    <t>재집기 카운트 리셋</t>
  </si>
  <si>
    <t>별석탄이 사라지기 전 다시 들어올렸다가 바닥에 떨굴 시, N초 카운트가 처음부터 다시 시작된다.</t>
  </si>
  <si>
    <t>열차 투입</t>
  </si>
  <si>
    <t>연료 충전</t>
  </si>
  <si>
    <t>별석탄을 열차에 상호작용으로 투입 시, 열차의 연료 게이지가 충전된다.</t>
  </si>
  <si>
    <t>기획서 - 별석탄 기능</t>
  </si>
  <si>
    <t>별석탄 휴대 중에는 던지기/놓기 외 다른 조작이 모두 차단된다.</t>
  </si>
  <si>
    <t>별석탄은 평상시 바닥에서 낮게 둥둥 떠있는 상태로 표시된다.</t>
  </si>
  <si>
    <t>기획서 - 별석탄 표현</t>
  </si>
  <si>
    <t>별석탄은 별사탕 모양의 오브젝트로 표시된다.</t>
  </si>
  <si>
    <t>약초 더미</t>
  </si>
  <si>
    <t>약초 더미는 평상시 녹색 빛으로 은은하게 반짝거리며 상호작용 가능한 기믹임을 표시한다.</t>
  </si>
  <si>
    <t>기획서 - 약초 더미 표현</t>
  </si>
  <si>
    <t>타격 처리</t>
  </si>
  <si>
    <t>타격 시 진동</t>
  </si>
  <si>
    <t>약초 더미 타격 시, 빠르고 짧게 진동하여 캐지고 있음을 표시한다.</t>
  </si>
  <si>
    <t>풀잎 이펙트</t>
  </si>
  <si>
    <t>약초 더미 타격 시, 풀잎이 약하게 튀는 이펙트가 출력된다.</t>
  </si>
  <si>
    <t>3회 타격 파괴</t>
  </si>
  <si>
    <t>약초 더미가 3회 타격 시, 파괴된다.</t>
  </si>
  <si>
    <t>기획서 - 약초 더미 작동 방식</t>
  </si>
  <si>
    <t>약초 드롭</t>
  </si>
  <si>
    <t>약초 더미 파괴 시, 약초가 1개 드롭된다.</t>
  </si>
  <si>
    <t>드롭 위치</t>
  </si>
  <si>
    <t>벽 근처 보정</t>
  </si>
  <si>
    <t>약초 더미 근처에 벽이 있을 시, 약초는 벽이 아닌 위치에 드롭된다.</t>
  </si>
  <si>
    <t>약초</t>
  </si>
  <si>
    <t>바닥의 약초에 근접 후 공격 버튼 입력 시, 약초를 들어올린다.</t>
  </si>
  <si>
    <t>기획서 - 약초 작동 방식</t>
  </si>
  <si>
    <t>약초 휴대 중 스킬 버튼 입력 시, 정면으로 포물선을 그리며 약초가 던져진다.</t>
  </si>
  <si>
    <t>약초 휴대 중 공격 버튼 입력 시, 쿠키의 아래(바닥)에 약초가 떨어진다.</t>
  </si>
  <si>
    <t>약초 휴대 중 피격 시, 약초가 바닥에 떨어진다.</t>
  </si>
  <si>
    <t>약초가 바닥에 떨어진 상태로 일정 시간(N초) 경과 시, 깜빡이는 효과가 시작된다.</t>
  </si>
  <si>
    <t>약초의 깜빡임은 3초간 지속된 후 사라진다.</t>
  </si>
  <si>
    <t>약초가 사라지기 전 다시 들어올렸다가 바닥에 떨굴 시, N초 카운트가 처음부터 다시 시작된다.</t>
  </si>
  <si>
    <t>회복 장판 생성</t>
  </si>
  <si>
    <t>열차 중심 원형</t>
  </si>
  <si>
    <t>약초를 열차에 상호작용으로 투입 시, 열차를 중심으로 원형 범위의 회복 장판이 생성된다.</t>
  </si>
  <si>
    <t>지속 시간</t>
  </si>
  <si>
    <t>약초 투입으로 생성된 회복 장판은 일정 시간(n초)간 지속된 후 사라진다.</t>
  </si>
  <si>
    <t>약초 휴대 중에는 던지기/놓기 외 다른 조작이 모두 차단된다.</t>
  </si>
  <si>
    <t>꿈열차</t>
  </si>
  <si>
    <t>정지 상태</t>
  </si>
  <si>
    <t>꿈열차가 정지 상태일 시, 바퀴가 모두 멈춘 애니메이션이 재생된다.</t>
  </si>
  <si>
    <t>기획서 - 꿈열차 상태</t>
  </si>
  <si>
    <t>이동 상태</t>
  </si>
  <si>
    <t>바퀴 움직임</t>
  </si>
  <si>
    <t>꿈열차가 이동 상태일 시, 바퀴가 움직이며 덜컹거리는 애니메이션이 재생된다.</t>
  </si>
  <si>
    <t>굴뚝 연기</t>
  </si>
  <si>
    <t>꿈열차가 이동 상태일 시, 굴뚝에서 천천히 연기가 피어오르는 이펙트가 출력된다.</t>
  </si>
  <si>
    <t>투입 반응</t>
  </si>
  <si>
    <t>별석탄 투입</t>
  </si>
  <si>
    <t>별석탄을 꿈열차에 투입 시, 연료 게이지가 충전된다.</t>
  </si>
  <si>
    <t>기획서 - 꿈열차 기능</t>
  </si>
  <si>
    <t>약초 투입</t>
  </si>
  <si>
    <t>약초를 꿈열차에 투입 시, 회복 장판이 열차 중심으로 생성된다.</t>
  </si>
  <si>
    <t>체력 단계별 표현</t>
  </si>
  <si>
    <t>50% 이하</t>
  </si>
  <si>
    <t>꿈열차의 체력이 50% 이하로 감소 시, 외형에 데미지 상태가 표시된다.</t>
  </si>
  <si>
    <t>기획서 - 꿈열차 상태별 모습</t>
  </si>
  <si>
    <t>위급 상태</t>
  </si>
  <si>
    <t>꿈열차의 연료가 20% 이하로 감소 시, 위급 상태 표현이 적용된다.</t>
  </si>
  <si>
    <t>드래프트</t>
  </si>
  <si>
    <t>메인 드래프트</t>
  </si>
  <si>
    <t>등장 조건</t>
  </si>
  <si>
    <t>라운드 시작 시 출력</t>
  </si>
  <si>
    <t>2~3라운드 시작 시, 메인 드래프트 선택지가 출력된다.</t>
  </si>
  <si>
    <t>기획서 - 메인 선택지</t>
  </si>
  <si>
    <t>카드 구성</t>
  </si>
  <si>
    <t>카드 3장 출력</t>
  </si>
  <si>
    <t>메인 드래프트 등장 시, 총 3장의 카드가 출력된다.</t>
  </si>
  <si>
    <t>무기 타입 아이콘 출력</t>
  </si>
  <si>
    <t>메인 드래프트 카드 상단에는 타입과 관련한 아이콘이 표시된다.</t>
  </si>
  <si>
    <t>기획서 - 메인 선택지 카드 디자인</t>
  </si>
  <si>
    <t>카드명 출력</t>
  </si>
  <si>
    <t>메인 드래프트 카드에는 쿠키 무기 이미지와 무기명이 표시된다.</t>
  </si>
  <si>
    <t>효과 설명 출력</t>
  </si>
  <si>
    <t>메인 드래프트 카드 이미지 아래에 얻을 수 있는 효과의 설명이 표시된다.</t>
  </si>
  <si>
    <t>태그 출력</t>
  </si>
  <si>
    <t>메인 드래프트 카드 하단에 어떤 서브 드래프트로 강화되는지 알 수 있는 태그(#~)가 표시된다.</t>
  </si>
  <si>
    <t>NEW 배지</t>
  </si>
  <si>
    <t>미선택 시 표시</t>
  </si>
  <si>
    <t>한번도 선택하지 않은 메인 드래프트 카드의 좌측 상단에는 NEW 배지가 표시된다.</t>
  </si>
  <si>
    <t>선택 후 제거</t>
  </si>
  <si>
    <t>한 번 선택된 메인 드래프트 카드는 NEW 배지가 제거된다.</t>
  </si>
  <si>
    <t>카드 선택</t>
  </si>
  <si>
    <t>선택 처리</t>
  </si>
  <si>
    <t>메인 드래프트 카드 선택 시, 해당 카드의 효과가 쿠키에게 적용된다.</t>
  </si>
  <si>
    <t>중복 미등장</t>
  </si>
  <si>
    <t>이미 획득한 메인 드래프트 카드는 이후 선택지에 등장되지 않는다.</t>
  </si>
  <si>
    <t>새로고침</t>
  </si>
  <si>
    <t>카드 재추첨</t>
  </si>
  <si>
    <t>새로고침 버튼 터치 시, 전체 풀에서 랜덤으로 3개의 카드가 다시 등장된다.</t>
  </si>
  <si>
    <t>기획서 - 새로고침</t>
  </si>
  <si>
    <t>획득 카드 제외</t>
  </si>
  <si>
    <t>새로고침 시, 본인이 이미 획득한 메인 선택지는 다시 등장되지 않는다.</t>
  </si>
  <si>
    <t>강화 표시</t>
  </si>
  <si>
    <t>강화 카드 시각 차별화</t>
  </si>
  <si>
    <t>강화된 메인 효과는 강화되지 않은 효과와 대비되도록 시각적인 변화로 표시된다.</t>
  </si>
  <si>
    <t>기획서 - 일시정지 UI</t>
  </si>
  <si>
    <t>서브 드래프트</t>
  </si>
  <si>
    <t>레벨업 시 출력</t>
  </si>
  <si>
    <t>몬스터 처치로 경험치 획득 후 레벨업 시, 서브 드래프트 선택지가 출력된다.</t>
  </si>
  <si>
    <t>기획서 - 서브 선택지</t>
  </si>
  <si>
    <t>난이도 상승 시 출력</t>
  </si>
  <si>
    <t>라운드 난이도를 보통 이상으로 선택 시, 서브 드래프트 선택지가 출력된다.</t>
  </si>
  <si>
    <t>타입 아이콘 미표시</t>
  </si>
  <si>
    <t>서브 드래프트 카드 상단에는 타입 아이콘이 표시되지 않는다.</t>
  </si>
  <si>
    <t>기획서 - 서브 선택지 카드 디자인</t>
  </si>
  <si>
    <t>태그 미표시</t>
  </si>
  <si>
    <t>서브 드래프트 카드 하단에는 태그가 표시되지 않는다.</t>
  </si>
  <si>
    <t>메인과 배경색 차이</t>
  </si>
  <si>
    <t>서브 드래프트 카드의 배경색은 메인 드래프트 카드와 구분되는 색으로 표시된다.</t>
  </si>
  <si>
    <t>스탯 아이콘 출력</t>
  </si>
  <si>
    <t>서브 드래프트 카드 이미지에는 효과에 대응되는 스탯 아이콘이 표시된다.</t>
  </si>
  <si>
    <t>메인 강화 처리</t>
  </si>
  <si>
    <t>태그 3회 누적 강화</t>
  </si>
  <si>
    <t>동일 태그의 서브 드래프트를 3번 획득 시, 해당 태그의 메인 선택지가 1회 강화된다.</t>
  </si>
  <si>
    <t>일시정지 처리</t>
  </si>
  <si>
    <t>타이머 정지</t>
  </si>
  <si>
    <t>드래프트 선택지 등장 시, 인게임 타이머가 정지된다.</t>
  </si>
  <si>
    <t>기획서 - 일시정지 처리</t>
  </si>
  <si>
    <t>연료 게이지 정지</t>
  </si>
  <si>
    <t>드래프트 선택지 등장 시, 연료 게이지의 감소가 정지된다.</t>
  </si>
  <si>
    <t>열차 이동 정지</t>
  </si>
  <si>
    <t>드래프트 선택지 등장 시, 열차의 이동이 정지된다.</t>
  </si>
  <si>
    <t>회복 영역 정지</t>
  </si>
  <si>
    <t>드래프트 선택지 등장 시, 회복 영역의 지속시간 카운트가 정지된다.</t>
  </si>
  <si>
    <t>쿠키 정지</t>
  </si>
  <si>
    <t>드래프트 선택지 등장 시, 모든 쿠키의 동작이 정지된다.</t>
  </si>
  <si>
    <t>몬스터 정지</t>
  </si>
  <si>
    <t>드래프트 선택지 등장 시, 모든 몬스터의 동작이 정지된다.</t>
  </si>
  <si>
    <t>대기 메시지 출력</t>
  </si>
  <si>
    <t>팀원이 카드를 선택 중일 시, 본인 화면에 대기 메시지가 출력된다.</t>
  </si>
  <si>
    <t>카드 상태 표시</t>
  </si>
  <si>
    <t>모래시계 아이콘 출력</t>
  </si>
  <si>
    <t>팀원이 아직 카드를 선택하지 않은 경우, 해당 팀원 카드 영역에 모래시계 아이콘이 표시된다.</t>
  </si>
  <si>
    <t>체크 아이콘 출력</t>
  </si>
  <si>
    <t>팀원이 카드 선택을 완료할 시, 해당 팀원 카드 영역에 체크 아이콘이 표시된다.</t>
  </si>
  <si>
    <t>카드 효과</t>
  </si>
  <si>
    <t>발화 석탄</t>
  </si>
  <si>
    <t>발화 석탄 효과 획득 시, 석탄/약초를 든 플레이어 주변에 화염 오라가 생성되어 주변 몬스터에 지속 피해가 적용된다.</t>
  </si>
  <si>
    <t>기획서 - 드래프트 리스트</t>
  </si>
  <si>
    <t>칙칙폭폭!</t>
  </si>
  <si>
    <t>칙칙폭폭! 효과 획득 시, 석탄/약초를 들고 있는 동안 쿠키의 이동속도가 20% 증가된다.</t>
  </si>
  <si>
    <t>불굴의 의지</t>
  </si>
  <si>
    <t>불굴의 의지 효과 획득 시, 석탄/약초를 들어올리는 순간 쿠키에게 쉴드가 적용된다.</t>
  </si>
  <si>
    <t>저리 비켜!</t>
  </si>
  <si>
    <t>저리 비켜! 효과 획득 시, 석탄/약초를 들고 있는 동안 N초마다 주변 몬스터에게 넉백이 적용된다.</t>
  </si>
  <si>
    <t>찌릿찌릿</t>
  </si>
  <si>
    <t>찌릿찌릿 효과 획득 시, 석탄/약초를 들고 있는 동안 쿠키 주변에 전기장이 생성된다.</t>
  </si>
  <si>
    <t>함정 투척</t>
  </si>
  <si>
    <t>함정 투척 효과 획득 시, 석탄/약초를 던지면 착지한 자리에 n초간 지속되는 중력장이 생성된다.</t>
  </si>
  <si>
    <t>전설의 약초</t>
  </si>
  <si>
    <t>전설의 약초 효과 획득 시, 약초를 열차에 넣었을 때 생성되는 회복 영역의 크기가 증가된다.</t>
  </si>
  <si>
    <t>카드 ��과</t>
  </si>
  <si>
    <t>레이저빔</t>
  </si>
  <si>
    <t>레이저빔 효과 획득 시, 석탄/약초를 들면 정면으로 레이저가 발사된다.</t>
  </si>
  <si>
    <t>고속채굴</t>
  </si>
  <si>
    <t>고속채굴 효과 획득 시, 별석탄광석의 채굴 속도가 25% 상승된다.</t>
  </si>
  <si>
    <t>사망 및 부활</t>
  </si>
  <si>
    <t>사망 처리</t>
  </si>
  <si>
    <t>유령 전환</t>
  </si>
  <si>
    <t>멀티 환경에서 쿠키 사망 시, 해당 쿠키가 유령 상태로 전환된다.</t>
  </si>
  <si>
    <t>인게임 시스템 - 사망 및 부활</t>
  </si>
  <si>
    <t>아군 부활</t>
  </si>
  <si>
    <t>살려주기 버튼 변경</t>
  </si>
  <si>
    <t>유령 상태의 플레이어에게 접근 시, 공격 버튼이 살려주기 버튼으로 변경된다.</t>
  </si>
  <si>
    <t>부활 게이지 충전</t>
  </si>
  <si>
    <t>살려주기 버튼 홀드 시, 유령의 부활 게이지가 충전되며 만충 시 부활된다.</t>
  </si>
  <si>
    <t>피격 시 캐스팅 취소</t>
  </si>
  <si>
    <t>살려주기 도중 피격 시, 캐스팅은 취소되지만 충전된 부활 게이지는 유지된다.</t>
  </si>
  <si>
    <t>자동 부활</t>
  </si>
  <si>
    <t>유령 상태에서 일정 시간 경과 시, 해당 쿠키가 자동으로 부활된다.</t>
  </si>
  <si>
    <t>전멸 처리</t>
  </si>
  <si>
    <t>모든 쿠키가 동시에 유령 상태가 될 시, 게임 실패 처리된다.</t>
  </si>
  <si>
    <t>일시정지 메뉴</t>
  </si>
  <si>
    <t>메뉴 구성</t>
  </si>
  <si>
    <t>본인 선택지 표시</t>
  </si>
  <si>
    <t>일시정지 메뉴 진입 시, 본인이 선택한 드래프트 선택지가 표시된다.</t>
  </si>
  <si>
    <t>팀원 선택지 표시</t>
  </si>
  <si>
    <t>일시정지 메뉴 진입 시, 팀원이 선택한 드래프트 선택지가 표시된다.</t>
  </si>
  <si>
    <t>강화 효과 시각 차별화</t>
  </si>
  <si>
    <t>강화된 메인 효과는 강화되지 않은 효과와 대비되는 색상으로 표시된다.</t>
  </si>
  <si>
    <t>중단하기</t>
  </si>
  <si>
    <t>투표 팝업 출력</t>
  </si>
  <si>
    <t>중단하기 버튼 터치 시, 인게임 포기 투표 팝업이 출력된다.</t>
  </si>
  <si>
    <t>확인하기</t>
  </si>
  <si>
    <t>확인하기 버튼 터치 시, 일시정지가 해제되고 인게임으로 복귀된다.</t>
  </si>
  <si>
    <t>멀티 시간 흐름</t>
  </si>
  <si>
    <t>멀티 일시정지 메뉴 출력 중에도 인게임 시간은 계속 흐른다.</t>
  </si>
  <si>
    <t>인게임 시스템 - 일시정지 메뉴</t>
  </si>
  <si>
    <t>결과 화면</t>
  </si>
  <si>
    <t>라운드 클리어</t>
  </si>
  <si>
    <t>모든 라운드 클리어 시, 클리어 결과 화면이 출력된다.</t>
  </si>
  <si>
    <t>인게임 시스템 - 결과 화면</t>
  </si>
  <si>
    <t>클리어 결과 화면에 라운드별 점수와 총 점수가 표시된다.</t>
  </si>
  <si>
    <t>게임 실패</t>
  </si>
  <si>
    <t>실패 화면 출력</t>
  </si>
  <si>
    <t>게임 실패 시, 실패 결과 화면이 출력된다.</t>
  </si>
  <si>
    <t>성장 가이드 출력</t>
  </si>
  <si>
    <t>실패 결과 화면에 성장 가이드와 보상 획득 불가능 안내 문구가 출력된다.</t>
  </si>
  <si>
    <t>결과 화면에 다시하기 / 나가기 버튼이 출력된다.</t>
  </si>
  <si>
    <t>랭킹/스코어</t>
  </si>
  <si>
    <t>점수 계산</t>
  </si>
  <si>
    <t>1ms당 점수</t>
  </si>
  <si>
    <t>라운드 클리어 시, 남은시간 1ms당 약 1.67점이 점수로 환산된다.</t>
  </si>
  <si>
    <t>기획서 - 랭킹 집계 방식</t>
  </si>
  <si>
    <t>만점 처리</t>
  </si>
  <si>
    <t>3분(180,000ms)을 모두 남길 시, 한 라운드 만점인 300,000점이 적용된다.</t>
  </si>
  <si>
    <t>소수점 처리</t>
  </si>
  <si>
    <t>점수 환산 시, 소수점은 버림 처리된다.</t>
  </si>
  <si>
    <t>난이도 가중치</t>
  </si>
  <si>
    <t>쉬움 난이도에서 클리어 시, 가중치 없이 기본 점수가 적용된다.</t>
  </si>
  <si>
    <t>기획서 - 난이도별 가중치</t>
  </si>
  <si>
    <t>보통 가중치</t>
  </si>
  <si>
    <t>보통 난이도에서 클리어 시, 기본 점수에 30% 가중치가 적용된다.</t>
  </si>
  <si>
    <t>어려움 가중치</t>
  </si>
  <si>
    <t>어려움 난이도에서 클리어 시, 기본 점수에 50% 가중치가 적용된다.</t>
  </si>
  <si>
    <t>최종 점수</t>
  </si>
  <si>
    <t>라운드별 합산</t>
  </si>
  <si>
    <t>최종 점수는 라운드별 점수의 총 합계로 산정되며 최대 1,200,000점까지 도달 가능하다.</t>
  </si>
  <si>
    <t>기획서 - 최종 계산</t>
  </si>
  <si>
    <t>커뮤니케이션</t>
  </si>
  <si>
    <t>스탬프</t>
  </si>
  <si>
    <t>스탬프 출력</t>
  </si>
  <si>
    <t>스탬프 버튼 터치 후 스탬프 선택 시, 플레이어 쿠키 위에 말풍선 형태로 스탬프가 출력된다.</t>
  </si>
  <si>
    <t>인게��� 시스템 - 커뮤니케이션</t>
  </si>
  <si>
    <t>쿨타임</t>
  </si>
  <si>
    <t>스탬프 사용 후 일정 쿨타임 동안 스탬프 재사용이 제한된다.</t>
  </si>
  <si>
    <t>인게임 시스템 - 커뮤니케이션</t>
  </si>
  <si>
    <t>멀티 환경 예외</t>
  </si>
  <si>
    <t>연결 끊김</t>
  </si>
  <si>
    <t>연결 이상 아이콘 표시</t>
  </si>
  <si>
    <t>플레이어 연결 끊김 발생 시, 해당 플레이어의 쿠키 아이콘에 연결 이상 아이콘이 표시된다.</t>
  </si>
  <si>
    <t>인게임 시스템 - 연결 끊김 처리</t>
  </si>
  <si>
    <t>끊긴 쿠키 방치 상태</t>
  </si>
  <si>
    <t>플레이어 연결 끊김 시, 해당 쿠키는 봇으로 대체되지 않고 방치 상태로 유지된다.</t>
  </si>
  <si>
    <t>재접속 처리</t>
  </si>
  <si>
    <t>연결이 끊긴 플레이어가 재접속 시, 해당 게임에 복귀되어 정상 플레이가 가능하다.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</si>
</sst>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COUNTIF(I10:I194,"Pass")</f>
      </c>
      <c r="K3" t="s">
        <v>4</v>
      </c>
      <c r="L3">
        <f>COUNTIF(I10:I194,"")</f>
      </c>
      <c r="M3" s="3" t="s">
        <v>3</v>
      </c>
      <c r="N3">
        <f>COUNTIF(J10:J194,"Pass")</f>
      </c>
    </row>
    <row r="4" spans="9:14" x14ac:dyDescent="0.25">
      <c r="I4" s="4" t="s">
        <v>5</v>
      </c>
      <c r="J4">
        <f>COUNTIF(I10:I194,"N/T")</f>
      </c>
      <c r="K4" t="s">
        <v>6</v>
      </c>
      <c r="L4">
        <f>COUNTA(I10:I194)-COUNTIF(I10:I194,"")</f>
      </c>
      <c r="M4" s="4" t="s">
        <v>5</v>
      </c>
      <c r="N4">
        <f>COUNTIF(J10:J194,"N/T")</f>
      </c>
    </row>
    <row r="5" spans="9:14" x14ac:dyDescent="0.25">
      <c r="I5" s="5" t="s">
        <v>7</v>
      </c>
      <c r="J5">
        <f>COUNTIF(I10:I194,"Fail")</f>
      </c>
      <c r="K5" t="s">
        <v>8</v>
      </c>
      <c r="L5">
        <v>185</v>
      </c>
      <c r="M5" s="5" t="s">
        <v>7</v>
      </c>
      <c r="N5">
        <f>COUNTIF(J10:J194,"Fail")</f>
      </c>
    </row>
    <row r="6" spans="9:14" x14ac:dyDescent="0.25">
      <c r="I6" s="6" t="s">
        <v>9</v>
      </c>
      <c r="J6">
        <f>COUNTIF(I10:I194,"Block")</f>
      </c>
      <c r="K6" t="s">
        <v>10</v>
      </c>
      <c r="L6" s="7">
        <f>IF(L5=0,0,L4/L5)</f>
      </c>
      <c r="M6" s="6" t="s">
        <v>9</v>
      </c>
      <c r="N6">
        <f>COUNTIF(J10:J194,"Block")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25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4" t="s">
        <v>27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28</v>
      </c>
      <c r="G11" s="12" t="s">
        <v>11</v>
      </c>
      <c r="H11" s="13" t="s">
        <v>29</v>
      </c>
      <c r="I11" s="12"/>
      <c r="J11" s="12"/>
      <c r="K11" s="12"/>
      <c r="L11" s="12"/>
      <c r="M11" s="12"/>
      <c r="N11" s="14" t="s">
        <v>27</v>
      </c>
    </row>
    <row r="12" spans="2:14" x14ac:dyDescent="0.25">
      <c r="B12" s="9">
        <v>3</v>
      </c>
      <c r="C12" s="15" t="s">
        <v>30</v>
      </c>
      <c r="D12" s="11"/>
      <c r="E12" s="11" t="s">
        <v>31</v>
      </c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36</v>
      </c>
      <c r="H13" s="13" t="s">
        <v>37</v>
      </c>
      <c r="I13" s="12"/>
      <c r="J13" s="12"/>
      <c r="K13" s="12"/>
      <c r="L13" s="12"/>
      <c r="M13" s="12"/>
      <c r="N13" s="14" t="s">
        <v>38</v>
      </c>
    </row>
    <row r="14" spans="2:14" x14ac:dyDescent="0.25">
      <c r="B14" s="9">
        <v>5</v>
      </c>
      <c r="C14" s="16" t="s">
        <v>39</v>
      </c>
      <c r="D14" s="11"/>
      <c r="E14" s="11"/>
      <c r="F14" s="11"/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35</v>
      </c>
    </row>
    <row r="15" spans="2:14" x14ac:dyDescent="0.25">
      <c r="B15" s="9">
        <v>6</v>
      </c>
      <c r="C15" s="16" t="s">
        <v>39</v>
      </c>
      <c r="D15" s="11"/>
      <c r="E15" s="11"/>
      <c r="F15" s="11" t="s">
        <v>42</v>
      </c>
      <c r="G15" s="12" t="s">
        <v>43</v>
      </c>
      <c r="H15" s="13" t="s">
        <v>44</v>
      </c>
      <c r="I15" s="12"/>
      <c r="J15" s="12"/>
      <c r="K15" s="12"/>
      <c r="L15" s="12"/>
      <c r="M15" s="12"/>
      <c r="N15" s="14" t="s">
        <v>35</v>
      </c>
    </row>
    <row r="16" spans="2:14" x14ac:dyDescent="0.25">
      <c r="B16" s="9">
        <v>7</v>
      </c>
      <c r="C16" s="16" t="s">
        <v>39</v>
      </c>
      <c r="D16" s="11"/>
      <c r="E16" s="11"/>
      <c r="F16" s="11"/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35</v>
      </c>
    </row>
    <row r="17" spans="2:14" x14ac:dyDescent="0.25">
      <c r="B17" s="9">
        <v>8</v>
      </c>
      <c r="C17" s="15" t="s">
        <v>30</v>
      </c>
      <c r="D17" s="11" t="s">
        <v>47</v>
      </c>
      <c r="E17" s="12" t="s">
        <v>48</v>
      </c>
      <c r="F17" s="12" t="s">
        <v>49</v>
      </c>
      <c r="G17" s="12" t="s">
        <v>11</v>
      </c>
      <c r="H17" s="13" t="s">
        <v>50</v>
      </c>
      <c r="I17" s="12"/>
      <c r="J17" s="12"/>
      <c r="K17" s="12"/>
      <c r="L17" s="12"/>
      <c r="M17" s="12"/>
      <c r="N17" s="14" t="s">
        <v>51</v>
      </c>
    </row>
    <row r="18" spans="2:14" x14ac:dyDescent="0.25">
      <c r="B18" s="9">
        <v>9</v>
      </c>
      <c r="C18" s="15" t="s">
        <v>30</v>
      </c>
      <c r="D18" s="11"/>
      <c r="E18" s="11" t="s">
        <v>52</v>
      </c>
      <c r="F18" s="12" t="s">
        <v>53</v>
      </c>
      <c r="G18" s="12" t="s">
        <v>11</v>
      </c>
      <c r="H18" s="13" t="s">
        <v>54</v>
      </c>
      <c r="I18" s="12"/>
      <c r="J18" s="12"/>
      <c r="K18" s="12"/>
      <c r="L18" s="12"/>
      <c r="M18" s="12"/>
      <c r="N18" s="14" t="s">
        <v>51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55</v>
      </c>
      <c r="G19" s="12" t="s">
        <v>11</v>
      </c>
      <c r="H19" s="13" t="s">
        <v>56</v>
      </c>
      <c r="I19" s="12"/>
      <c r="J19" s="12"/>
      <c r="K19" s="12"/>
      <c r="L19" s="12"/>
      <c r="M19" s="12"/>
      <c r="N19" s="14" t="s">
        <v>51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57</v>
      </c>
      <c r="G20" s="12" t="s">
        <v>11</v>
      </c>
      <c r="H20" s="13" t="s">
        <v>58</v>
      </c>
      <c r="I20" s="12"/>
      <c r="J20" s="12"/>
      <c r="K20" s="12"/>
      <c r="L20" s="12"/>
      <c r="M20" s="12"/>
      <c r="N20" s="14" t="s">
        <v>59</v>
      </c>
    </row>
    <row r="21" spans="2:14" x14ac:dyDescent="0.25">
      <c r="B21" s="9">
        <v>12</v>
      </c>
      <c r="C21" s="10" t="s">
        <v>22</v>
      </c>
      <c r="D21" s="11"/>
      <c r="E21" s="11"/>
      <c r="F21" s="12" t="s">
        <v>60</v>
      </c>
      <c r="G21" s="12" t="s">
        <v>11</v>
      </c>
      <c r="H21" s="13" t="s">
        <v>61</v>
      </c>
      <c r="I21" s="12"/>
      <c r="J21" s="12"/>
      <c r="K21" s="12"/>
      <c r="L21" s="12"/>
      <c r="M21" s="12"/>
      <c r="N21" s="14" t="s">
        <v>51</v>
      </c>
    </row>
    <row r="22" spans="2:14" x14ac:dyDescent="0.25">
      <c r="B22" s="9">
        <v>13</v>
      </c>
      <c r="C22" s="10" t="s">
        <v>22</v>
      </c>
      <c r="D22" s="11"/>
      <c r="E22" s="11" t="s">
        <v>62</v>
      </c>
      <c r="F22" s="11" t="s">
        <v>63</v>
      </c>
      <c r="G22" s="12" t="s">
        <v>64</v>
      </c>
      <c r="H22" s="13" t="s">
        <v>65</v>
      </c>
      <c r="I22" s="12"/>
      <c r="J22" s="12"/>
      <c r="K22" s="12"/>
      <c r="L22" s="12"/>
      <c r="M22" s="12"/>
      <c r="N22" s="14" t="s">
        <v>66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67</v>
      </c>
      <c r="H23" s="13" t="s">
        <v>68</v>
      </c>
      <c r="I23" s="12"/>
      <c r="J23" s="12"/>
      <c r="K23" s="12"/>
      <c r="L23" s="12"/>
      <c r="M23" s="12"/>
      <c r="N23" s="14" t="s">
        <v>69</v>
      </c>
    </row>
    <row r="24" spans="2:14" x14ac:dyDescent="0.25">
      <c r="B24" s="9">
        <v>15</v>
      </c>
      <c r="C24" s="16" t="s">
        <v>39</v>
      </c>
      <c r="D24" s="11"/>
      <c r="E24" s="11"/>
      <c r="F24" s="12" t="s">
        <v>70</v>
      </c>
      <c r="G24" s="12" t="s">
        <v>11</v>
      </c>
      <c r="H24" s="13" t="s">
        <v>71</v>
      </c>
      <c r="I24" s="12"/>
      <c r="J24" s="12"/>
      <c r="K24" s="12"/>
      <c r="L24" s="12"/>
      <c r="M24" s="12"/>
      <c r="N24" s="14" t="s">
        <v>66</v>
      </c>
    </row>
    <row r="25" spans="2:14" x14ac:dyDescent="0.25">
      <c r="B25" s="9">
        <v>16</v>
      </c>
      <c r="C25" s="15" t="s">
        <v>30</v>
      </c>
      <c r="D25" s="11" t="s">
        <v>72</v>
      </c>
      <c r="E25" s="11" t="s">
        <v>73</v>
      </c>
      <c r="F25" s="11" t="s">
        <v>74</v>
      </c>
      <c r="G25" s="12" t="s">
        <v>75</v>
      </c>
      <c r="H25" s="13" t="s">
        <v>76</v>
      </c>
      <c r="I25" s="12"/>
      <c r="J25" s="12"/>
      <c r="K25" s="12"/>
      <c r="L25" s="12"/>
      <c r="M25" s="12"/>
      <c r="N25" s="14" t="s">
        <v>77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78</v>
      </c>
      <c r="H26" s="13" t="s">
        <v>79</v>
      </c>
      <c r="I26" s="12"/>
      <c r="J26" s="12"/>
      <c r="K26" s="12"/>
      <c r="L26" s="12"/>
      <c r="M26" s="12"/>
      <c r="N26" s="14" t="s">
        <v>77</v>
      </c>
    </row>
    <row r="27" spans="2:14" x14ac:dyDescent="0.25">
      <c r="B27" s="9">
        <v>18</v>
      </c>
      <c r="C27" s="10" t="s">
        <v>22</v>
      </c>
      <c r="D27" s="11"/>
      <c r="E27" s="11"/>
      <c r="F27" s="11" t="s">
        <v>80</v>
      </c>
      <c r="G27" s="12" t="s">
        <v>81</v>
      </c>
      <c r="H27" s="13" t="s">
        <v>82</v>
      </c>
      <c r="I27" s="12"/>
      <c r="J27" s="12"/>
      <c r="K27" s="12"/>
      <c r="L27" s="12"/>
      <c r="M27" s="12"/>
      <c r="N27" s="14" t="s">
        <v>83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84</v>
      </c>
      <c r="H28" s="13" t="s">
        <v>85</v>
      </c>
      <c r="I28" s="12"/>
      <c r="J28" s="12"/>
      <c r="K28" s="12"/>
      <c r="L28" s="12"/>
      <c r="M28" s="12"/>
      <c r="N28" s="14" t="s">
        <v>83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86</v>
      </c>
      <c r="H29" s="13" t="s">
        <v>87</v>
      </c>
      <c r="I29" s="12"/>
      <c r="J29" s="12"/>
      <c r="K29" s="12"/>
      <c r="L29" s="12"/>
      <c r="M29" s="12"/>
      <c r="N29" s="14" t="s">
        <v>83</v>
      </c>
    </row>
    <row r="30" spans="2:14" x14ac:dyDescent="0.25">
      <c r="B30" s="9">
        <v>21</v>
      </c>
      <c r="C30" s="16" t="s">
        <v>39</v>
      </c>
      <c r="D30" s="11"/>
      <c r="E30" s="11"/>
      <c r="F30" s="11"/>
      <c r="G30" s="12" t="s">
        <v>88</v>
      </c>
      <c r="H30" s="13" t="s">
        <v>89</v>
      </c>
      <c r="I30" s="12"/>
      <c r="J30" s="12"/>
      <c r="K30" s="12"/>
      <c r="L30" s="12"/>
      <c r="M30" s="12"/>
      <c r="N30" s="14" t="s">
        <v>77</v>
      </c>
    </row>
    <row r="31" spans="2:14" x14ac:dyDescent="0.25">
      <c r="B31" s="9">
        <v>22</v>
      </c>
      <c r="C31" s="10" t="s">
        <v>22</v>
      </c>
      <c r="D31" s="11"/>
      <c r="E31" s="11"/>
      <c r="F31" s="11" t="s">
        <v>90</v>
      </c>
      <c r="G31" s="12" t="s">
        <v>91</v>
      </c>
      <c r="H31" s="13" t="s">
        <v>92</v>
      </c>
      <c r="I31" s="12"/>
      <c r="J31" s="12"/>
      <c r="K31" s="12"/>
      <c r="L31" s="12"/>
      <c r="M31" s="12"/>
      <c r="N31" s="14" t="s">
        <v>83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93</v>
      </c>
      <c r="H32" s="13" t="s">
        <v>94</v>
      </c>
      <c r="I32" s="12"/>
      <c r="J32" s="12"/>
      <c r="K32" s="12"/>
      <c r="L32" s="12"/>
      <c r="M32" s="12"/>
      <c r="N32" s="14" t="s">
        <v>83</v>
      </c>
    </row>
    <row r="33" spans="2:14" x14ac:dyDescent="0.25">
      <c r="B33" s="9">
        <v>24</v>
      </c>
      <c r="C33" s="16" t="s">
        <v>39</v>
      </c>
      <c r="D33" s="11"/>
      <c r="E33" s="11"/>
      <c r="F33" s="11"/>
      <c r="G33" s="12" t="s">
        <v>95</v>
      </c>
      <c r="H33" s="13" t="s">
        <v>96</v>
      </c>
      <c r="I33" s="12"/>
      <c r="J33" s="12"/>
      <c r="K33" s="12"/>
      <c r="L33" s="12"/>
      <c r="M33" s="12"/>
      <c r="N33" s="14" t="s">
        <v>83</v>
      </c>
    </row>
    <row r="34" spans="2:14" x14ac:dyDescent="0.25">
      <c r="B34" s="9">
        <v>25</v>
      </c>
      <c r="C34" s="15" t="s">
        <v>30</v>
      </c>
      <c r="D34" s="11"/>
      <c r="E34" s="11"/>
      <c r="F34" s="12" t="s">
        <v>97</v>
      </c>
      <c r="G34" s="12" t="s">
        <v>98</v>
      </c>
      <c r="H34" s="13" t="s">
        <v>99</v>
      </c>
      <c r="I34" s="12"/>
      <c r="J34" s="12"/>
      <c r="K34" s="12"/>
      <c r="L34" s="12"/>
      <c r="M34" s="12"/>
      <c r="N34" s="14" t="s">
        <v>100</v>
      </c>
    </row>
    <row r="35" spans="2:14" x14ac:dyDescent="0.25">
      <c r="B35" s="9">
        <v>26</v>
      </c>
      <c r="C35" s="10" t="s">
        <v>22</v>
      </c>
      <c r="D35" s="11"/>
      <c r="E35" s="11" t="s">
        <v>101</v>
      </c>
      <c r="F35" s="12" t="s">
        <v>74</v>
      </c>
      <c r="G35" s="12" t="s">
        <v>11</v>
      </c>
      <c r="H35" s="13" t="s">
        <v>102</v>
      </c>
      <c r="I35" s="12"/>
      <c r="J35" s="12"/>
      <c r="K35" s="12"/>
      <c r="L35" s="12"/>
      <c r="M35" s="12"/>
      <c r="N35" s="14" t="s">
        <v>103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104</v>
      </c>
      <c r="G36" s="12" t="s">
        <v>11</v>
      </c>
      <c r="H36" s="13" t="s">
        <v>105</v>
      </c>
      <c r="I36" s="12"/>
      <c r="J36" s="12"/>
      <c r="K36" s="12"/>
      <c r="L36" s="12"/>
      <c r="M36" s="12"/>
      <c r="N36" s="14" t="s">
        <v>103</v>
      </c>
    </row>
    <row r="37" spans="2:14" x14ac:dyDescent="0.25">
      <c r="B37" s="9">
        <v>28</v>
      </c>
      <c r="C37" s="10" t="s">
        <v>22</v>
      </c>
      <c r="D37" s="11"/>
      <c r="E37" s="11"/>
      <c r="F37" s="11" t="s">
        <v>106</v>
      </c>
      <c r="G37" s="12" t="s">
        <v>107</v>
      </c>
      <c r="H37" s="13" t="s">
        <v>108</v>
      </c>
      <c r="I37" s="12"/>
      <c r="J37" s="12"/>
      <c r="K37" s="12"/>
      <c r="L37" s="12"/>
      <c r="M37" s="12"/>
      <c r="N37" s="14" t="s">
        <v>109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110</v>
      </c>
      <c r="H38" s="13" t="s">
        <v>111</v>
      </c>
      <c r="I38" s="12"/>
      <c r="J38" s="12"/>
      <c r="K38" s="12"/>
      <c r="L38" s="12"/>
      <c r="M38" s="12"/>
      <c r="N38" s="14" t="s">
        <v>109</v>
      </c>
    </row>
    <row r="39" spans="2:14" x14ac:dyDescent="0.25">
      <c r="B39" s="9">
        <v>30</v>
      </c>
      <c r="C39" s="16" t="s">
        <v>39</v>
      </c>
      <c r="D39" s="11"/>
      <c r="E39" s="11"/>
      <c r="F39" s="11"/>
      <c r="G39" s="12" t="s">
        <v>112</v>
      </c>
      <c r="H39" s="13" t="s">
        <v>113</v>
      </c>
      <c r="I39" s="12"/>
      <c r="J39" s="12"/>
      <c r="K39" s="12"/>
      <c r="L39" s="12"/>
      <c r="M39" s="12"/>
      <c r="N39" s="14" t="s">
        <v>114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115</v>
      </c>
      <c r="H40" s="13" t="s">
        <v>116</v>
      </c>
      <c r="I40" s="12"/>
      <c r="J40" s="12"/>
      <c r="K40" s="12"/>
      <c r="L40" s="12"/>
      <c r="M40" s="12"/>
      <c r="N40" s="14" t="s">
        <v>103</v>
      </c>
    </row>
    <row r="41" spans="2:14" x14ac:dyDescent="0.25">
      <c r="B41" s="9">
        <v>32</v>
      </c>
      <c r="C41" s="16" t="s">
        <v>39</v>
      </c>
      <c r="D41" s="11"/>
      <c r="E41" s="12" t="s">
        <v>117</v>
      </c>
      <c r="F41" s="12" t="s">
        <v>118</v>
      </c>
      <c r="G41" s="12" t="s">
        <v>11</v>
      </c>
      <c r="H41" s="13" t="s">
        <v>119</v>
      </c>
      <c r="I41" s="12"/>
      <c r="J41" s="12"/>
      <c r="K41" s="12"/>
      <c r="L41" s="12"/>
      <c r="M41" s="12"/>
      <c r="N41" s="14" t="s">
        <v>120</v>
      </c>
    </row>
    <row r="42" spans="2:14" x14ac:dyDescent="0.25">
      <c r="B42" s="9">
        <v>33</v>
      </c>
      <c r="C42" s="16" t="s">
        <v>39</v>
      </c>
      <c r="D42" s="11"/>
      <c r="E42" s="11" t="s">
        <v>121</v>
      </c>
      <c r="F42" s="12" t="s">
        <v>122</v>
      </c>
      <c r="G42" s="12" t="s">
        <v>11</v>
      </c>
      <c r="H42" s="13" t="s">
        <v>123</v>
      </c>
      <c r="I42" s="12"/>
      <c r="J42" s="12"/>
      <c r="K42" s="12"/>
      <c r="L42" s="12"/>
      <c r="M42" s="12"/>
      <c r="N42" s="14" t="s">
        <v>124</v>
      </c>
    </row>
    <row r="43" spans="2:14" x14ac:dyDescent="0.25">
      <c r="B43" s="9">
        <v>34</v>
      </c>
      <c r="C43" s="16" t="s">
        <v>39</v>
      </c>
      <c r="D43" s="11"/>
      <c r="E43" s="11"/>
      <c r="F43" s="12" t="s">
        <v>125</v>
      </c>
      <c r="G43" s="12" t="s">
        <v>11</v>
      </c>
      <c r="H43" s="13" t="s">
        <v>126</v>
      </c>
      <c r="I43" s="12"/>
      <c r="J43" s="12"/>
      <c r="K43" s="12"/>
      <c r="L43" s="12"/>
      <c r="M43" s="12"/>
      <c r="N43" s="14" t="s">
        <v>124</v>
      </c>
    </row>
    <row r="44" spans="2:14" x14ac:dyDescent="0.25">
      <c r="B44" s="9">
        <v>35</v>
      </c>
      <c r="C44" s="16" t="s">
        <v>39</v>
      </c>
      <c r="D44" s="11"/>
      <c r="E44" s="11"/>
      <c r="F44" s="12" t="s">
        <v>127</v>
      </c>
      <c r="G44" s="12" t="s">
        <v>11</v>
      </c>
      <c r="H44" s="13" t="s">
        <v>128</v>
      </c>
      <c r="I44" s="12"/>
      <c r="J44" s="12"/>
      <c r="K44" s="12"/>
      <c r="L44" s="12"/>
      <c r="M44" s="12"/>
      <c r="N44" s="14" t="s">
        <v>124</v>
      </c>
    </row>
    <row r="45" spans="2:14" x14ac:dyDescent="0.25">
      <c r="B45" s="9">
        <v>36</v>
      </c>
      <c r="C45" s="16" t="s">
        <v>39</v>
      </c>
      <c r="D45" s="11"/>
      <c r="E45" s="12" t="s">
        <v>129</v>
      </c>
      <c r="F45" s="12" t="s">
        <v>130</v>
      </c>
      <c r="G45" s="12" t="s">
        <v>11</v>
      </c>
      <c r="H45" s="13" t="s">
        <v>131</v>
      </c>
      <c r="I45" s="12"/>
      <c r="J45" s="12"/>
      <c r="K45" s="12"/>
      <c r="L45" s="12"/>
      <c r="M45" s="12"/>
      <c r="N45" s="14" t="s">
        <v>132</v>
      </c>
    </row>
    <row r="46" spans="2:14" x14ac:dyDescent="0.25">
      <c r="B46" s="9">
        <v>37</v>
      </c>
      <c r="C46" s="10" t="s">
        <v>22</v>
      </c>
      <c r="D46" s="11" t="s">
        <v>133</v>
      </c>
      <c r="E46" s="11" t="s">
        <v>134</v>
      </c>
      <c r="F46" s="12" t="s">
        <v>135</v>
      </c>
      <c r="G46" s="12" t="s">
        <v>11</v>
      </c>
      <c r="H46" s="13" t="s">
        <v>136</v>
      </c>
      <c r="I46" s="12"/>
      <c r="J46" s="12"/>
      <c r="K46" s="12"/>
      <c r="L46" s="12"/>
      <c r="M46" s="12"/>
      <c r="N46" s="14" t="s">
        <v>137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138</v>
      </c>
      <c r="G47" s="12" t="s">
        <v>11</v>
      </c>
      <c r="H47" s="13" t="s">
        <v>139</v>
      </c>
      <c r="I47" s="12"/>
      <c r="J47" s="12"/>
      <c r="K47" s="12"/>
      <c r="L47" s="12"/>
      <c r="M47" s="12"/>
      <c r="N47" s="14" t="s">
        <v>137</v>
      </c>
    </row>
    <row r="48" spans="2:14" x14ac:dyDescent="0.25">
      <c r="B48" s="9">
        <v>39</v>
      </c>
      <c r="C48" s="10" t="s">
        <v>22</v>
      </c>
      <c r="D48" s="11"/>
      <c r="E48" s="12" t="s">
        <v>140</v>
      </c>
      <c r="F48" s="12" t="s">
        <v>141</v>
      </c>
      <c r="G48" s="12" t="s">
        <v>11</v>
      </c>
      <c r="H48" s="13" t="s">
        <v>142</v>
      </c>
      <c r="I48" s="12"/>
      <c r="J48" s="12"/>
      <c r="K48" s="12"/>
      <c r="L48" s="12"/>
      <c r="M48" s="12"/>
      <c r="N48" s="14" t="s">
        <v>137</v>
      </c>
    </row>
    <row r="49" spans="2:14" x14ac:dyDescent="0.25">
      <c r="B49" s="9">
        <v>40</v>
      </c>
      <c r="C49" s="16" t="s">
        <v>39</v>
      </c>
      <c r="D49" s="11"/>
      <c r="E49" s="11" t="s">
        <v>143</v>
      </c>
      <c r="F49" s="11" t="s">
        <v>144</v>
      </c>
      <c r="G49" s="12" t="s">
        <v>11</v>
      </c>
      <c r="H49" s="13" t="s">
        <v>145</v>
      </c>
      <c r="I49" s="12"/>
      <c r="J49" s="12"/>
      <c r="K49" s="12"/>
      <c r="L49" s="12"/>
      <c r="M49" s="12"/>
      <c r="N49" s="14" t="s">
        <v>146</v>
      </c>
    </row>
    <row r="50" spans="2:14" x14ac:dyDescent="0.25">
      <c r="B50" s="9">
        <v>41</v>
      </c>
      <c r="C50" s="16" t="s">
        <v>39</v>
      </c>
      <c r="D50" s="11"/>
      <c r="E50" s="11"/>
      <c r="F50" s="11"/>
      <c r="G50" s="12" t="s">
        <v>11</v>
      </c>
      <c r="H50" s="13" t="s">
        <v>147</v>
      </c>
      <c r="I50" s="12"/>
      <c r="J50" s="12"/>
      <c r="K50" s="12"/>
      <c r="L50" s="12"/>
      <c r="M50" s="12"/>
      <c r="N50" s="14" t="s">
        <v>148</v>
      </c>
    </row>
    <row r="51" spans="2:14" x14ac:dyDescent="0.25">
      <c r="B51" s="9">
        <v>42</v>
      </c>
      <c r="C51" s="15" t="s">
        <v>30</v>
      </c>
      <c r="D51" s="11" t="s">
        <v>149</v>
      </c>
      <c r="E51" s="11" t="s">
        <v>150</v>
      </c>
      <c r="F51" s="12" t="s">
        <v>151</v>
      </c>
      <c r="G51" s="12" t="s">
        <v>11</v>
      </c>
      <c r="H51" s="13" t="s">
        <v>152</v>
      </c>
      <c r="I51" s="12"/>
      <c r="J51" s="12"/>
      <c r="K51" s="12"/>
      <c r="L51" s="12"/>
      <c r="M51" s="12"/>
      <c r="N51" s="14" t="s">
        <v>153</v>
      </c>
    </row>
    <row r="52" spans="2:14" x14ac:dyDescent="0.25">
      <c r="B52" s="9">
        <v>43</v>
      </c>
      <c r="C52" s="15" t="s">
        <v>30</v>
      </c>
      <c r="D52" s="11"/>
      <c r="E52" s="11"/>
      <c r="F52" s="12" t="s">
        <v>154</v>
      </c>
      <c r="G52" s="12" t="s">
        <v>11</v>
      </c>
      <c r="H52" s="13" t="s">
        <v>155</v>
      </c>
      <c r="I52" s="12"/>
      <c r="J52" s="12"/>
      <c r="K52" s="12"/>
      <c r="L52" s="12"/>
      <c r="M52" s="12"/>
      <c r="N52" s="14" t="s">
        <v>156</v>
      </c>
    </row>
    <row r="53" spans="2:14" x14ac:dyDescent="0.25">
      <c r="B53" s="9">
        <v>44</v>
      </c>
      <c r="C53" s="10" t="s">
        <v>22</v>
      </c>
      <c r="D53" s="11"/>
      <c r="E53" s="11"/>
      <c r="F53" s="11" t="s">
        <v>157</v>
      </c>
      <c r="G53" s="12" t="s">
        <v>158</v>
      </c>
      <c r="H53" s="13" t="s">
        <v>159</v>
      </c>
      <c r="I53" s="12"/>
      <c r="J53" s="12"/>
      <c r="K53" s="12"/>
      <c r="L53" s="12"/>
      <c r="M53" s="12"/>
      <c r="N53" s="14" t="s">
        <v>160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161</v>
      </c>
      <c r="H54" s="13" t="s">
        <v>162</v>
      </c>
      <c r="I54" s="12"/>
      <c r="J54" s="12"/>
      <c r="K54" s="12"/>
      <c r="L54" s="12"/>
      <c r="M54" s="12"/>
      <c r="N54" s="14" t="s">
        <v>38</v>
      </c>
    </row>
    <row r="55" spans="2:14" x14ac:dyDescent="0.25">
      <c r="B55" s="9">
        <v>46</v>
      </c>
      <c r="C55" s="10" t="s">
        <v>22</v>
      </c>
      <c r="D55" s="11"/>
      <c r="E55" s="11" t="s">
        <v>163</v>
      </c>
      <c r="F55" s="12" t="s">
        <v>164</v>
      </c>
      <c r="G55" s="12" t="s">
        <v>11</v>
      </c>
      <c r="H55" s="13" t="s">
        <v>165</v>
      </c>
      <c r="I55" s="12"/>
      <c r="J55" s="12"/>
      <c r="K55" s="12"/>
      <c r="L55" s="12"/>
      <c r="M55" s="12"/>
      <c r="N55" s="14" t="s">
        <v>166</v>
      </c>
    </row>
    <row r="56" spans="2:14" x14ac:dyDescent="0.25">
      <c r="B56" s="9">
        <v>47</v>
      </c>
      <c r="C56" s="10" t="s">
        <v>22</v>
      </c>
      <c r="D56" s="11"/>
      <c r="E56" s="11"/>
      <c r="F56" s="12" t="s">
        <v>167</v>
      </c>
      <c r="G56" s="12" t="s">
        <v>11</v>
      </c>
      <c r="H56" s="13" t="s">
        <v>168</v>
      </c>
      <c r="I56" s="12"/>
      <c r="J56" s="12"/>
      <c r="K56" s="12"/>
      <c r="L56" s="12"/>
      <c r="M56" s="12"/>
      <c r="N56" s="14" t="s">
        <v>166</v>
      </c>
    </row>
    <row r="57" spans="2:14" x14ac:dyDescent="0.25">
      <c r="B57" s="9">
        <v>48</v>
      </c>
      <c r="C57" s="10" t="s">
        <v>22</v>
      </c>
      <c r="D57" s="11" t="s">
        <v>169</v>
      </c>
      <c r="E57" s="12" t="s">
        <v>170</v>
      </c>
      <c r="F57" s="12" t="s">
        <v>171</v>
      </c>
      <c r="G57" s="12" t="s">
        <v>11</v>
      </c>
      <c r="H57" s="13" t="s">
        <v>172</v>
      </c>
      <c r="I57" s="12"/>
      <c r="J57" s="12"/>
      <c r="K57" s="12"/>
      <c r="L57" s="12"/>
      <c r="M57" s="12"/>
      <c r="N57" s="14" t="s">
        <v>153</v>
      </c>
    </row>
    <row r="58" spans="2:14" x14ac:dyDescent="0.25">
      <c r="B58" s="9">
        <v>49</v>
      </c>
      <c r="C58" s="10" t="s">
        <v>22</v>
      </c>
      <c r="D58" s="11"/>
      <c r="E58" s="11" t="s">
        <v>173</v>
      </c>
      <c r="F58" s="11" t="s">
        <v>174</v>
      </c>
      <c r="G58" s="12" t="s">
        <v>175</v>
      </c>
      <c r="H58" s="13" t="s">
        <v>176</v>
      </c>
      <c r="I58" s="12"/>
      <c r="J58" s="12"/>
      <c r="K58" s="12"/>
      <c r="L58" s="12"/>
      <c r="M58" s="12"/>
      <c r="N58" s="14" t="s">
        <v>177</v>
      </c>
    </row>
    <row r="59" spans="2:14" x14ac:dyDescent="0.25">
      <c r="B59" s="9">
        <v>50</v>
      </c>
      <c r="C59" s="16" t="s">
        <v>39</v>
      </c>
      <c r="D59" s="11"/>
      <c r="E59" s="11"/>
      <c r="F59" s="11"/>
      <c r="G59" s="12" t="s">
        <v>178</v>
      </c>
      <c r="H59" s="13" t="s">
        <v>179</v>
      </c>
      <c r="I59" s="12"/>
      <c r="J59" s="12"/>
      <c r="K59" s="12"/>
      <c r="L59" s="12"/>
      <c r="M59" s="12"/>
      <c r="N59" s="14" t="s">
        <v>180</v>
      </c>
    </row>
    <row r="60" spans="2:14" x14ac:dyDescent="0.25">
      <c r="B60" s="9">
        <v>51</v>
      </c>
      <c r="C60" s="16" t="s">
        <v>39</v>
      </c>
      <c r="D60" s="11"/>
      <c r="E60" s="11"/>
      <c r="F60" s="11"/>
      <c r="G60" s="12" t="s">
        <v>181</v>
      </c>
      <c r="H60" s="13" t="s">
        <v>182</v>
      </c>
      <c r="I60" s="12"/>
      <c r="J60" s="12"/>
      <c r="K60" s="12"/>
      <c r="L60" s="12"/>
      <c r="M60" s="12"/>
      <c r="N60" s="14" t="s">
        <v>148</v>
      </c>
    </row>
    <row r="61" spans="2:14" x14ac:dyDescent="0.25">
      <c r="B61" s="9">
        <v>52</v>
      </c>
      <c r="C61" s="10" t="s">
        <v>22</v>
      </c>
      <c r="D61" s="11"/>
      <c r="E61" s="11"/>
      <c r="F61" s="11" t="s">
        <v>183</v>
      </c>
      <c r="G61" s="12" t="s">
        <v>184</v>
      </c>
      <c r="H61" s="13" t="s">
        <v>185</v>
      </c>
      <c r="I61" s="12"/>
      <c r="J61" s="12"/>
      <c r="K61" s="12"/>
      <c r="L61" s="12"/>
      <c r="M61" s="12"/>
      <c r="N61" s="14" t="s">
        <v>177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186</v>
      </c>
      <c r="H62" s="13" t="s">
        <v>187</v>
      </c>
      <c r="I62" s="12"/>
      <c r="J62" s="12"/>
      <c r="K62" s="12"/>
      <c r="L62" s="12"/>
      <c r="M62" s="12"/>
      <c r="N62" s="14" t="s">
        <v>177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188</v>
      </c>
      <c r="H63" s="13" t="s">
        <v>189</v>
      </c>
      <c r="I63" s="12"/>
      <c r="J63" s="12"/>
      <c r="K63" s="12"/>
      <c r="L63" s="12"/>
      <c r="M63" s="12"/>
      <c r="N63" s="14" t="s">
        <v>177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190</v>
      </c>
      <c r="G64" s="12" t="s">
        <v>191</v>
      </c>
      <c r="H64" s="13" t="s">
        <v>192</v>
      </c>
      <c r="I64" s="12"/>
      <c r="J64" s="12"/>
      <c r="K64" s="12"/>
      <c r="L64" s="12"/>
      <c r="M64" s="12"/>
      <c r="N64" s="14" t="s">
        <v>177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193</v>
      </c>
      <c r="G65" s="12" t="s">
        <v>194</v>
      </c>
      <c r="H65" s="13" t="s">
        <v>195</v>
      </c>
      <c r="I65" s="12"/>
      <c r="J65" s="12"/>
      <c r="K65" s="12"/>
      <c r="L65" s="12"/>
      <c r="M65" s="12"/>
      <c r="N65" s="14" t="s">
        <v>177</v>
      </c>
    </row>
    <row r="66" spans="2:14" x14ac:dyDescent="0.25">
      <c r="B66" s="9">
        <v>57</v>
      </c>
      <c r="C66" s="16" t="s">
        <v>39</v>
      </c>
      <c r="D66" s="11"/>
      <c r="E66" s="11"/>
      <c r="F66" s="12" t="s">
        <v>196</v>
      </c>
      <c r="G66" s="12" t="s">
        <v>11</v>
      </c>
      <c r="H66" s="13" t="s">
        <v>197</v>
      </c>
      <c r="I66" s="12"/>
      <c r="J66" s="12"/>
      <c r="K66" s="12"/>
      <c r="L66" s="12"/>
      <c r="M66" s="12"/>
      <c r="N66" s="14" t="s">
        <v>148</v>
      </c>
    </row>
    <row r="67" spans="2:14" x14ac:dyDescent="0.25">
      <c r="B67" s="9">
        <v>58</v>
      </c>
      <c r="C67" s="15" t="s">
        <v>30</v>
      </c>
      <c r="D67" s="11"/>
      <c r="E67" s="11" t="s">
        <v>198</v>
      </c>
      <c r="F67" s="12" t="s">
        <v>199</v>
      </c>
      <c r="G67" s="12" t="s">
        <v>11</v>
      </c>
      <c r="H67" s="13" t="s">
        <v>200</v>
      </c>
      <c r="I67" s="12"/>
      <c r="J67" s="12"/>
      <c r="K67" s="12"/>
      <c r="L67" s="12"/>
      <c r="M67" s="12"/>
      <c r="N67" s="14" t="s">
        <v>180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201</v>
      </c>
      <c r="G68" s="12" t="s">
        <v>202</v>
      </c>
      <c r="H68" s="13" t="s">
        <v>203</v>
      </c>
      <c r="I68" s="12"/>
      <c r="J68" s="12"/>
      <c r="K68" s="12"/>
      <c r="L68" s="12"/>
      <c r="M68" s="12"/>
      <c r="N68" s="14" t="s">
        <v>204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205</v>
      </c>
      <c r="H69" s="13" t="s">
        <v>206</v>
      </c>
      <c r="I69" s="12"/>
      <c r="J69" s="12"/>
      <c r="K69" s="12"/>
      <c r="L69" s="12"/>
      <c r="M69" s="12"/>
      <c r="N69" s="14" t="s">
        <v>207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11</v>
      </c>
      <c r="H70" s="13" t="s">
        <v>208</v>
      </c>
      <c r="I70" s="12"/>
      <c r="J70" s="12"/>
      <c r="K70" s="12"/>
      <c r="L70" s="12"/>
      <c r="M70" s="12"/>
      <c r="N70" s="14" t="s">
        <v>180</v>
      </c>
    </row>
    <row r="71" spans="2:14" x14ac:dyDescent="0.25">
      <c r="B71" s="9">
        <v>62</v>
      </c>
      <c r="C71" s="10" t="s">
        <v>22</v>
      </c>
      <c r="D71" s="11"/>
      <c r="E71" s="11"/>
      <c r="F71" s="11" t="s">
        <v>209</v>
      </c>
      <c r="G71" s="12" t="s">
        <v>202</v>
      </c>
      <c r="H71" s="13" t="s">
        <v>210</v>
      </c>
      <c r="I71" s="12"/>
      <c r="J71" s="12"/>
      <c r="K71" s="12"/>
      <c r="L71" s="12"/>
      <c r="M71" s="12"/>
      <c r="N71" s="14" t="s">
        <v>204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205</v>
      </c>
      <c r="H72" s="13" t="s">
        <v>211</v>
      </c>
      <c r="I72" s="12"/>
      <c r="J72" s="12"/>
      <c r="K72" s="12"/>
      <c r="L72" s="12"/>
      <c r="M72" s="12"/>
      <c r="N72" s="14" t="s">
        <v>180</v>
      </c>
    </row>
    <row r="73" spans="2:14" x14ac:dyDescent="0.25">
      <c r="B73" s="9">
        <v>64</v>
      </c>
      <c r="C73" s="15" t="s">
        <v>30</v>
      </c>
      <c r="D73" s="11" t="s">
        <v>212</v>
      </c>
      <c r="E73" s="11" t="s">
        <v>213</v>
      </c>
      <c r="F73" s="12" t="s">
        <v>214</v>
      </c>
      <c r="G73" s="12" t="s">
        <v>11</v>
      </c>
      <c r="H73" s="13" t="s">
        <v>215</v>
      </c>
      <c r="I73" s="12"/>
      <c r="J73" s="12"/>
      <c r="K73" s="12"/>
      <c r="L73" s="12"/>
      <c r="M73" s="12"/>
      <c r="N73" s="14" t="s">
        <v>216</v>
      </c>
    </row>
    <row r="74" spans="2:14" x14ac:dyDescent="0.25">
      <c r="B74" s="9">
        <v>65</v>
      </c>
      <c r="C74" s="10" t="s">
        <v>22</v>
      </c>
      <c r="D74" s="11"/>
      <c r="E74" s="11"/>
      <c r="F74" s="12" t="s">
        <v>217</v>
      </c>
      <c r="G74" s="12" t="s">
        <v>11</v>
      </c>
      <c r="H74" s="13" t="s">
        <v>218</v>
      </c>
      <c r="I74" s="12"/>
      <c r="J74" s="12"/>
      <c r="K74" s="12"/>
      <c r="L74" s="12"/>
      <c r="M74" s="12"/>
      <c r="N74" s="14" t="s">
        <v>216</v>
      </c>
    </row>
    <row r="75" spans="2:14" x14ac:dyDescent="0.25">
      <c r="B75" s="9">
        <v>66</v>
      </c>
      <c r="C75" s="10" t="s">
        <v>22</v>
      </c>
      <c r="D75" s="11"/>
      <c r="E75" s="11" t="s">
        <v>219</v>
      </c>
      <c r="F75" s="12" t="s">
        <v>214</v>
      </c>
      <c r="G75" s="12" t="s">
        <v>11</v>
      </c>
      <c r="H75" s="13" t="s">
        <v>220</v>
      </c>
      <c r="I75" s="12"/>
      <c r="J75" s="12"/>
      <c r="K75" s="12"/>
      <c r="L75" s="12"/>
      <c r="M75" s="12"/>
      <c r="N75" s="14" t="s">
        <v>216</v>
      </c>
    </row>
    <row r="76" spans="2:14" x14ac:dyDescent="0.25">
      <c r="B76" s="9">
        <v>67</v>
      </c>
      <c r="C76" s="10" t="s">
        <v>22</v>
      </c>
      <c r="D76" s="11"/>
      <c r="E76" s="11"/>
      <c r="F76" s="12" t="s">
        <v>221</v>
      </c>
      <c r="G76" s="12" t="s">
        <v>11</v>
      </c>
      <c r="H76" s="13" t="s">
        <v>222</v>
      </c>
      <c r="I76" s="12"/>
      <c r="J76" s="12"/>
      <c r="K76" s="12"/>
      <c r="L76" s="12"/>
      <c r="M76" s="12"/>
      <c r="N76" s="14" t="s">
        <v>216</v>
      </c>
    </row>
    <row r="77" spans="2:14" x14ac:dyDescent="0.25">
      <c r="B77" s="9">
        <v>68</v>
      </c>
      <c r="C77" s="10" t="s">
        <v>22</v>
      </c>
      <c r="D77" s="11"/>
      <c r="E77" s="11" t="s">
        <v>223</v>
      </c>
      <c r="F77" s="12" t="s">
        <v>224</v>
      </c>
      <c r="G77" s="12" t="s">
        <v>11</v>
      </c>
      <c r="H77" s="13" t="s">
        <v>225</v>
      </c>
      <c r="I77" s="12"/>
      <c r="J77" s="12"/>
      <c r="K77" s="12"/>
      <c r="L77" s="12"/>
      <c r="M77" s="12"/>
      <c r="N77" s="14" t="s">
        <v>226</v>
      </c>
    </row>
    <row r="78" spans="2:14" x14ac:dyDescent="0.25">
      <c r="B78" s="9">
        <v>69</v>
      </c>
      <c r="C78" s="10" t="s">
        <v>22</v>
      </c>
      <c r="D78" s="11"/>
      <c r="E78" s="11"/>
      <c r="F78" s="12" t="s">
        <v>227</v>
      </c>
      <c r="G78" s="12" t="s">
        <v>11</v>
      </c>
      <c r="H78" s="13" t="s">
        <v>228</v>
      </c>
      <c r="I78" s="12"/>
      <c r="J78" s="12"/>
      <c r="K78" s="12"/>
      <c r="L78" s="12"/>
      <c r="M78" s="12"/>
      <c r="N78" s="14" t="s">
        <v>226</v>
      </c>
    </row>
    <row r="79" spans="2:14" x14ac:dyDescent="0.25">
      <c r="B79" s="9">
        <v>70</v>
      </c>
      <c r="C79" s="16" t="s">
        <v>39</v>
      </c>
      <c r="D79" s="11"/>
      <c r="E79" s="12" t="s">
        <v>213</v>
      </c>
      <c r="F79" s="12" t="s">
        <v>214</v>
      </c>
      <c r="G79" s="12" t="s">
        <v>11</v>
      </c>
      <c r="H79" s="13" t="s">
        <v>229</v>
      </c>
      <c r="I79" s="12"/>
      <c r="J79" s="12"/>
      <c r="K79" s="12"/>
      <c r="L79" s="12"/>
      <c r="M79" s="12"/>
      <c r="N79" s="14" t="s">
        <v>230</v>
      </c>
    </row>
    <row r="80" spans="2:14" x14ac:dyDescent="0.25">
      <c r="B80" s="9">
        <v>71</v>
      </c>
      <c r="C80" s="16" t="s">
        <v>39</v>
      </c>
      <c r="D80" s="11" t="s">
        <v>231</v>
      </c>
      <c r="E80" s="11" t="s">
        <v>232</v>
      </c>
      <c r="F80" s="12" t="s">
        <v>233</v>
      </c>
      <c r="G80" s="12" t="s">
        <v>11</v>
      </c>
      <c r="H80" s="13" t="s">
        <v>234</v>
      </c>
      <c r="I80" s="12"/>
      <c r="J80" s="12"/>
      <c r="K80" s="12"/>
      <c r="L80" s="12"/>
      <c r="M80" s="12"/>
      <c r="N80" s="14" t="s">
        <v>235</v>
      </c>
    </row>
    <row r="81" spans="2:14" x14ac:dyDescent="0.25">
      <c r="B81" s="9">
        <v>72</v>
      </c>
      <c r="C81" s="16" t="s">
        <v>39</v>
      </c>
      <c r="D81" s="11"/>
      <c r="E81" s="11"/>
      <c r="F81" s="12" t="s">
        <v>236</v>
      </c>
      <c r="G81" s="12" t="s">
        <v>11</v>
      </c>
      <c r="H81" s="13" t="s">
        <v>237</v>
      </c>
      <c r="I81" s="12"/>
      <c r="J81" s="12"/>
      <c r="K81" s="12"/>
      <c r="L81" s="12"/>
      <c r="M81" s="12"/>
      <c r="N81" s="14" t="s">
        <v>235</v>
      </c>
    </row>
    <row r="82" spans="2:14" x14ac:dyDescent="0.25">
      <c r="B82" s="9">
        <v>73</v>
      </c>
      <c r="C82" s="15" t="s">
        <v>30</v>
      </c>
      <c r="D82" s="11"/>
      <c r="E82" s="11" t="s">
        <v>238</v>
      </c>
      <c r="F82" s="12" t="s">
        <v>239</v>
      </c>
      <c r="G82" s="12" t="s">
        <v>11</v>
      </c>
      <c r="H82" s="13" t="s">
        <v>240</v>
      </c>
      <c r="I82" s="12"/>
      <c r="J82" s="12"/>
      <c r="K82" s="12"/>
      <c r="L82" s="12"/>
      <c r="M82" s="12"/>
      <c r="N82" s="14" t="s">
        <v>241</v>
      </c>
    </row>
    <row r="83" spans="2:14" x14ac:dyDescent="0.25">
      <c r="B83" s="9">
        <v>74</v>
      </c>
      <c r="C83" s="10" t="s">
        <v>22</v>
      </c>
      <c r="D83" s="11"/>
      <c r="E83" s="11"/>
      <c r="F83" s="11" t="s">
        <v>242</v>
      </c>
      <c r="G83" s="12" t="s">
        <v>243</v>
      </c>
      <c r="H83" s="13" t="s">
        <v>244</v>
      </c>
      <c r="I83" s="12"/>
      <c r="J83" s="12"/>
      <c r="K83" s="12"/>
      <c r="L83" s="12"/>
      <c r="M83" s="12"/>
      <c r="N83" s="14" t="s">
        <v>241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245</v>
      </c>
      <c r="H84" s="13" t="s">
        <v>246</v>
      </c>
      <c r="I84" s="12"/>
      <c r="J84" s="12"/>
      <c r="K84" s="12"/>
      <c r="L84" s="12"/>
      <c r="M84" s="12"/>
      <c r="N84" s="14" t="s">
        <v>241</v>
      </c>
    </row>
    <row r="85" spans="2:14" x14ac:dyDescent="0.25">
      <c r="B85" s="9">
        <v>76</v>
      </c>
      <c r="C85" s="10" t="s">
        <v>22</v>
      </c>
      <c r="D85" s="11"/>
      <c r="E85" s="11"/>
      <c r="F85" s="11" t="s">
        <v>247</v>
      </c>
      <c r="G85" s="12" t="s">
        <v>248</v>
      </c>
      <c r="H85" s="13" t="s">
        <v>249</v>
      </c>
      <c r="I85" s="12"/>
      <c r="J85" s="12"/>
      <c r="K85" s="12"/>
      <c r="L85" s="12"/>
      <c r="M85" s="12"/>
      <c r="N85" s="14" t="s">
        <v>241</v>
      </c>
    </row>
    <row r="86" spans="2:14" x14ac:dyDescent="0.25">
      <c r="B86" s="9">
        <v>77</v>
      </c>
      <c r="C86" s="16" t="s">
        <v>39</v>
      </c>
      <c r="D86" s="11"/>
      <c r="E86" s="11"/>
      <c r="F86" s="11"/>
      <c r="G86" s="12" t="s">
        <v>250</v>
      </c>
      <c r="H86" s="13" t="s">
        <v>251</v>
      </c>
      <c r="I86" s="12"/>
      <c r="J86" s="12"/>
      <c r="K86" s="12"/>
      <c r="L86" s="12"/>
      <c r="M86" s="12"/>
      <c r="N86" s="14" t="s">
        <v>241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252</v>
      </c>
      <c r="G87" s="12" t="s">
        <v>11</v>
      </c>
      <c r="H87" s="13" t="s">
        <v>253</v>
      </c>
      <c r="I87" s="12"/>
      <c r="J87" s="12"/>
      <c r="K87" s="12"/>
      <c r="L87" s="12"/>
      <c r="M87" s="12"/>
      <c r="N87" s="14" t="s">
        <v>241</v>
      </c>
    </row>
    <row r="88" spans="2:14" x14ac:dyDescent="0.25">
      <c r="B88" s="9">
        <v>79</v>
      </c>
      <c r="C88" s="10" t="s">
        <v>22</v>
      </c>
      <c r="D88" s="11"/>
      <c r="E88" s="11" t="s">
        <v>254</v>
      </c>
      <c r="F88" s="12" t="s">
        <v>255</v>
      </c>
      <c r="G88" s="12" t="s">
        <v>11</v>
      </c>
      <c r="H88" s="13" t="s">
        <v>256</v>
      </c>
      <c r="I88" s="12"/>
      <c r="J88" s="12"/>
      <c r="K88" s="12"/>
      <c r="L88" s="12"/>
      <c r="M88" s="12"/>
      <c r="N88" s="14" t="s">
        <v>241</v>
      </c>
    </row>
    <row r="89" spans="2:14" x14ac:dyDescent="0.25">
      <c r="B89" s="9">
        <v>80</v>
      </c>
      <c r="C89" s="16" t="s">
        <v>39</v>
      </c>
      <c r="D89" s="11"/>
      <c r="E89" s="11"/>
      <c r="F89" s="12" t="s">
        <v>257</v>
      </c>
      <c r="G89" s="12" t="s">
        <v>11</v>
      </c>
      <c r="H89" s="13" t="s">
        <v>258</v>
      </c>
      <c r="I89" s="12"/>
      <c r="J89" s="12"/>
      <c r="K89" s="12"/>
      <c r="L89" s="12"/>
      <c r="M89" s="12"/>
      <c r="N89" s="14" t="s">
        <v>241</v>
      </c>
    </row>
    <row r="90" spans="2:14" x14ac:dyDescent="0.25">
      <c r="B90" s="9">
        <v>81</v>
      </c>
      <c r="C90" s="16" t="s">
        <v>39</v>
      </c>
      <c r="D90" s="11"/>
      <c r="E90" s="11"/>
      <c r="F90" s="12" t="s">
        <v>259</v>
      </c>
      <c r="G90" s="12" t="s">
        <v>11</v>
      </c>
      <c r="H90" s="13" t="s">
        <v>260</v>
      </c>
      <c r="I90" s="12"/>
      <c r="J90" s="12"/>
      <c r="K90" s="12"/>
      <c r="L90" s="12"/>
      <c r="M90" s="12"/>
      <c r="N90" s="14" t="s">
        <v>241</v>
      </c>
    </row>
    <row r="91" spans="2:14" x14ac:dyDescent="0.25">
      <c r="B91" s="9">
        <v>82</v>
      </c>
      <c r="C91" s="16" t="s">
        <v>39</v>
      </c>
      <c r="D91" s="11"/>
      <c r="E91" s="11" t="s">
        <v>261</v>
      </c>
      <c r="F91" s="12" t="s">
        <v>262</v>
      </c>
      <c r="G91" s="12" t="s">
        <v>11</v>
      </c>
      <c r="H91" s="13" t="s">
        <v>263</v>
      </c>
      <c r="I91" s="12"/>
      <c r="J91" s="12"/>
      <c r="K91" s="12"/>
      <c r="L91" s="12"/>
      <c r="M91" s="12"/>
      <c r="N91" s="14" t="s">
        <v>235</v>
      </c>
    </row>
    <row r="92" spans="2:14" x14ac:dyDescent="0.25">
      <c r="B92" s="9">
        <v>83</v>
      </c>
      <c r="C92" s="16" t="s">
        <v>39</v>
      </c>
      <c r="D92" s="11"/>
      <c r="E92" s="11"/>
      <c r="F92" s="12" t="s">
        <v>264</v>
      </c>
      <c r="G92" s="12" t="s">
        <v>11</v>
      </c>
      <c r="H92" s="13" t="s">
        <v>265</v>
      </c>
      <c r="I92" s="12"/>
      <c r="J92" s="12"/>
      <c r="K92" s="12"/>
      <c r="L92" s="12"/>
      <c r="M92" s="12"/>
      <c r="N92" s="14" t="s">
        <v>235</v>
      </c>
    </row>
    <row r="93" spans="2:14" x14ac:dyDescent="0.25">
      <c r="B93" s="9">
        <v>84</v>
      </c>
      <c r="C93" s="10" t="s">
        <v>22</v>
      </c>
      <c r="D93" s="11" t="s">
        <v>266</v>
      </c>
      <c r="E93" s="12" t="s">
        <v>267</v>
      </c>
      <c r="F93" s="12" t="s">
        <v>268</v>
      </c>
      <c r="G93" s="12" t="s">
        <v>11</v>
      </c>
      <c r="H93" s="13" t="s">
        <v>269</v>
      </c>
      <c r="I93" s="12"/>
      <c r="J93" s="12"/>
      <c r="K93" s="12"/>
      <c r="L93" s="12"/>
      <c r="M93" s="12"/>
      <c r="N93" s="14" t="s">
        <v>270</v>
      </c>
    </row>
    <row r="94" spans="2:14" x14ac:dyDescent="0.25">
      <c r="B94" s="9">
        <v>85</v>
      </c>
      <c r="C94" s="10" t="s">
        <v>22</v>
      </c>
      <c r="D94" s="11"/>
      <c r="E94" s="11" t="s">
        <v>271</v>
      </c>
      <c r="F94" s="12" t="s">
        <v>272</v>
      </c>
      <c r="G94" s="12" t="s">
        <v>273</v>
      </c>
      <c r="H94" s="13" t="s">
        <v>274</v>
      </c>
      <c r="I94" s="12"/>
      <c r="J94" s="12"/>
      <c r="K94" s="12"/>
      <c r="L94" s="12"/>
      <c r="M94" s="12"/>
      <c r="N94" s="14" t="s">
        <v>270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275</v>
      </c>
      <c r="G95" s="12" t="s">
        <v>11</v>
      </c>
      <c r="H95" s="13" t="s">
        <v>276</v>
      </c>
      <c r="I95" s="12"/>
      <c r="J95" s="12"/>
      <c r="K95" s="12"/>
      <c r="L95" s="12"/>
      <c r="M95" s="12"/>
      <c r="N95" s="14" t="s">
        <v>270</v>
      </c>
    </row>
    <row r="96" spans="2:14" x14ac:dyDescent="0.25">
      <c r="B96" s="9">
        <v>87</v>
      </c>
      <c r="C96" s="15" t="s">
        <v>30</v>
      </c>
      <c r="D96" s="11"/>
      <c r="E96" s="11"/>
      <c r="F96" s="12" t="s">
        <v>277</v>
      </c>
      <c r="G96" s="12" t="s">
        <v>11</v>
      </c>
      <c r="H96" s="13" t="s">
        <v>278</v>
      </c>
      <c r="I96" s="12"/>
      <c r="J96" s="12"/>
      <c r="K96" s="12"/>
      <c r="L96" s="12"/>
      <c r="M96" s="12"/>
      <c r="N96" s="14" t="s">
        <v>270</v>
      </c>
    </row>
    <row r="97" spans="2:14" x14ac:dyDescent="0.25">
      <c r="B97" s="9">
        <v>88</v>
      </c>
      <c r="C97" s="10" t="s">
        <v>22</v>
      </c>
      <c r="D97" s="11"/>
      <c r="E97" s="11" t="s">
        <v>279</v>
      </c>
      <c r="F97" s="12" t="s">
        <v>280</v>
      </c>
      <c r="G97" s="12" t="s">
        <v>11</v>
      </c>
      <c r="H97" s="13" t="s">
        <v>281</v>
      </c>
      <c r="I97" s="12"/>
      <c r="J97" s="12"/>
      <c r="K97" s="12"/>
      <c r="L97" s="12"/>
      <c r="M97" s="12"/>
      <c r="N97" s="14" t="s">
        <v>270</v>
      </c>
    </row>
    <row r="98" spans="2:14" x14ac:dyDescent="0.25">
      <c r="B98" s="9">
        <v>89</v>
      </c>
      <c r="C98" s="10" t="s">
        <v>22</v>
      </c>
      <c r="D98" s="11"/>
      <c r="E98" s="11"/>
      <c r="F98" s="12" t="s">
        <v>282</v>
      </c>
      <c r="G98" s="12" t="s">
        <v>11</v>
      </c>
      <c r="H98" s="13" t="s">
        <v>283</v>
      </c>
      <c r="I98" s="12"/>
      <c r="J98" s="12"/>
      <c r="K98" s="12"/>
      <c r="L98" s="12"/>
      <c r="M98" s="12"/>
      <c r="N98" s="14" t="s">
        <v>270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284</v>
      </c>
      <c r="G99" s="12" t="s">
        <v>11</v>
      </c>
      <c r="H99" s="13" t="s">
        <v>285</v>
      </c>
      <c r="I99" s="12"/>
      <c r="J99" s="12"/>
      <c r="K99" s="12"/>
      <c r="L99" s="12"/>
      <c r="M99" s="12"/>
      <c r="N99" s="14" t="s">
        <v>270</v>
      </c>
    </row>
    <row r="100" spans="2:14" x14ac:dyDescent="0.25">
      <c r="B100" s="9">
        <v>91</v>
      </c>
      <c r="C100" s="10" t="s">
        <v>22</v>
      </c>
      <c r="D100" s="11"/>
      <c r="E100" s="11"/>
      <c r="F100" s="12" t="s">
        <v>286</v>
      </c>
      <c r="G100" s="12" t="s">
        <v>11</v>
      </c>
      <c r="H100" s="13" t="s">
        <v>287</v>
      </c>
      <c r="I100" s="12"/>
      <c r="J100" s="12"/>
      <c r="K100" s="12"/>
      <c r="L100" s="12"/>
      <c r="M100" s="12"/>
      <c r="N100" s="14" t="s">
        <v>270</v>
      </c>
    </row>
    <row r="101" spans="2:14" x14ac:dyDescent="0.25">
      <c r="B101" s="9">
        <v>92</v>
      </c>
      <c r="C101" s="15" t="s">
        <v>30</v>
      </c>
      <c r="D101" s="11"/>
      <c r="E101" s="12" t="s">
        <v>288</v>
      </c>
      <c r="F101" s="12" t="s">
        <v>289</v>
      </c>
      <c r="G101" s="12" t="s">
        <v>11</v>
      </c>
      <c r="H101" s="13" t="s">
        <v>290</v>
      </c>
      <c r="I101" s="12"/>
      <c r="J101" s="12"/>
      <c r="K101" s="12"/>
      <c r="L101" s="12"/>
      <c r="M101" s="12"/>
      <c r="N101" s="14" t="s">
        <v>291</v>
      </c>
    </row>
    <row r="102" spans="2:14" x14ac:dyDescent="0.25">
      <c r="B102" s="9">
        <v>93</v>
      </c>
      <c r="C102" s="16" t="s">
        <v>39</v>
      </c>
      <c r="D102" s="11"/>
      <c r="E102" s="12" t="s">
        <v>271</v>
      </c>
      <c r="F102" s="12" t="s">
        <v>277</v>
      </c>
      <c r="G102" s="12" t="s">
        <v>11</v>
      </c>
      <c r="H102" s="13" t="s">
        <v>292</v>
      </c>
      <c r="I102" s="12"/>
      <c r="J102" s="12"/>
      <c r="K102" s="12"/>
      <c r="L102" s="12"/>
      <c r="M102" s="12"/>
      <c r="N102" s="14" t="s">
        <v>270</v>
      </c>
    </row>
    <row r="103" spans="2:14" x14ac:dyDescent="0.25">
      <c r="B103" s="9">
        <v>94</v>
      </c>
      <c r="C103" s="16" t="s">
        <v>39</v>
      </c>
      <c r="D103" s="11"/>
      <c r="E103" s="12" t="s">
        <v>279</v>
      </c>
      <c r="F103" s="12" t="s">
        <v>280</v>
      </c>
      <c r="G103" s="12" t="s">
        <v>11</v>
      </c>
      <c r="H103" s="13" t="s">
        <v>293</v>
      </c>
      <c r="I103" s="12"/>
      <c r="J103" s="12"/>
      <c r="K103" s="12"/>
      <c r="L103" s="12"/>
      <c r="M103" s="12"/>
      <c r="N103" s="14" t="s">
        <v>294</v>
      </c>
    </row>
    <row r="104" spans="2:14" x14ac:dyDescent="0.25">
      <c r="B104" s="9">
        <v>95</v>
      </c>
      <c r="C104" s="16" t="s">
        <v>39</v>
      </c>
      <c r="D104" s="11"/>
      <c r="E104" s="12" t="s">
        <v>267</v>
      </c>
      <c r="F104" s="12" t="s">
        <v>268</v>
      </c>
      <c r="G104" s="12" t="s">
        <v>11</v>
      </c>
      <c r="H104" s="13" t="s">
        <v>295</v>
      </c>
      <c r="I104" s="12"/>
      <c r="J104" s="12"/>
      <c r="K104" s="12"/>
      <c r="L104" s="12"/>
      <c r="M104" s="12"/>
      <c r="N104" s="14" t="s">
        <v>294</v>
      </c>
    </row>
    <row r="105" spans="2:14" x14ac:dyDescent="0.25">
      <c r="B105" s="9">
        <v>96</v>
      </c>
      <c r="C105" s="16" t="s">
        <v>39</v>
      </c>
      <c r="D105" s="11" t="s">
        <v>296</v>
      </c>
      <c r="E105" s="12" t="s">
        <v>232</v>
      </c>
      <c r="F105" s="12" t="s">
        <v>233</v>
      </c>
      <c r="G105" s="12" t="s">
        <v>11</v>
      </c>
      <c r="H105" s="13" t="s">
        <v>297</v>
      </c>
      <c r="I105" s="12"/>
      <c r="J105" s="12"/>
      <c r="K105" s="12"/>
      <c r="L105" s="12"/>
      <c r="M105" s="12"/>
      <c r="N105" s="14" t="s">
        <v>298</v>
      </c>
    </row>
    <row r="106" spans="2:14" x14ac:dyDescent="0.25">
      <c r="B106" s="9">
        <v>97</v>
      </c>
      <c r="C106" s="16" t="s">
        <v>39</v>
      </c>
      <c r="D106" s="11"/>
      <c r="E106" s="11" t="s">
        <v>299</v>
      </c>
      <c r="F106" s="12" t="s">
        <v>300</v>
      </c>
      <c r="G106" s="12" t="s">
        <v>11</v>
      </c>
      <c r="H106" s="13" t="s">
        <v>301</v>
      </c>
      <c r="I106" s="12"/>
      <c r="J106" s="12"/>
      <c r="K106" s="12"/>
      <c r="L106" s="12"/>
      <c r="M106" s="12"/>
      <c r="N106" s="14" t="s">
        <v>298</v>
      </c>
    </row>
    <row r="107" spans="2:14" x14ac:dyDescent="0.25">
      <c r="B107" s="9">
        <v>98</v>
      </c>
      <c r="C107" s="16" t="s">
        <v>39</v>
      </c>
      <c r="D107" s="11"/>
      <c r="E107" s="11"/>
      <c r="F107" s="12" t="s">
        <v>302</v>
      </c>
      <c r="G107" s="12" t="s">
        <v>11</v>
      </c>
      <c r="H107" s="13" t="s">
        <v>303</v>
      </c>
      <c r="I107" s="12"/>
      <c r="J107" s="12"/>
      <c r="K107" s="12"/>
      <c r="L107" s="12"/>
      <c r="M107" s="12"/>
      <c r="N107" s="14" t="s">
        <v>298</v>
      </c>
    </row>
    <row r="108" spans="2:14" x14ac:dyDescent="0.25">
      <c r="B108" s="9">
        <v>99</v>
      </c>
      <c r="C108" s="15" t="s">
        <v>30</v>
      </c>
      <c r="D108" s="11"/>
      <c r="E108" s="11" t="s">
        <v>254</v>
      </c>
      <c r="F108" s="12" t="s">
        <v>304</v>
      </c>
      <c r="G108" s="12" t="s">
        <v>11</v>
      </c>
      <c r="H108" s="13" t="s">
        <v>305</v>
      </c>
      <c r="I108" s="12"/>
      <c r="J108" s="12"/>
      <c r="K108" s="12"/>
      <c r="L108" s="12"/>
      <c r="M108" s="12"/>
      <c r="N108" s="14" t="s">
        <v>306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307</v>
      </c>
      <c r="G109" s="12" t="s">
        <v>11</v>
      </c>
      <c r="H109" s="13" t="s">
        <v>308</v>
      </c>
      <c r="I109" s="12"/>
      <c r="J109" s="12"/>
      <c r="K109" s="12"/>
      <c r="L109" s="12"/>
      <c r="M109" s="12"/>
      <c r="N109" s="14" t="s">
        <v>306</v>
      </c>
    </row>
    <row r="110" spans="2:14" x14ac:dyDescent="0.25">
      <c r="B110" s="9">
        <v>101</v>
      </c>
      <c r="C110" s="16" t="s">
        <v>39</v>
      </c>
      <c r="D110" s="11"/>
      <c r="E110" s="12" t="s">
        <v>309</v>
      </c>
      <c r="F110" s="12" t="s">
        <v>310</v>
      </c>
      <c r="G110" s="12" t="s">
        <v>11</v>
      </c>
      <c r="H110" s="13" t="s">
        <v>311</v>
      </c>
      <c r="I110" s="12"/>
      <c r="J110" s="12"/>
      <c r="K110" s="12"/>
      <c r="L110" s="12"/>
      <c r="M110" s="12"/>
      <c r="N110" s="14" t="s">
        <v>306</v>
      </c>
    </row>
    <row r="111" spans="2:14" x14ac:dyDescent="0.25">
      <c r="B111" s="9">
        <v>102</v>
      </c>
      <c r="C111" s="10" t="s">
        <v>22</v>
      </c>
      <c r="D111" s="11" t="s">
        <v>312</v>
      </c>
      <c r="E111" s="12" t="s">
        <v>267</v>
      </c>
      <c r="F111" s="12" t="s">
        <v>11</v>
      </c>
      <c r="G111" s="12" t="s">
        <v>11</v>
      </c>
      <c r="H111" s="13" t="s">
        <v>313</v>
      </c>
      <c r="I111" s="12"/>
      <c r="J111" s="12"/>
      <c r="K111" s="12"/>
      <c r="L111" s="12"/>
      <c r="M111" s="12"/>
      <c r="N111" s="14" t="s">
        <v>314</v>
      </c>
    </row>
    <row r="112" spans="2:14" x14ac:dyDescent="0.25">
      <c r="B112" s="9">
        <v>103</v>
      </c>
      <c r="C112" s="10" t="s">
        <v>22</v>
      </c>
      <c r="D112" s="11"/>
      <c r="E112" s="11" t="s">
        <v>271</v>
      </c>
      <c r="F112" s="12" t="s">
        <v>272</v>
      </c>
      <c r="G112" s="12" t="s">
        <v>11</v>
      </c>
      <c r="H112" s="13" t="s">
        <v>315</v>
      </c>
      <c r="I112" s="12"/>
      <c r="J112" s="12"/>
      <c r="K112" s="12"/>
      <c r="L112" s="12"/>
      <c r="M112" s="12"/>
      <c r="N112" s="14" t="s">
        <v>314</v>
      </c>
    </row>
    <row r="113" spans="2:14" x14ac:dyDescent="0.25">
      <c r="B113" s="9">
        <v>104</v>
      </c>
      <c r="C113" s="10" t="s">
        <v>22</v>
      </c>
      <c r="D113" s="11"/>
      <c r="E113" s="11"/>
      <c r="F113" s="12" t="s">
        <v>275</v>
      </c>
      <c r="G113" s="12" t="s">
        <v>11</v>
      </c>
      <c r="H113" s="13" t="s">
        <v>316</v>
      </c>
      <c r="I113" s="12"/>
      <c r="J113" s="12"/>
      <c r="K113" s="12"/>
      <c r="L113" s="12"/>
      <c r="M113" s="12"/>
      <c r="N113" s="14" t="s">
        <v>314</v>
      </c>
    </row>
    <row r="114" spans="2:14" x14ac:dyDescent="0.25">
      <c r="B114" s="9">
        <v>105</v>
      </c>
      <c r="C114" s="15" t="s">
        <v>30</v>
      </c>
      <c r="D114" s="11"/>
      <c r="E114" s="11"/>
      <c r="F114" s="12" t="s">
        <v>277</v>
      </c>
      <c r="G114" s="12" t="s">
        <v>11</v>
      </c>
      <c r="H114" s="13" t="s">
        <v>317</v>
      </c>
      <c r="I114" s="12"/>
      <c r="J114" s="12"/>
      <c r="K114" s="12"/>
      <c r="L114" s="12"/>
      <c r="M114" s="12"/>
      <c r="N114" s="14" t="s">
        <v>314</v>
      </c>
    </row>
    <row r="115" spans="2:14" x14ac:dyDescent="0.25">
      <c r="B115" s="9">
        <v>106</v>
      </c>
      <c r="C115" s="10" t="s">
        <v>22</v>
      </c>
      <c r="D115" s="11"/>
      <c r="E115" s="11" t="s">
        <v>279</v>
      </c>
      <c r="F115" s="12" t="s">
        <v>280</v>
      </c>
      <c r="G115" s="12" t="s">
        <v>11</v>
      </c>
      <c r="H115" s="13" t="s">
        <v>318</v>
      </c>
      <c r="I115" s="12"/>
      <c r="J115" s="12"/>
      <c r="K115" s="12"/>
      <c r="L115" s="12"/>
      <c r="M115" s="12"/>
      <c r="N115" s="14" t="s">
        <v>314</v>
      </c>
    </row>
    <row r="116" spans="2:14" x14ac:dyDescent="0.25">
      <c r="B116" s="9">
        <v>107</v>
      </c>
      <c r="C116" s="10" t="s">
        <v>22</v>
      </c>
      <c r="D116" s="11"/>
      <c r="E116" s="11"/>
      <c r="F116" s="12" t="s">
        <v>282</v>
      </c>
      <c r="G116" s="12" t="s">
        <v>11</v>
      </c>
      <c r="H116" s="13" t="s">
        <v>319</v>
      </c>
      <c r="I116" s="12"/>
      <c r="J116" s="12"/>
      <c r="K116" s="12"/>
      <c r="L116" s="12"/>
      <c r="M116" s="12"/>
      <c r="N116" s="14" t="s">
        <v>314</v>
      </c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286</v>
      </c>
      <c r="G117" s="12" t="s">
        <v>11</v>
      </c>
      <c r="H117" s="13" t="s">
        <v>320</v>
      </c>
      <c r="I117" s="12"/>
      <c r="J117" s="12"/>
      <c r="K117" s="12"/>
      <c r="L117" s="12"/>
      <c r="M117" s="12"/>
      <c r="N117" s="14" t="s">
        <v>314</v>
      </c>
    </row>
    <row r="118" spans="2:14" x14ac:dyDescent="0.25">
      <c r="B118" s="9">
        <v>109</v>
      </c>
      <c r="C118" s="10" t="s">
        <v>22</v>
      </c>
      <c r="D118" s="11"/>
      <c r="E118" s="11" t="s">
        <v>288</v>
      </c>
      <c r="F118" s="11" t="s">
        <v>321</v>
      </c>
      <c r="G118" s="12" t="s">
        <v>322</v>
      </c>
      <c r="H118" s="13" t="s">
        <v>323</v>
      </c>
      <c r="I118" s="12"/>
      <c r="J118" s="12"/>
      <c r="K118" s="12"/>
      <c r="L118" s="12"/>
      <c r="M118" s="12"/>
      <c r="N118" s="14" t="s">
        <v>314</v>
      </c>
    </row>
    <row r="119" spans="2:14" x14ac:dyDescent="0.25">
      <c r="B119" s="9">
        <v>110</v>
      </c>
      <c r="C119" s="16" t="s">
        <v>39</v>
      </c>
      <c r="D119" s="11"/>
      <c r="E119" s="11"/>
      <c r="F119" s="11"/>
      <c r="G119" s="12" t="s">
        <v>324</v>
      </c>
      <c r="H119" s="13" t="s">
        <v>325</v>
      </c>
      <c r="I119" s="12"/>
      <c r="J119" s="12"/>
      <c r="K119" s="12"/>
      <c r="L119" s="12"/>
      <c r="M119" s="12"/>
      <c r="N119" s="14" t="s">
        <v>314</v>
      </c>
    </row>
    <row r="120" spans="2:14" x14ac:dyDescent="0.25">
      <c r="B120" s="9">
        <v>111</v>
      </c>
      <c r="C120" s="16" t="s">
        <v>39</v>
      </c>
      <c r="D120" s="11"/>
      <c r="E120" s="12" t="s">
        <v>271</v>
      </c>
      <c r="F120" s="12" t="s">
        <v>277</v>
      </c>
      <c r="G120" s="12" t="s">
        <v>11</v>
      </c>
      <c r="H120" s="13" t="s">
        <v>326</v>
      </c>
      <c r="I120" s="12"/>
      <c r="J120" s="12"/>
      <c r="K120" s="12"/>
      <c r="L120" s="12"/>
      <c r="M120" s="12"/>
      <c r="N120" s="14" t="s">
        <v>314</v>
      </c>
    </row>
    <row r="121" spans="2:14" x14ac:dyDescent="0.25">
      <c r="B121" s="9">
        <v>112</v>
      </c>
      <c r="C121" s="16" t="s">
        <v>39</v>
      </c>
      <c r="D121" s="11" t="s">
        <v>327</v>
      </c>
      <c r="E121" s="12" t="s">
        <v>328</v>
      </c>
      <c r="F121" s="12" t="s">
        <v>11</v>
      </c>
      <c r="G121" s="12" t="s">
        <v>11</v>
      </c>
      <c r="H121" s="13" t="s">
        <v>329</v>
      </c>
      <c r="I121" s="12"/>
      <c r="J121" s="12"/>
      <c r="K121" s="12"/>
      <c r="L121" s="12"/>
      <c r="M121" s="12"/>
      <c r="N121" s="14" t="s">
        <v>330</v>
      </c>
    </row>
    <row r="122" spans="2:14" x14ac:dyDescent="0.25">
      <c r="B122" s="9">
        <v>113</v>
      </c>
      <c r="C122" s="16" t="s">
        <v>39</v>
      </c>
      <c r="D122" s="11"/>
      <c r="E122" s="11" t="s">
        <v>331</v>
      </c>
      <c r="F122" s="12" t="s">
        <v>332</v>
      </c>
      <c r="G122" s="12" t="s">
        <v>11</v>
      </c>
      <c r="H122" s="13" t="s">
        <v>333</v>
      </c>
      <c r="I122" s="12"/>
      <c r="J122" s="12"/>
      <c r="K122" s="12"/>
      <c r="L122" s="12"/>
      <c r="M122" s="12"/>
      <c r="N122" s="14" t="s">
        <v>330</v>
      </c>
    </row>
    <row r="123" spans="2:14" x14ac:dyDescent="0.25">
      <c r="B123" s="9">
        <v>114</v>
      </c>
      <c r="C123" s="16" t="s">
        <v>39</v>
      </c>
      <c r="D123" s="11"/>
      <c r="E123" s="11"/>
      <c r="F123" s="12" t="s">
        <v>334</v>
      </c>
      <c r="G123" s="12" t="s">
        <v>11</v>
      </c>
      <c r="H123" s="13" t="s">
        <v>335</v>
      </c>
      <c r="I123" s="12"/>
      <c r="J123" s="12"/>
      <c r="K123" s="12"/>
      <c r="L123" s="12"/>
      <c r="M123" s="12"/>
      <c r="N123" s="14" t="s">
        <v>330</v>
      </c>
    </row>
    <row r="124" spans="2:14" x14ac:dyDescent="0.25">
      <c r="B124" s="9">
        <v>115</v>
      </c>
      <c r="C124" s="10" t="s">
        <v>22</v>
      </c>
      <c r="D124" s="11"/>
      <c r="E124" s="11" t="s">
        <v>336</v>
      </c>
      <c r="F124" s="12" t="s">
        <v>337</v>
      </c>
      <c r="G124" s="12" t="s">
        <v>11</v>
      </c>
      <c r="H124" s="13" t="s">
        <v>338</v>
      </c>
      <c r="I124" s="12"/>
      <c r="J124" s="12"/>
      <c r="K124" s="12"/>
      <c r="L124" s="12"/>
      <c r="M124" s="12"/>
      <c r="N124" s="14" t="s">
        <v>339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340</v>
      </c>
      <c r="G125" s="12" t="s">
        <v>11</v>
      </c>
      <c r="H125" s="13" t="s">
        <v>341</v>
      </c>
      <c r="I125" s="12"/>
      <c r="J125" s="12"/>
      <c r="K125" s="12"/>
      <c r="L125" s="12"/>
      <c r="M125" s="12"/>
      <c r="N125" s="14" t="s">
        <v>339</v>
      </c>
    </row>
    <row r="126" spans="2:14" x14ac:dyDescent="0.25">
      <c r="B126" s="9">
        <v>117</v>
      </c>
      <c r="C126" s="16" t="s">
        <v>39</v>
      </c>
      <c r="D126" s="11"/>
      <c r="E126" s="11" t="s">
        <v>342</v>
      </c>
      <c r="F126" s="12" t="s">
        <v>343</v>
      </c>
      <c r="G126" s="12" t="s">
        <v>11</v>
      </c>
      <c r="H126" s="13" t="s">
        <v>344</v>
      </c>
      <c r="I126" s="12"/>
      <c r="J126" s="12"/>
      <c r="K126" s="12"/>
      <c r="L126" s="12"/>
      <c r="M126" s="12"/>
      <c r="N126" s="14" t="s">
        <v>345</v>
      </c>
    </row>
    <row r="127" spans="2:14" x14ac:dyDescent="0.25">
      <c r="B127" s="9">
        <v>118</v>
      </c>
      <c r="C127" s="10" t="s">
        <v>22</v>
      </c>
      <c r="D127" s="11"/>
      <c r="E127" s="11"/>
      <c r="F127" s="12" t="s">
        <v>346</v>
      </c>
      <c r="G127" s="12" t="s">
        <v>11</v>
      </c>
      <c r="H127" s="13" t="s">
        <v>347</v>
      </c>
      <c r="I127" s="12"/>
      <c r="J127" s="12"/>
      <c r="K127" s="12"/>
      <c r="L127" s="12"/>
      <c r="M127" s="12"/>
      <c r="N127" s="14" t="s">
        <v>345</v>
      </c>
    </row>
    <row r="128" spans="2:14" x14ac:dyDescent="0.25">
      <c r="B128" s="9">
        <v>119</v>
      </c>
      <c r="C128" s="10" t="s">
        <v>22</v>
      </c>
      <c r="D128" s="11" t="s">
        <v>348</v>
      </c>
      <c r="E128" s="11" t="s">
        <v>349</v>
      </c>
      <c r="F128" s="12" t="s">
        <v>350</v>
      </c>
      <c r="G128" s="12" t="s">
        <v>351</v>
      </c>
      <c r="H128" s="13" t="s">
        <v>352</v>
      </c>
      <c r="I128" s="12"/>
      <c r="J128" s="12"/>
      <c r="K128" s="12"/>
      <c r="L128" s="12"/>
      <c r="M128" s="12"/>
      <c r="N128" s="14" t="s">
        <v>353</v>
      </c>
    </row>
    <row r="129" spans="2:14" x14ac:dyDescent="0.25">
      <c r="B129" s="9">
        <v>120</v>
      </c>
      <c r="C129" s="10" t="s">
        <v>22</v>
      </c>
      <c r="D129" s="11"/>
      <c r="E129" s="11"/>
      <c r="F129" s="11" t="s">
        <v>354</v>
      </c>
      <c r="G129" s="12" t="s">
        <v>355</v>
      </c>
      <c r="H129" s="13" t="s">
        <v>356</v>
      </c>
      <c r="I129" s="12"/>
      <c r="J129" s="12"/>
      <c r="K129" s="12"/>
      <c r="L129" s="12"/>
      <c r="M129" s="12"/>
      <c r="N129" s="14" t="s">
        <v>353</v>
      </c>
    </row>
    <row r="130" spans="2:14" x14ac:dyDescent="0.25">
      <c r="B130" s="9">
        <v>121</v>
      </c>
      <c r="C130" s="16" t="s">
        <v>39</v>
      </c>
      <c r="D130" s="11"/>
      <c r="E130" s="11"/>
      <c r="F130" s="11"/>
      <c r="G130" s="12" t="s">
        <v>357</v>
      </c>
      <c r="H130" s="13" t="s">
        <v>358</v>
      </c>
      <c r="I130" s="12"/>
      <c r="J130" s="12"/>
      <c r="K130" s="12"/>
      <c r="L130" s="12"/>
      <c r="M130" s="12"/>
      <c r="N130" s="14" t="s">
        <v>359</v>
      </c>
    </row>
    <row r="131" spans="2:14" x14ac:dyDescent="0.25">
      <c r="B131" s="9">
        <v>122</v>
      </c>
      <c r="C131" s="16" t="s">
        <v>39</v>
      </c>
      <c r="D131" s="11"/>
      <c r="E131" s="11"/>
      <c r="F131" s="11"/>
      <c r="G131" s="12" t="s">
        <v>360</v>
      </c>
      <c r="H131" s="13" t="s">
        <v>361</v>
      </c>
      <c r="I131" s="12"/>
      <c r="J131" s="12"/>
      <c r="K131" s="12"/>
      <c r="L131" s="12"/>
      <c r="M131" s="12"/>
      <c r="N131" s="14" t="s">
        <v>359</v>
      </c>
    </row>
    <row r="132" spans="2:14" x14ac:dyDescent="0.25">
      <c r="B132" s="9">
        <v>123</v>
      </c>
      <c r="C132" s="16" t="s">
        <v>39</v>
      </c>
      <c r="D132" s="11"/>
      <c r="E132" s="11"/>
      <c r="F132" s="11"/>
      <c r="G132" s="12" t="s">
        <v>362</v>
      </c>
      <c r="H132" s="13" t="s">
        <v>363</v>
      </c>
      <c r="I132" s="12"/>
      <c r="J132" s="12"/>
      <c r="K132" s="12"/>
      <c r="L132" s="12"/>
      <c r="M132" s="12"/>
      <c r="N132" s="14" t="s">
        <v>359</v>
      </c>
    </row>
    <row r="133" spans="2:14" x14ac:dyDescent="0.25">
      <c r="B133" s="9">
        <v>124</v>
      </c>
      <c r="C133" s="16" t="s">
        <v>39</v>
      </c>
      <c r="D133" s="11"/>
      <c r="E133" s="11"/>
      <c r="F133" s="11"/>
      <c r="G133" s="12" t="s">
        <v>364</v>
      </c>
      <c r="H133" s="13" t="s">
        <v>365</v>
      </c>
      <c r="I133" s="12"/>
      <c r="J133" s="12"/>
      <c r="K133" s="12"/>
      <c r="L133" s="12"/>
      <c r="M133" s="12"/>
      <c r="N133" s="14" t="s">
        <v>359</v>
      </c>
    </row>
    <row r="134" spans="2:14" x14ac:dyDescent="0.25">
      <c r="B134" s="9">
        <v>125</v>
      </c>
      <c r="C134" s="10" t="s">
        <v>22</v>
      </c>
      <c r="D134" s="11"/>
      <c r="E134" s="11"/>
      <c r="F134" s="11" t="s">
        <v>366</v>
      </c>
      <c r="G134" s="12" t="s">
        <v>367</v>
      </c>
      <c r="H134" s="13" t="s">
        <v>368</v>
      </c>
      <c r="I134" s="12"/>
      <c r="J134" s="12"/>
      <c r="K134" s="12"/>
      <c r="L134" s="12"/>
      <c r="M134" s="12"/>
      <c r="N134" s="14" t="s">
        <v>359</v>
      </c>
    </row>
    <row r="135" spans="2:14" x14ac:dyDescent="0.25">
      <c r="B135" s="9">
        <v>126</v>
      </c>
      <c r="C135" s="10" t="s">
        <v>22</v>
      </c>
      <c r="D135" s="11"/>
      <c r="E135" s="11"/>
      <c r="F135" s="11"/>
      <c r="G135" s="12" t="s">
        <v>369</v>
      </c>
      <c r="H135" s="13" t="s">
        <v>370</v>
      </c>
      <c r="I135" s="12"/>
      <c r="J135" s="12"/>
      <c r="K135" s="12"/>
      <c r="L135" s="12"/>
      <c r="M135" s="12"/>
      <c r="N135" s="14" t="s">
        <v>359</v>
      </c>
    </row>
    <row r="136" spans="2:14" x14ac:dyDescent="0.25">
      <c r="B136" s="9">
        <v>127</v>
      </c>
      <c r="C136" s="15" t="s">
        <v>30</v>
      </c>
      <c r="D136" s="11"/>
      <c r="E136" s="11"/>
      <c r="F136" s="11" t="s">
        <v>371</v>
      </c>
      <c r="G136" s="12" t="s">
        <v>372</v>
      </c>
      <c r="H136" s="13" t="s">
        <v>373</v>
      </c>
      <c r="I136" s="12"/>
      <c r="J136" s="12"/>
      <c r="K136" s="12"/>
      <c r="L136" s="12"/>
      <c r="M136" s="12"/>
      <c r="N136" s="14" t="s">
        <v>353</v>
      </c>
    </row>
    <row r="137" spans="2:14" x14ac:dyDescent="0.25">
      <c r="B137" s="9">
        <v>128</v>
      </c>
      <c r="C137" s="10" t="s">
        <v>22</v>
      </c>
      <c r="D137" s="11"/>
      <c r="E137" s="11"/>
      <c r="F137" s="11"/>
      <c r="G137" s="12" t="s">
        <v>374</v>
      </c>
      <c r="H137" s="13" t="s">
        <v>375</v>
      </c>
      <c r="I137" s="12"/>
      <c r="J137" s="12"/>
      <c r="K137" s="12"/>
      <c r="L137" s="12"/>
      <c r="M137" s="12"/>
      <c r="N137" s="14" t="s">
        <v>353</v>
      </c>
    </row>
    <row r="138" spans="2:14" x14ac:dyDescent="0.25">
      <c r="B138" s="9">
        <v>129</v>
      </c>
      <c r="C138" s="10" t="s">
        <v>22</v>
      </c>
      <c r="D138" s="11"/>
      <c r="E138" s="11"/>
      <c r="F138" s="11" t="s">
        <v>376</v>
      </c>
      <c r="G138" s="12" t="s">
        <v>377</v>
      </c>
      <c r="H138" s="13" t="s">
        <v>378</v>
      </c>
      <c r="I138" s="12"/>
      <c r="J138" s="12"/>
      <c r="K138" s="12"/>
      <c r="L138" s="12"/>
      <c r="M138" s="12"/>
      <c r="N138" s="14" t="s">
        <v>379</v>
      </c>
    </row>
    <row r="139" spans="2:14" x14ac:dyDescent="0.25">
      <c r="B139" s="9">
        <v>130</v>
      </c>
      <c r="C139" s="10" t="s">
        <v>22</v>
      </c>
      <c r="D139" s="11"/>
      <c r="E139" s="11"/>
      <c r="F139" s="11"/>
      <c r="G139" s="12" t="s">
        <v>380</v>
      </c>
      <c r="H139" s="13" t="s">
        <v>381</v>
      </c>
      <c r="I139" s="12"/>
      <c r="J139" s="12"/>
      <c r="K139" s="12"/>
      <c r="L139" s="12"/>
      <c r="M139" s="12"/>
      <c r="N139" s="14" t="s">
        <v>379</v>
      </c>
    </row>
    <row r="140" spans="2:14" x14ac:dyDescent="0.25">
      <c r="B140" s="9">
        <v>131</v>
      </c>
      <c r="C140" s="16" t="s">
        <v>39</v>
      </c>
      <c r="D140" s="11"/>
      <c r="E140" s="11"/>
      <c r="F140" s="12" t="s">
        <v>382</v>
      </c>
      <c r="G140" s="12" t="s">
        <v>383</v>
      </c>
      <c r="H140" s="13" t="s">
        <v>384</v>
      </c>
      <c r="I140" s="12"/>
      <c r="J140" s="12"/>
      <c r="K140" s="12"/>
      <c r="L140" s="12"/>
      <c r="M140" s="12"/>
      <c r="N140" s="14" t="s">
        <v>385</v>
      </c>
    </row>
    <row r="141" spans="2:14" x14ac:dyDescent="0.25">
      <c r="B141" s="9">
        <v>132</v>
      </c>
      <c r="C141" s="10" t="s">
        <v>22</v>
      </c>
      <c r="D141" s="11"/>
      <c r="E141" s="11" t="s">
        <v>386</v>
      </c>
      <c r="F141" s="11" t="s">
        <v>350</v>
      </c>
      <c r="G141" s="12" t="s">
        <v>387</v>
      </c>
      <c r="H141" s="13" t="s">
        <v>388</v>
      </c>
      <c r="I141" s="12"/>
      <c r="J141" s="12"/>
      <c r="K141" s="12"/>
      <c r="L141" s="12"/>
      <c r="M141" s="12"/>
      <c r="N141" s="14" t="s">
        <v>389</v>
      </c>
    </row>
    <row r="142" spans="2:14" x14ac:dyDescent="0.25">
      <c r="B142" s="9">
        <v>133</v>
      </c>
      <c r="C142" s="10" t="s">
        <v>22</v>
      </c>
      <c r="D142" s="11"/>
      <c r="E142" s="11"/>
      <c r="F142" s="11"/>
      <c r="G142" s="12" t="s">
        <v>390</v>
      </c>
      <c r="H142" s="13" t="s">
        <v>391</v>
      </c>
      <c r="I142" s="12"/>
      <c r="J142" s="12"/>
      <c r="K142" s="12"/>
      <c r="L142" s="12"/>
      <c r="M142" s="12"/>
      <c r="N142" s="14" t="s">
        <v>389</v>
      </c>
    </row>
    <row r="143" spans="2:14" x14ac:dyDescent="0.25">
      <c r="B143" s="9">
        <v>134</v>
      </c>
      <c r="C143" s="16" t="s">
        <v>39</v>
      </c>
      <c r="D143" s="11"/>
      <c r="E143" s="11"/>
      <c r="F143" s="11" t="s">
        <v>354</v>
      </c>
      <c r="G143" s="12" t="s">
        <v>392</v>
      </c>
      <c r="H143" s="13" t="s">
        <v>393</v>
      </c>
      <c r="I143" s="12"/>
      <c r="J143" s="12"/>
      <c r="K143" s="12"/>
      <c r="L143" s="12"/>
      <c r="M143" s="12"/>
      <c r="N143" s="14" t="s">
        <v>394</v>
      </c>
    </row>
    <row r="144" spans="2:14" x14ac:dyDescent="0.25">
      <c r="B144" s="9">
        <v>135</v>
      </c>
      <c r="C144" s="16" t="s">
        <v>39</v>
      </c>
      <c r="D144" s="11"/>
      <c r="E144" s="11"/>
      <c r="F144" s="11"/>
      <c r="G144" s="12" t="s">
        <v>395</v>
      </c>
      <c r="H144" s="13" t="s">
        <v>396</v>
      </c>
      <c r="I144" s="12"/>
      <c r="J144" s="12"/>
      <c r="K144" s="12"/>
      <c r="L144" s="12"/>
      <c r="M144" s="12"/>
      <c r="N144" s="14" t="s">
        <v>394</v>
      </c>
    </row>
    <row r="145" spans="2:14" x14ac:dyDescent="0.25">
      <c r="B145" s="9">
        <v>136</v>
      </c>
      <c r="C145" s="16" t="s">
        <v>39</v>
      </c>
      <c r="D145" s="11"/>
      <c r="E145" s="11"/>
      <c r="F145" s="11"/>
      <c r="G145" s="12" t="s">
        <v>397</v>
      </c>
      <c r="H145" s="13" t="s">
        <v>398</v>
      </c>
      <c r="I145" s="12"/>
      <c r="J145" s="12"/>
      <c r="K145" s="12"/>
      <c r="L145" s="12"/>
      <c r="M145" s="12"/>
      <c r="N145" s="14" t="s">
        <v>394</v>
      </c>
    </row>
    <row r="146" spans="2:14" x14ac:dyDescent="0.25">
      <c r="B146" s="9">
        <v>137</v>
      </c>
      <c r="C146" s="16" t="s">
        <v>39</v>
      </c>
      <c r="D146" s="11"/>
      <c r="E146" s="11"/>
      <c r="F146" s="11"/>
      <c r="G146" s="12" t="s">
        <v>399</v>
      </c>
      <c r="H146" s="13" t="s">
        <v>400</v>
      </c>
      <c r="I146" s="12"/>
      <c r="J146" s="12"/>
      <c r="K146" s="12"/>
      <c r="L146" s="12"/>
      <c r="M146" s="12"/>
      <c r="N146" s="14" t="s">
        <v>394</v>
      </c>
    </row>
    <row r="147" spans="2:14" x14ac:dyDescent="0.25">
      <c r="B147" s="9">
        <v>138</v>
      </c>
      <c r="C147" s="10" t="s">
        <v>22</v>
      </c>
      <c r="D147" s="11"/>
      <c r="E147" s="11"/>
      <c r="F147" s="12" t="s">
        <v>401</v>
      </c>
      <c r="G147" s="12" t="s">
        <v>402</v>
      </c>
      <c r="H147" s="13" t="s">
        <v>403</v>
      </c>
      <c r="I147" s="12"/>
      <c r="J147" s="12"/>
      <c r="K147" s="12"/>
      <c r="L147" s="12"/>
      <c r="M147" s="12"/>
      <c r="N147" s="14" t="s">
        <v>353</v>
      </c>
    </row>
    <row r="148" spans="2:14" x14ac:dyDescent="0.25">
      <c r="B148" s="9">
        <v>139</v>
      </c>
      <c r="C148" s="15" t="s">
        <v>30</v>
      </c>
      <c r="D148" s="11"/>
      <c r="E148" s="11" t="s">
        <v>404</v>
      </c>
      <c r="F148" s="12" t="s">
        <v>405</v>
      </c>
      <c r="G148" s="12" t="s">
        <v>11</v>
      </c>
      <c r="H148" s="13" t="s">
        <v>406</v>
      </c>
      <c r="I148" s="12"/>
      <c r="J148" s="12"/>
      <c r="K148" s="12"/>
      <c r="L148" s="12"/>
      <c r="M148" s="12"/>
      <c r="N148" s="14" t="s">
        <v>407</v>
      </c>
    </row>
    <row r="149" spans="2:14" x14ac:dyDescent="0.25">
      <c r="B149" s="9">
        <v>140</v>
      </c>
      <c r="C149" s="15" t="s">
        <v>30</v>
      </c>
      <c r="D149" s="11"/>
      <c r="E149" s="11"/>
      <c r="F149" s="12" t="s">
        <v>408</v>
      </c>
      <c r="G149" s="12" t="s">
        <v>11</v>
      </c>
      <c r="H149" s="13" t="s">
        <v>409</v>
      </c>
      <c r="I149" s="12"/>
      <c r="J149" s="12"/>
      <c r="K149" s="12"/>
      <c r="L149" s="12"/>
      <c r="M149" s="12"/>
      <c r="N149" s="14" t="s">
        <v>407</v>
      </c>
    </row>
    <row r="150" spans="2:14" x14ac:dyDescent="0.25">
      <c r="B150" s="9">
        <v>141</v>
      </c>
      <c r="C150" s="10" t="s">
        <v>22</v>
      </c>
      <c r="D150" s="11"/>
      <c r="E150" s="11"/>
      <c r="F150" s="12" t="s">
        <v>410</v>
      </c>
      <c r="G150" s="12" t="s">
        <v>11</v>
      </c>
      <c r="H150" s="13" t="s">
        <v>411</v>
      </c>
      <c r="I150" s="12"/>
      <c r="J150" s="12"/>
      <c r="K150" s="12"/>
      <c r="L150" s="12"/>
      <c r="M150" s="12"/>
      <c r="N150" s="14" t="s">
        <v>407</v>
      </c>
    </row>
    <row r="151" spans="2:14" x14ac:dyDescent="0.25">
      <c r="B151" s="9">
        <v>142</v>
      </c>
      <c r="C151" s="10" t="s">
        <v>22</v>
      </c>
      <c r="D151" s="11"/>
      <c r="E151" s="11"/>
      <c r="F151" s="12" t="s">
        <v>412</v>
      </c>
      <c r="G151" s="12" t="s">
        <v>11</v>
      </c>
      <c r="H151" s="13" t="s">
        <v>413</v>
      </c>
      <c r="I151" s="12"/>
      <c r="J151" s="12"/>
      <c r="K151" s="12"/>
      <c r="L151" s="12"/>
      <c r="M151" s="12"/>
      <c r="N151" s="14" t="s">
        <v>407</v>
      </c>
    </row>
    <row r="152" spans="2:14" x14ac:dyDescent="0.25">
      <c r="B152" s="9">
        <v>143</v>
      </c>
      <c r="C152" s="10" t="s">
        <v>22</v>
      </c>
      <c r="D152" s="11"/>
      <c r="E152" s="11"/>
      <c r="F152" s="12" t="s">
        <v>414</v>
      </c>
      <c r="G152" s="12" t="s">
        <v>11</v>
      </c>
      <c r="H152" s="13" t="s">
        <v>415</v>
      </c>
      <c r="I152" s="12"/>
      <c r="J152" s="12"/>
      <c r="K152" s="12"/>
      <c r="L152" s="12"/>
      <c r="M152" s="12"/>
      <c r="N152" s="14" t="s">
        <v>407</v>
      </c>
    </row>
    <row r="153" spans="2:14" x14ac:dyDescent="0.25">
      <c r="B153" s="9">
        <v>144</v>
      </c>
      <c r="C153" s="10" t="s">
        <v>22</v>
      </c>
      <c r="D153" s="11"/>
      <c r="E153" s="11"/>
      <c r="F153" s="12" t="s">
        <v>416</v>
      </c>
      <c r="G153" s="12" t="s">
        <v>11</v>
      </c>
      <c r="H153" s="13" t="s">
        <v>417</v>
      </c>
      <c r="I153" s="12"/>
      <c r="J153" s="12"/>
      <c r="K153" s="12"/>
      <c r="L153" s="12"/>
      <c r="M153" s="12"/>
      <c r="N153" s="14" t="s">
        <v>407</v>
      </c>
    </row>
    <row r="154" spans="2:14" x14ac:dyDescent="0.25">
      <c r="B154" s="9">
        <v>145</v>
      </c>
      <c r="C154" s="16" t="s">
        <v>39</v>
      </c>
      <c r="D154" s="11"/>
      <c r="E154" s="11"/>
      <c r="F154" s="12" t="s">
        <v>418</v>
      </c>
      <c r="G154" s="12" t="s">
        <v>11</v>
      </c>
      <c r="H154" s="13" t="s">
        <v>419</v>
      </c>
      <c r="I154" s="12"/>
      <c r="J154" s="12"/>
      <c r="K154" s="12"/>
      <c r="L154" s="12"/>
      <c r="M154" s="12"/>
      <c r="N154" s="14" t="s">
        <v>407</v>
      </c>
    </row>
    <row r="155" spans="2:14" x14ac:dyDescent="0.25">
      <c r="B155" s="9">
        <v>146</v>
      </c>
      <c r="C155" s="16" t="s">
        <v>39</v>
      </c>
      <c r="D155" s="11"/>
      <c r="E155" s="11" t="s">
        <v>420</v>
      </c>
      <c r="F155" s="12" t="s">
        <v>421</v>
      </c>
      <c r="G155" s="12" t="s">
        <v>11</v>
      </c>
      <c r="H155" s="13" t="s">
        <v>422</v>
      </c>
      <c r="I155" s="12"/>
      <c r="J155" s="12"/>
      <c r="K155" s="12"/>
      <c r="L155" s="12"/>
      <c r="M155" s="12"/>
      <c r="N155" s="14" t="s">
        <v>385</v>
      </c>
    </row>
    <row r="156" spans="2:14" x14ac:dyDescent="0.25">
      <c r="B156" s="9">
        <v>147</v>
      </c>
      <c r="C156" s="16" t="s">
        <v>39</v>
      </c>
      <c r="D156" s="11"/>
      <c r="E156" s="11"/>
      <c r="F156" s="12" t="s">
        <v>423</v>
      </c>
      <c r="G156" s="12" t="s">
        <v>11</v>
      </c>
      <c r="H156" s="13" t="s">
        <v>424</v>
      </c>
      <c r="I156" s="12"/>
      <c r="J156" s="12"/>
      <c r="K156" s="12"/>
      <c r="L156" s="12"/>
      <c r="M156" s="12"/>
      <c r="N156" s="14" t="s">
        <v>385</v>
      </c>
    </row>
    <row r="157" spans="2:14" x14ac:dyDescent="0.25">
      <c r="B157" s="9">
        <v>148</v>
      </c>
      <c r="C157" s="16" t="s">
        <v>39</v>
      </c>
      <c r="D157" s="11"/>
      <c r="E157" s="11" t="s">
        <v>425</v>
      </c>
      <c r="F157" s="12" t="s">
        <v>426</v>
      </c>
      <c r="G157" s="12" t="s">
        <v>11</v>
      </c>
      <c r="H157" s="13" t="s">
        <v>427</v>
      </c>
      <c r="I157" s="12"/>
      <c r="J157" s="12"/>
      <c r="K157" s="12"/>
      <c r="L157" s="12"/>
      <c r="M157" s="12"/>
      <c r="N157" s="14" t="s">
        <v>428</v>
      </c>
    </row>
    <row r="158" spans="2:14" x14ac:dyDescent="0.25">
      <c r="B158" s="9">
        <v>149</v>
      </c>
      <c r="C158" s="10" t="s">
        <v>22</v>
      </c>
      <c r="D158" s="11"/>
      <c r="E158" s="11"/>
      <c r="F158" s="12" t="s">
        <v>429</v>
      </c>
      <c r="G158" s="12" t="s">
        <v>11</v>
      </c>
      <c r="H158" s="13" t="s">
        <v>430</v>
      </c>
      <c r="I158" s="12"/>
      <c r="J158" s="12"/>
      <c r="K158" s="12"/>
      <c r="L158" s="12"/>
      <c r="M158" s="12"/>
      <c r="N158" s="14" t="s">
        <v>428</v>
      </c>
    </row>
    <row r="159" spans="2:14" x14ac:dyDescent="0.25">
      <c r="B159" s="9">
        <v>150</v>
      </c>
      <c r="C159" s="16" t="s">
        <v>39</v>
      </c>
      <c r="D159" s="11"/>
      <c r="E159" s="11"/>
      <c r="F159" s="12" t="s">
        <v>431</v>
      </c>
      <c r="G159" s="12" t="s">
        <v>11</v>
      </c>
      <c r="H159" s="13" t="s">
        <v>432</v>
      </c>
      <c r="I159" s="12"/>
      <c r="J159" s="12"/>
      <c r="K159" s="12"/>
      <c r="L159" s="12"/>
      <c r="M159" s="12"/>
      <c r="N159" s="14" t="s">
        <v>428</v>
      </c>
    </row>
    <row r="160" spans="2:14" x14ac:dyDescent="0.25">
      <c r="B160" s="9">
        <v>151</v>
      </c>
      <c r="C160" s="16" t="s">
        <v>39</v>
      </c>
      <c r="D160" s="11"/>
      <c r="E160" s="11"/>
      <c r="F160" s="12" t="s">
        <v>433</v>
      </c>
      <c r="G160" s="12" t="s">
        <v>11</v>
      </c>
      <c r="H160" s="13" t="s">
        <v>434</v>
      </c>
      <c r="I160" s="12"/>
      <c r="J160" s="12"/>
      <c r="K160" s="12"/>
      <c r="L160" s="12"/>
      <c r="M160" s="12"/>
      <c r="N160" s="14" t="s">
        <v>428</v>
      </c>
    </row>
    <row r="161" spans="2:14" x14ac:dyDescent="0.25">
      <c r="B161" s="9">
        <v>152</v>
      </c>
      <c r="C161" s="16" t="s">
        <v>39</v>
      </c>
      <c r="D161" s="11"/>
      <c r="E161" s="11"/>
      <c r="F161" s="12" t="s">
        <v>435</v>
      </c>
      <c r="G161" s="12" t="s">
        <v>11</v>
      </c>
      <c r="H161" s="13" t="s">
        <v>436</v>
      </c>
      <c r="I161" s="12"/>
      <c r="J161" s="12"/>
      <c r="K161" s="12"/>
      <c r="L161" s="12"/>
      <c r="M161" s="12"/>
      <c r="N161" s="14" t="s">
        <v>428</v>
      </c>
    </row>
    <row r="162" spans="2:14" x14ac:dyDescent="0.25">
      <c r="B162" s="9">
        <v>153</v>
      </c>
      <c r="C162" s="16" t="s">
        <v>39</v>
      </c>
      <c r="D162" s="11"/>
      <c r="E162" s="11"/>
      <c r="F162" s="12" t="s">
        <v>437</v>
      </c>
      <c r="G162" s="12" t="s">
        <v>11</v>
      </c>
      <c r="H162" s="13" t="s">
        <v>438</v>
      </c>
      <c r="I162" s="12"/>
      <c r="J162" s="12"/>
      <c r="K162" s="12"/>
      <c r="L162" s="12"/>
      <c r="M162" s="12"/>
      <c r="N162" s="14" t="s">
        <v>428</v>
      </c>
    </row>
    <row r="163" spans="2:14" x14ac:dyDescent="0.25">
      <c r="B163" s="9">
        <v>154</v>
      </c>
      <c r="C163" s="10" t="s">
        <v>22</v>
      </c>
      <c r="D163" s="11"/>
      <c r="E163" s="11"/>
      <c r="F163" s="12" t="s">
        <v>439</v>
      </c>
      <c r="G163" s="12" t="s">
        <v>11</v>
      </c>
      <c r="H163" s="13" t="s">
        <v>440</v>
      </c>
      <c r="I163" s="12"/>
      <c r="J163" s="12"/>
      <c r="K163" s="12"/>
      <c r="L163" s="12"/>
      <c r="M163" s="12"/>
      <c r="N163" s="14" t="s">
        <v>428</v>
      </c>
    </row>
    <row r="164" spans="2:14" x14ac:dyDescent="0.25">
      <c r="B164" s="9">
        <v>155</v>
      </c>
      <c r="C164" s="16" t="s">
        <v>39</v>
      </c>
      <c r="D164" s="11"/>
      <c r="E164" s="12" t="s">
        <v>441</v>
      </c>
      <c r="F164" s="12" t="s">
        <v>442</v>
      </c>
      <c r="G164" s="12" t="s">
        <v>11</v>
      </c>
      <c r="H164" s="13" t="s">
        <v>443</v>
      </c>
      <c r="I164" s="12"/>
      <c r="J164" s="12"/>
      <c r="K164" s="12"/>
      <c r="L164" s="12"/>
      <c r="M164" s="12"/>
      <c r="N164" s="14" t="s">
        <v>428</v>
      </c>
    </row>
    <row r="165" spans="2:14" x14ac:dyDescent="0.25">
      <c r="B165" s="9">
        <v>156</v>
      </c>
      <c r="C165" s="10" t="s">
        <v>22</v>
      </c>
      <c r="D165" s="11"/>
      <c r="E165" s="12" t="s">
        <v>425</v>
      </c>
      <c r="F165" s="12" t="s">
        <v>444</v>
      </c>
      <c r="G165" s="12" t="s">
        <v>11</v>
      </c>
      <c r="H165" s="13" t="s">
        <v>445</v>
      </c>
      <c r="I165" s="12"/>
      <c r="J165" s="12"/>
      <c r="K165" s="12"/>
      <c r="L165" s="12"/>
      <c r="M165" s="12"/>
      <c r="N165" s="14" t="s">
        <v>428</v>
      </c>
    </row>
    <row r="166" spans="2:14" x14ac:dyDescent="0.25">
      <c r="B166" s="9">
        <v>157</v>
      </c>
      <c r="C166" s="15" t="s">
        <v>30</v>
      </c>
      <c r="D166" s="11" t="s">
        <v>446</v>
      </c>
      <c r="E166" s="12" t="s">
        <v>447</v>
      </c>
      <c r="F166" s="12" t="s">
        <v>448</v>
      </c>
      <c r="G166" s="12" t="s">
        <v>11</v>
      </c>
      <c r="H166" s="13" t="s">
        <v>449</v>
      </c>
      <c r="I166" s="12"/>
      <c r="J166" s="12"/>
      <c r="K166" s="12"/>
      <c r="L166" s="12"/>
      <c r="M166" s="12"/>
      <c r="N166" s="14" t="s">
        <v>450</v>
      </c>
    </row>
    <row r="167" spans="2:14" x14ac:dyDescent="0.25">
      <c r="B167" s="9">
        <v>158</v>
      </c>
      <c r="C167" s="10" t="s">
        <v>22</v>
      </c>
      <c r="D167" s="11"/>
      <c r="E167" s="11" t="s">
        <v>451</v>
      </c>
      <c r="F167" s="12" t="s">
        <v>452</v>
      </c>
      <c r="G167" s="12" t="s">
        <v>11</v>
      </c>
      <c r="H167" s="13" t="s">
        <v>453</v>
      </c>
      <c r="I167" s="12"/>
      <c r="J167" s="12"/>
      <c r="K167" s="12"/>
      <c r="L167" s="12"/>
      <c r="M167" s="12"/>
      <c r="N167" s="14" t="s">
        <v>450</v>
      </c>
    </row>
    <row r="168" spans="2:14" x14ac:dyDescent="0.25">
      <c r="B168" s="9">
        <v>159</v>
      </c>
      <c r="C168" s="10" t="s">
        <v>22</v>
      </c>
      <c r="D168" s="11"/>
      <c r="E168" s="11"/>
      <c r="F168" s="12" t="s">
        <v>454</v>
      </c>
      <c r="G168" s="12" t="s">
        <v>11</v>
      </c>
      <c r="H168" s="13" t="s">
        <v>455</v>
      </c>
      <c r="I168" s="12"/>
      <c r="J168" s="12"/>
      <c r="K168" s="12"/>
      <c r="L168" s="12"/>
      <c r="M168" s="12"/>
      <c r="N168" s="14" t="s">
        <v>450</v>
      </c>
    </row>
    <row r="169" spans="2:14" x14ac:dyDescent="0.25">
      <c r="B169" s="9">
        <v>160</v>
      </c>
      <c r="C169" s="10" t="s">
        <v>22</v>
      </c>
      <c r="D169" s="11"/>
      <c r="E169" s="11"/>
      <c r="F169" s="12" t="s">
        <v>456</v>
      </c>
      <c r="G169" s="12" t="s">
        <v>11</v>
      </c>
      <c r="H169" s="13" t="s">
        <v>457</v>
      </c>
      <c r="I169" s="12"/>
      <c r="J169" s="12"/>
      <c r="K169" s="12"/>
      <c r="L169" s="12"/>
      <c r="M169" s="12"/>
      <c r="N169" s="14" t="s">
        <v>450</v>
      </c>
    </row>
    <row r="170" spans="2:14" x14ac:dyDescent="0.25">
      <c r="B170" s="9">
        <v>161</v>
      </c>
      <c r="C170" s="16" t="s">
        <v>39</v>
      </c>
      <c r="D170" s="11"/>
      <c r="E170" s="12" t="s">
        <v>458</v>
      </c>
      <c r="F170" s="12" t="s">
        <v>11</v>
      </c>
      <c r="G170" s="12" t="s">
        <v>11</v>
      </c>
      <c r="H170" s="13" t="s">
        <v>459</v>
      </c>
      <c r="I170" s="12"/>
      <c r="J170" s="12"/>
      <c r="K170" s="12"/>
      <c r="L170" s="12"/>
      <c r="M170" s="12"/>
      <c r="N170" s="14" t="s">
        <v>450</v>
      </c>
    </row>
    <row r="171" spans="2:14" x14ac:dyDescent="0.25">
      <c r="B171" s="9">
        <v>162</v>
      </c>
      <c r="C171" s="10" t="s">
        <v>22</v>
      </c>
      <c r="D171" s="11"/>
      <c r="E171" s="12" t="s">
        <v>460</v>
      </c>
      <c r="F171" s="12" t="s">
        <v>11</v>
      </c>
      <c r="G171" s="12" t="s">
        <v>11</v>
      </c>
      <c r="H171" s="13" t="s">
        <v>461</v>
      </c>
      <c r="I171" s="12"/>
      <c r="J171" s="12"/>
      <c r="K171" s="12"/>
      <c r="L171" s="12"/>
      <c r="M171" s="12"/>
      <c r="N171" s="14" t="s">
        <v>450</v>
      </c>
    </row>
    <row r="172" spans="2:14" x14ac:dyDescent="0.25">
      <c r="B172" s="9">
        <v>163</v>
      </c>
      <c r="C172" s="16" t="s">
        <v>39</v>
      </c>
      <c r="D172" s="11" t="s">
        <v>462</v>
      </c>
      <c r="E172" s="11" t="s">
        <v>463</v>
      </c>
      <c r="F172" s="12" t="s">
        <v>464</v>
      </c>
      <c r="G172" s="12" t="s">
        <v>11</v>
      </c>
      <c r="H172" s="13" t="s">
        <v>465</v>
      </c>
      <c r="I172" s="12"/>
      <c r="J172" s="12"/>
      <c r="K172" s="12"/>
      <c r="L172" s="12"/>
      <c r="M172" s="12"/>
      <c r="N172" s="14" t="s">
        <v>385</v>
      </c>
    </row>
    <row r="173" spans="2:14" x14ac:dyDescent="0.25">
      <c r="B173" s="9">
        <v>164</v>
      </c>
      <c r="C173" s="16" t="s">
        <v>39</v>
      </c>
      <c r="D173" s="11"/>
      <c r="E173" s="11"/>
      <c r="F173" s="12" t="s">
        <v>466</v>
      </c>
      <c r="G173" s="12" t="s">
        <v>11</v>
      </c>
      <c r="H173" s="13" t="s">
        <v>467</v>
      </c>
      <c r="I173" s="12"/>
      <c r="J173" s="12"/>
      <c r="K173" s="12"/>
      <c r="L173" s="12"/>
      <c r="M173" s="12"/>
      <c r="N173" s="14" t="s">
        <v>385</v>
      </c>
    </row>
    <row r="174" spans="2:14" x14ac:dyDescent="0.25">
      <c r="B174" s="9">
        <v>165</v>
      </c>
      <c r="C174" s="16" t="s">
        <v>39</v>
      </c>
      <c r="D174" s="11"/>
      <c r="E174" s="11"/>
      <c r="F174" s="12" t="s">
        <v>468</v>
      </c>
      <c r="G174" s="12" t="s">
        <v>11</v>
      </c>
      <c r="H174" s="13" t="s">
        <v>469</v>
      </c>
      <c r="I174" s="12"/>
      <c r="J174" s="12"/>
      <c r="K174" s="12"/>
      <c r="L174" s="12"/>
      <c r="M174" s="12"/>
      <c r="N174" s="14" t="s">
        <v>385</v>
      </c>
    </row>
    <row r="175" spans="2:14" x14ac:dyDescent="0.25">
      <c r="B175" s="9">
        <v>166</v>
      </c>
      <c r="C175" s="10" t="s">
        <v>22</v>
      </c>
      <c r="D175" s="11"/>
      <c r="E175" s="12" t="s">
        <v>470</v>
      </c>
      <c r="F175" s="12" t="s">
        <v>471</v>
      </c>
      <c r="G175" s="12" t="s">
        <v>11</v>
      </c>
      <c r="H175" s="13" t="s">
        <v>472</v>
      </c>
      <c r="I175" s="12"/>
      <c r="J175" s="12"/>
      <c r="K175" s="12"/>
      <c r="L175" s="12"/>
      <c r="M175" s="12"/>
      <c r="N175" s="14" t="s">
        <v>385</v>
      </c>
    </row>
    <row r="176" spans="2:14" x14ac:dyDescent="0.25">
      <c r="B176" s="9">
        <v>167</v>
      </c>
      <c r="C176" s="10" t="s">
        <v>22</v>
      </c>
      <c r="D176" s="11"/>
      <c r="E176" s="12" t="s">
        <v>473</v>
      </c>
      <c r="F176" s="12" t="s">
        <v>11</v>
      </c>
      <c r="G176" s="12" t="s">
        <v>11</v>
      </c>
      <c r="H176" s="13" t="s">
        <v>474</v>
      </c>
      <c r="I176" s="12"/>
      <c r="J176" s="12"/>
      <c r="K176" s="12"/>
      <c r="L176" s="12"/>
      <c r="M176" s="12"/>
      <c r="N176" s="14" t="s">
        <v>385</v>
      </c>
    </row>
    <row r="177" spans="2:14" x14ac:dyDescent="0.25">
      <c r="B177" s="9">
        <v>168</v>
      </c>
      <c r="C177" s="10" t="s">
        <v>22</v>
      </c>
      <c r="D177" s="11"/>
      <c r="E177" s="12" t="s">
        <v>475</v>
      </c>
      <c r="F177" s="12" t="s">
        <v>11</v>
      </c>
      <c r="G177" s="12" t="s">
        <v>11</v>
      </c>
      <c r="H177" s="13" t="s">
        <v>476</v>
      </c>
      <c r="I177" s="12"/>
      <c r="J177" s="12"/>
      <c r="K177" s="12"/>
      <c r="L177" s="12"/>
      <c r="M177" s="12"/>
      <c r="N177" s="14" t="s">
        <v>477</v>
      </c>
    </row>
    <row r="178" spans="2:14" x14ac:dyDescent="0.25">
      <c r="B178" s="9">
        <v>169</v>
      </c>
      <c r="C178" s="15" t="s">
        <v>30</v>
      </c>
      <c r="D178" s="11" t="s">
        <v>478</v>
      </c>
      <c r="E178" s="11" t="s">
        <v>479</v>
      </c>
      <c r="F178" s="12" t="s">
        <v>158</v>
      </c>
      <c r="G178" s="12" t="s">
        <v>11</v>
      </c>
      <c r="H178" s="13" t="s">
        <v>480</v>
      </c>
      <c r="I178" s="12"/>
      <c r="J178" s="12"/>
      <c r="K178" s="12"/>
      <c r="L178" s="12"/>
      <c r="M178" s="12"/>
      <c r="N178" s="14" t="s">
        <v>481</v>
      </c>
    </row>
    <row r="179" spans="2:14" x14ac:dyDescent="0.25">
      <c r="B179" s="9">
        <v>170</v>
      </c>
      <c r="C179" s="10" t="s">
        <v>22</v>
      </c>
      <c r="D179" s="11"/>
      <c r="E179" s="11"/>
      <c r="F179" s="12" t="s">
        <v>161</v>
      </c>
      <c r="G179" s="12" t="s">
        <v>11</v>
      </c>
      <c r="H179" s="13" t="s">
        <v>482</v>
      </c>
      <c r="I179" s="12"/>
      <c r="J179" s="12"/>
      <c r="K179" s="12"/>
      <c r="L179" s="12"/>
      <c r="M179" s="12"/>
      <c r="N179" s="14" t="s">
        <v>38</v>
      </c>
    </row>
    <row r="180" spans="2:14" x14ac:dyDescent="0.25">
      <c r="B180" s="9">
        <v>171</v>
      </c>
      <c r="C180" s="10" t="s">
        <v>22</v>
      </c>
      <c r="D180" s="11"/>
      <c r="E180" s="11" t="s">
        <v>483</v>
      </c>
      <c r="F180" s="12" t="s">
        <v>484</v>
      </c>
      <c r="G180" s="12" t="s">
        <v>11</v>
      </c>
      <c r="H180" s="13" t="s">
        <v>485</v>
      </c>
      <c r="I180" s="12"/>
      <c r="J180" s="12"/>
      <c r="K180" s="12"/>
      <c r="L180" s="12"/>
      <c r="M180" s="12"/>
      <c r="N180" s="14" t="s">
        <v>481</v>
      </c>
    </row>
    <row r="181" spans="2:14" x14ac:dyDescent="0.25">
      <c r="B181" s="9">
        <v>172</v>
      </c>
      <c r="C181" s="16" t="s">
        <v>39</v>
      </c>
      <c r="D181" s="11"/>
      <c r="E181" s="11"/>
      <c r="F181" s="12" t="s">
        <v>486</v>
      </c>
      <c r="G181" s="12" t="s">
        <v>11</v>
      </c>
      <c r="H181" s="13" t="s">
        <v>487</v>
      </c>
      <c r="I181" s="12"/>
      <c r="J181" s="12"/>
      <c r="K181" s="12"/>
      <c r="L181" s="12"/>
      <c r="M181" s="12"/>
      <c r="N181" s="14" t="s">
        <v>481</v>
      </c>
    </row>
    <row r="182" spans="2:14" x14ac:dyDescent="0.25">
      <c r="B182" s="9">
        <v>173</v>
      </c>
      <c r="C182" s="16" t="s">
        <v>39</v>
      </c>
      <c r="D182" s="11"/>
      <c r="E182" s="12" t="s">
        <v>479</v>
      </c>
      <c r="F182" s="12" t="s">
        <v>161</v>
      </c>
      <c r="G182" s="12" t="s">
        <v>11</v>
      </c>
      <c r="H182" s="13" t="s">
        <v>488</v>
      </c>
      <c r="I182" s="12"/>
      <c r="J182" s="12"/>
      <c r="K182" s="12"/>
      <c r="L182" s="12"/>
      <c r="M182" s="12"/>
      <c r="N182" s="14" t="s">
        <v>481</v>
      </c>
    </row>
    <row r="183" spans="2:14" x14ac:dyDescent="0.25">
      <c r="B183" s="9">
        <v>174</v>
      </c>
      <c r="C183" s="15" t="s">
        <v>30</v>
      </c>
      <c r="D183" s="11" t="s">
        <v>489</v>
      </c>
      <c r="E183" s="11" t="s">
        <v>490</v>
      </c>
      <c r="F183" s="12" t="s">
        <v>491</v>
      </c>
      <c r="G183" s="12" t="s">
        <v>11</v>
      </c>
      <c r="H183" s="13" t="s">
        <v>492</v>
      </c>
      <c r="I183" s="12"/>
      <c r="J183" s="12"/>
      <c r="K183" s="12"/>
      <c r="L183" s="12"/>
      <c r="M183" s="12"/>
      <c r="N183" s="14" t="s">
        <v>493</v>
      </c>
    </row>
    <row r="184" spans="2:14" x14ac:dyDescent="0.25">
      <c r="B184" s="9">
        <v>175</v>
      </c>
      <c r="C184" s="10" t="s">
        <v>22</v>
      </c>
      <c r="D184" s="11"/>
      <c r="E184" s="11"/>
      <c r="F184" s="12" t="s">
        <v>494</v>
      </c>
      <c r="G184" s="12" t="s">
        <v>11</v>
      </c>
      <c r="H184" s="13" t="s">
        <v>495</v>
      </c>
      <c r="I184" s="12"/>
      <c r="J184" s="12"/>
      <c r="K184" s="12"/>
      <c r="L184" s="12"/>
      <c r="M184" s="12"/>
      <c r="N184" s="14" t="s">
        <v>493</v>
      </c>
    </row>
    <row r="185" spans="2:14" x14ac:dyDescent="0.25">
      <c r="B185" s="9">
        <v>176</v>
      </c>
      <c r="C185" s="16" t="s">
        <v>39</v>
      </c>
      <c r="D185" s="11"/>
      <c r="E185" s="11"/>
      <c r="F185" s="12" t="s">
        <v>496</v>
      </c>
      <c r="G185" s="12" t="s">
        <v>11</v>
      </c>
      <c r="H185" s="13" t="s">
        <v>497</v>
      </c>
      <c r="I185" s="12"/>
      <c r="J185" s="12"/>
      <c r="K185" s="12"/>
      <c r="L185" s="12"/>
      <c r="M185" s="12"/>
      <c r="N185" s="14" t="s">
        <v>493</v>
      </c>
    </row>
    <row r="186" spans="2:14" x14ac:dyDescent="0.25">
      <c r="B186" s="9">
        <v>177</v>
      </c>
      <c r="C186" s="10" t="s">
        <v>22</v>
      </c>
      <c r="D186" s="11"/>
      <c r="E186" s="11" t="s">
        <v>498</v>
      </c>
      <c r="F186" s="12" t="s">
        <v>199</v>
      </c>
      <c r="G186" s="12" t="s">
        <v>11</v>
      </c>
      <c r="H186" s="13" t="s">
        <v>499</v>
      </c>
      <c r="I186" s="12"/>
      <c r="J186" s="12"/>
      <c r="K186" s="12"/>
      <c r="L186" s="12"/>
      <c r="M186" s="12"/>
      <c r="N186" s="14" t="s">
        <v>500</v>
      </c>
    </row>
    <row r="187" spans="2:14" x14ac:dyDescent="0.25">
      <c r="B187" s="9">
        <v>178</v>
      </c>
      <c r="C187" s="10" t="s">
        <v>22</v>
      </c>
      <c r="D187" s="11"/>
      <c r="E187" s="11"/>
      <c r="F187" s="12" t="s">
        <v>501</v>
      </c>
      <c r="G187" s="12" t="s">
        <v>11</v>
      </c>
      <c r="H187" s="13" t="s">
        <v>502</v>
      </c>
      <c r="I187" s="12"/>
      <c r="J187" s="12"/>
      <c r="K187" s="12"/>
      <c r="L187" s="12"/>
      <c r="M187" s="12"/>
      <c r="N187" s="14" t="s">
        <v>500</v>
      </c>
    </row>
    <row r="188" spans="2:14" x14ac:dyDescent="0.25">
      <c r="B188" s="9">
        <v>179</v>
      </c>
      <c r="C188" s="10" t="s">
        <v>22</v>
      </c>
      <c r="D188" s="11"/>
      <c r="E188" s="11"/>
      <c r="F188" s="12" t="s">
        <v>503</v>
      </c>
      <c r="G188" s="12" t="s">
        <v>11</v>
      </c>
      <c r="H188" s="13" t="s">
        <v>504</v>
      </c>
      <c r="I188" s="12"/>
      <c r="J188" s="12"/>
      <c r="K188" s="12"/>
      <c r="L188" s="12"/>
      <c r="M188" s="12"/>
      <c r="N188" s="14" t="s">
        <v>500</v>
      </c>
    </row>
    <row r="189" spans="2:14" x14ac:dyDescent="0.25">
      <c r="B189" s="9">
        <v>180</v>
      </c>
      <c r="C189" s="10" t="s">
        <v>22</v>
      </c>
      <c r="D189" s="11"/>
      <c r="E189" s="12" t="s">
        <v>505</v>
      </c>
      <c r="F189" s="12" t="s">
        <v>506</v>
      </c>
      <c r="G189" s="12" t="s">
        <v>11</v>
      </c>
      <c r="H189" s="13" t="s">
        <v>507</v>
      </c>
      <c r="I189" s="12"/>
      <c r="J189" s="12"/>
      <c r="K189" s="12"/>
      <c r="L189" s="12"/>
      <c r="M189" s="12"/>
      <c r="N189" s="14" t="s">
        <v>508</v>
      </c>
    </row>
    <row r="190" spans="2:14" x14ac:dyDescent="0.25">
      <c r="B190" s="9">
        <v>181</v>
      </c>
      <c r="C190" s="16" t="s">
        <v>39</v>
      </c>
      <c r="D190" s="11" t="s">
        <v>509</v>
      </c>
      <c r="E190" s="11" t="s">
        <v>510</v>
      </c>
      <c r="F190" s="12" t="s">
        <v>511</v>
      </c>
      <c r="G190" s="12" t="s">
        <v>11</v>
      </c>
      <c r="H190" s="13" t="s">
        <v>512</v>
      </c>
      <c r="I190" s="12"/>
      <c r="J190" s="12"/>
      <c r="K190" s="12"/>
      <c r="L190" s="12"/>
      <c r="M190" s="12"/>
      <c r="N190" s="14" t="s">
        <v>513</v>
      </c>
    </row>
    <row r="191" spans="2:14" x14ac:dyDescent="0.25">
      <c r="B191" s="9">
        <v>182</v>
      </c>
      <c r="C191" s="10" t="s">
        <v>22</v>
      </c>
      <c r="D191" s="11"/>
      <c r="E191" s="11"/>
      <c r="F191" s="12" t="s">
        <v>514</v>
      </c>
      <c r="G191" s="12" t="s">
        <v>11</v>
      </c>
      <c r="H191" s="13" t="s">
        <v>515</v>
      </c>
      <c r="I191" s="12"/>
      <c r="J191" s="12"/>
      <c r="K191" s="12"/>
      <c r="L191" s="12"/>
      <c r="M191" s="12"/>
      <c r="N191" s="14" t="s">
        <v>516</v>
      </c>
    </row>
    <row r="192" spans="2:14" x14ac:dyDescent="0.25">
      <c r="B192" s="9">
        <v>183</v>
      </c>
      <c r="C192" s="15" t="s">
        <v>30</v>
      </c>
      <c r="D192" s="11" t="s">
        <v>517</v>
      </c>
      <c r="E192" s="11" t="s">
        <v>518</v>
      </c>
      <c r="F192" s="12" t="s">
        <v>519</v>
      </c>
      <c r="G192" s="12" t="s">
        <v>11</v>
      </c>
      <c r="H192" s="13" t="s">
        <v>520</v>
      </c>
      <c r="I192" s="12"/>
      <c r="J192" s="12"/>
      <c r="K192" s="12"/>
      <c r="L192" s="12"/>
      <c r="M192" s="12"/>
      <c r="N192" s="14" t="s">
        <v>521</v>
      </c>
    </row>
    <row r="193" spans="2:14" x14ac:dyDescent="0.25">
      <c r="B193" s="9">
        <v>184</v>
      </c>
      <c r="C193" s="10" t="s">
        <v>22</v>
      </c>
      <c r="D193" s="11"/>
      <c r="E193" s="11"/>
      <c r="F193" s="12" t="s">
        <v>522</v>
      </c>
      <c r="G193" s="12" t="s">
        <v>11</v>
      </c>
      <c r="H193" s="13" t="s">
        <v>523</v>
      </c>
      <c r="I193" s="12"/>
      <c r="J193" s="12"/>
      <c r="K193" s="12"/>
      <c r="L193" s="12"/>
      <c r="M193" s="12"/>
      <c r="N193" s="14" t="s">
        <v>521</v>
      </c>
    </row>
    <row r="194" spans="2:14" x14ac:dyDescent="0.25">
      <c r="B194" s="9">
        <v>185</v>
      </c>
      <c r="C194" s="10" t="s">
        <v>22</v>
      </c>
      <c r="D194" s="11"/>
      <c r="E194" s="11"/>
      <c r="F194" s="12" t="s">
        <v>524</v>
      </c>
      <c r="G194" s="12" t="s">
        <v>11</v>
      </c>
      <c r="H194" s="13" t="s">
        <v>525</v>
      </c>
      <c r="I194" s="12"/>
      <c r="J194" s="12"/>
      <c r="K194" s="12"/>
      <c r="L194" s="12"/>
      <c r="M194" s="12"/>
      <c r="N194" s="14" t="s">
        <v>521</v>
      </c>
    </row>
  </sheetData>
  <mergeCells count="84">
    <mergeCell ref="D10:D16"/>
    <mergeCell ref="E10:E11"/>
    <mergeCell ref="E12:E16"/>
    <mergeCell ref="F12:F14"/>
    <mergeCell ref="F15:F16"/>
    <mergeCell ref="D17:D24"/>
    <mergeCell ref="E18:E21"/>
    <mergeCell ref="E22:E24"/>
    <mergeCell ref="F22:F23"/>
    <mergeCell ref="D25:D45"/>
    <mergeCell ref="E25:E34"/>
    <mergeCell ref="F25:F26"/>
    <mergeCell ref="F27:F30"/>
    <mergeCell ref="F31:F33"/>
    <mergeCell ref="E35:E40"/>
    <mergeCell ref="F37:F40"/>
    <mergeCell ref="E42:E44"/>
    <mergeCell ref="D46:D50"/>
    <mergeCell ref="E46:E47"/>
    <mergeCell ref="E49:E50"/>
    <mergeCell ref="F49:F50"/>
    <mergeCell ref="D51:D56"/>
    <mergeCell ref="E51:E54"/>
    <mergeCell ref="F53:F54"/>
    <mergeCell ref="E55:E56"/>
    <mergeCell ref="D57:D72"/>
    <mergeCell ref="E58:E66"/>
    <mergeCell ref="F58:F60"/>
    <mergeCell ref="F61:F63"/>
    <mergeCell ref="E67:E72"/>
    <mergeCell ref="F68:F70"/>
    <mergeCell ref="F71:F72"/>
    <mergeCell ref="D73:D79"/>
    <mergeCell ref="E73:E74"/>
    <mergeCell ref="E75:E76"/>
    <mergeCell ref="E77:E78"/>
    <mergeCell ref="D80:D92"/>
    <mergeCell ref="E80:E81"/>
    <mergeCell ref="E82:E87"/>
    <mergeCell ref="F83:F84"/>
    <mergeCell ref="F85:F86"/>
    <mergeCell ref="E88:E90"/>
    <mergeCell ref="E91:E92"/>
    <mergeCell ref="D93:D104"/>
    <mergeCell ref="E94:E96"/>
    <mergeCell ref="E97:E100"/>
    <mergeCell ref="D105:D110"/>
    <mergeCell ref="E106:E107"/>
    <mergeCell ref="E108:E109"/>
    <mergeCell ref="D111:D120"/>
    <mergeCell ref="E112:E114"/>
    <mergeCell ref="E115:E117"/>
    <mergeCell ref="E118:E119"/>
    <mergeCell ref="F118:F119"/>
    <mergeCell ref="D121:D127"/>
    <mergeCell ref="E122:E123"/>
    <mergeCell ref="E124:E125"/>
    <mergeCell ref="E126:E127"/>
    <mergeCell ref="D128:D165"/>
    <mergeCell ref="E128:E140"/>
    <mergeCell ref="F129:F133"/>
    <mergeCell ref="F134:F135"/>
    <mergeCell ref="F136:F137"/>
    <mergeCell ref="F138:F139"/>
    <mergeCell ref="E141:E147"/>
    <mergeCell ref="F141:F142"/>
    <mergeCell ref="F143:F146"/>
    <mergeCell ref="E148:E154"/>
    <mergeCell ref="E155:E156"/>
    <mergeCell ref="E157:E163"/>
    <mergeCell ref="D166:D171"/>
    <mergeCell ref="E167:E169"/>
    <mergeCell ref="D172:D177"/>
    <mergeCell ref="E172:E174"/>
    <mergeCell ref="D178:D182"/>
    <mergeCell ref="E178:E179"/>
    <mergeCell ref="E180:E181"/>
    <mergeCell ref="D183:D189"/>
    <mergeCell ref="E183:E185"/>
    <mergeCell ref="E186:E188"/>
    <mergeCell ref="D190:D191"/>
    <mergeCell ref="E190:E191"/>
    <mergeCell ref="D192:D194"/>
    <mergeCell ref="E192:E194"/>
  </mergeCells>
  <dataValidations count="1">
    <dataValidation type="list" allowBlank="1" showErrorMessage="1" errorTitle="잘못된 값" error="Pass, Fail, N/T, Block 중 하나를 선택하세요." sqref="I10:J19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23이벤트모드 인게임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2026-05-20T04:56:04Z</dcterms:created>
  <dcterms:modified xsi:type="dcterms:W3CDTF">2026-05-20T04:56:04Z</dcterms:modified>
</cp:coreProperties>
</file>