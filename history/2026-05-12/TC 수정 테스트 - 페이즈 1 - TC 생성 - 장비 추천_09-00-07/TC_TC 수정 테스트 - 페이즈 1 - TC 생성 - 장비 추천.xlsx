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 수정 테스트 - 페이즈 1 - TC 생성 - 장비 " state="visible" r:id="rId4"/>
  </sheets>
  <calcPr calcId="171027"/>
</workbook>
</file>

<file path=xl/sharedStrings.xml><?xml version="1.0" encoding="utf-8"?>
<sst xmlns="http://schemas.openxmlformats.org/spreadsheetml/2006/main" count="346" uniqueCount="232">
  <si>
    <t>(C)TC 수정 테스트 - 페이즈 1 - TC 생성 - 장비 추천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</si>
  <si>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</si>
  <si>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</si>
  <si>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</si>
  <si>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</si>
  <si>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</si>
  <si>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</si>
  <si>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</si>
  <si>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</si>
  <si>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</si>
  <si>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</si>
  <si>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</si>
  <si>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</si>
  <si>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</si>
  <si>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</si>
  <si>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</si>
  <si>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</si>
  <si>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</si>
  <si>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</si>
  <si>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</si>
  <si>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</si>
  <si>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</si>
  <si>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</si>
  <si>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쿠키 상세화면</t>
  </si>
  <si>
    <t>추천 조합 버튼</t>
  </si>
  <si>
    <t>보유 쿠키</t>
  </si>
  <si>
    <t>버튼 출력</t>
  </si>
  <si>
    <t>보유 쿠키 상세화면 진입 시, 하단 영역에 '추천 조합' 버튼이 출력된다.</t>
  </si>
  <si>
    <t>참고 화면: 쿠키 상세화면 (GUI 흐름 1단계)</t>
  </si>
  <si>
    <t>Critical</t>
  </si>
  <si>
    <t>팝업 진입</t>
  </si>
  <si>
    <t>보유 쿠키 상세화면에서 '추천 조합' 버튼 터치 시, 추천 조합 팝업이 출력된다.</t>
  </si>
  <si>
    <t>참고 화면: 쿠키 상세화면 → 추천 조합 팝업</t>
  </si>
  <si>
    <t>미보유 쿠키</t>
  </si>
  <si>
    <t>미보유 쿠키 상세화면 진입 시에도 하단 영역에 '추천 조합' 버튼이 출력된다.</t>
  </si>
  <si>
    <t>참고 화면: 쿠키 상세화면 (미보유 쿠키)</t>
  </si>
  <si>
    <t>미보유 쿠키 상세화면에서 '추천 조합' 버튼 터치 시, 추천 조합 팝업이 출력된다.</t>
  </si>
  <si>
    <t>참고 화면: 쿠키 상세화면 (미보유 쿠키) → 추천 조합 팝업</t>
  </si>
  <si>
    <t>자체 포커싱</t>
  </si>
  <si>
    <t>보유 쿠키 상세화면에서 추천 조합 팝업 진입 시, 해당 쿠키가 사이드바에서 자동 선택된 상태로 표시된다.</t>
  </si>
  <si>
    <t>참고 화면: 추천 조합 팝업 진입 직후</t>
  </si>
  <si>
    <t>Normal</t>
  </si>
  <si>
    <t>버튼 터치 효과음</t>
  </si>
  <si>
    <t>쿠키 상세화면에서 '추천 조합' 버튼 터치 시, 버튼 터치 효과음이 출력된다.</t>
  </si>
  <si>
    <t>참고 화면: 쿠키 상세화면 (효과음 연출)</t>
  </si>
  <si>
    <t>추천 조합 팝업</t>
  </si>
  <si>
    <t>팝업 공통 UI</t>
  </si>
  <si>
    <t>상단 헤더</t>
  </si>
  <si>
    <t>타이틀 출력</t>
  </si>
  <si>
    <t>추천 조합 팝업 진입 시, 상단 헤더 영역에 '추천 조합' 타이틀이 출력된다.</t>
  </si>
  <si>
    <t>참고 화면: 추천 조합 팝업 상단 헤더</t>
  </si>
  <si>
    <t>닫기 버튼</t>
  </si>
  <si>
    <t>추천 조합 팝업 우측 상단의 닫기(X) 버튼 터치 시, 팝업이 종료되며 이전 쿠키 상세화면으로 복귀된다.</t>
  </si>
  <si>
    <t>닫기 효과음</t>
  </si>
  <si>
    <t>팝업 닫기(X) 버튼 터치 시, 팝업 닫기 효과음이 출력된다.</t>
  </si>
  <si>
    <t>참고 화면: 추천 조합 팝업 닫기 연출</t>
  </si>
  <si>
    <t>좌측 탭 메뉴</t>
  </si>
  <si>
    <t>장비 탭 자체 포커싱</t>
  </si>
  <si>
    <t>추천 조합 팝업 진입 시, 좌측 탭 메뉴의 '장비' 탭이 기본 선택 상태로 출력된다.</t>
  </si>
  <si>
    <t>참고 화면: 추천 조합 팝업 좌측 탭</t>
  </si>
  <si>
    <t>탭 3종 출력</t>
  </si>
  <si>
    <t>추천 조합 팝업 좌측 탭 메뉴에 '장비', '아티팩트', '잠재력' 3개 탭이 출력된다.</t>
  </si>
  <si>
    <t>아티팩트 탭 전환</t>
  </si>
  <si>
    <t>좌측 탭 메뉴에서 '아티팩트' 탭 터치 시, 추천 아티팩트 화면으로 전환된다.</t>
  </si>
  <si>
    <t>참고 화면: 추천 조합 팝업 탭 전환</t>
  </si>
  <si>
    <t>잠재력 탭 전환</t>
  </si>
  <si>
    <t>좌측 탭 메뉴에서 '잠재력' 탭 터치 시, 추천 잠재력 화면으로 전환된다.</t>
  </si>
  <si>
    <t>탭 전환 효과음</t>
  </si>
  <si>
    <t>좌측 탭 메뉴의 탭 항목 터치 시, 탭 전환 효과음이 출력된다.</t>
  </si>
  <si>
    <t>참고 화면: 추천 조합 팝업 탭 전환 연출</t>
  </si>
  <si>
    <t>추천 쿠키 사이드바</t>
  </si>
  <si>
    <t>쿠키 리스트 출력</t>
  </si>
  <si>
    <t>추천 조합 팝업 진입 시, 추천 조합을 확인할 수 있는 쿠키 리스트가 사이드바에 출력된다.</t>
  </si>
  <si>
    <t>참고 화면: 추천 조합 팝업 사이드바</t>
  </si>
  <si>
    <t>사용중 라벨 표시</t>
  </si>
  <si>
    <t>추천 쿠키 사이드바에서 현재 선택중인 쿠키에 '사용중' 라벨이 표시된다.</t>
  </si>
  <si>
    <t>미보유 쿠키 표시</t>
  </si>
  <si>
    <t>추천 쿠키 사이드바에서 미보유 상태의 쿠키는 미보유 상태로 식별 가능한 UI로 출력된다.</t>
  </si>
  <si>
    <t>참고 화면: 추천 조합 팝업 사이드바 (미보유 쿠키)</t>
  </si>
  <si>
    <t>등급별 외곽 컬러</t>
  </si>
  <si>
    <t>추천 쿠키 사이드바의 각 쿠키 아이콘은 등급별로 외곽 컬러가 다르게 출력된다.</t>
  </si>
  <si>
    <t>두 줄 스크롤</t>
  </si>
  <si>
    <t>추천 쿠키 사이드바는 두 줄로 구성되어 있으며, 일정 개수 이상의 쿠키가 있을 시 스크롤로 추가 쿠키 확인이 가능하다.</t>
  </si>
  <si>
    <t>쿠키 선택</t>
  </si>
  <si>
    <t>추천 쿠키 사이드바에서 다른 쿠키 터치 시, 해당 쿠키의 추천 조합 정보로 화면이 갱신된다.</t>
  </si>
  <si>
    <t>쿠키 선택 효과음</t>
  </si>
  <si>
    <t>추천 쿠키 사이드바에서 쿠키 선택 시, 선택 효과음이 출력된다.</t>
  </si>
  <si>
    <t>참고 화면: 추천 조합 팝업 사이드바 (연출)</t>
  </si>
  <si>
    <t>선택 강조 표시</t>
  </si>
  <si>
    <t>추천 쿠키 사이드바에서 선택된 쿠키는 외곽이 강조 표시된 상태로 출력된다.</t>
  </si>
  <si>
    <t>필터 영역</t>
  </si>
  <si>
    <t>필터 버튼 진입</t>
  </si>
  <si>
    <t>추천 조합 팝업의 필터 버튼 터치 시, 추천 조합 필터링 팝업이 출력된다.</t>
  </si>
  <si>
    <t>참고 화면: 추천 조합 팝업 필터 영역</t>
  </si>
  <si>
    <t>적용 필터 상태 표시</t>
  </si>
  <si>
    <t>추천 조합 팝업의 필터 영역에 현재 적용된 필터 상태(쿠키 face icon)가 출력된다.</t>
  </si>
  <si>
    <t>필터 적용 시 데이터 갱신</t>
  </si>
  <si>
    <t>필터링 팝업에서 필터 적용 시, 적용된 필터 조건에 맞는 추천 조합 데이터로 갱신된다.</t>
  </si>
  <si>
    <t>참고 화면: 추천 조합 팝업 필터 적용</t>
  </si>
  <si>
    <t>필터 버튼 효과음</t>
  </si>
  <si>
    <t>필터 버튼 터치 시, 버튼 터치 효과음이 출력된다.</t>
  </si>
  <si>
    <t>참고 화면: 추천 조합 팝업 필터 영역 (연출)</t>
  </si>
  <si>
    <t>새로고침 버튼</t>
  </si>
  <si>
    <t>정보 갱신</t>
  </si>
  <si>
    <t>추천 조합 팝업의 새로고침 버튼 터치 시, 페이지의 추천 조합 정보가 최신 데이터로 갱신된다.</t>
  </si>
  <si>
    <t>참고 화면: 추천 조합 팝업 상단 영역</t>
  </si>
  <si>
    <t>콘텐츠 이동 버튼</t>
  </si>
  <si>
    <t>챔피언스 레이드 이동</t>
  </si>
  <si>
    <t>추천 조합 팝업의 '챔피언스 레이드 바로가기' 버튼 터치 시, 챔피언스 레이드 화면으로 이동된다.</t>
  </si>
  <si>
    <t>참고 화면: 추천 조합 팝업 하단 영역</t>
  </si>
  <si>
    <t>이동 시 팝업 종료</t>
  </si>
  <si>
    <t>챔피언스 레이드 바로가기 버튼 터치 시, 추천 조합 팝업이 종료된 후 챔피언스 레이드 화면으로 이동된다.</t>
  </si>
  <si>
    <t>참고 화면: 추천 조합 팝업 → 챔피언스 레이드</t>
  </si>
  <si>
    <t>챔피언스 레이드 바로가기 버튼 터치 시, 버튼 터치 효과음이 출력된다.</t>
  </si>
  <si>
    <t>참고 화면: 추천 조합 팝업 (연출)</t>
  </si>
  <si>
    <t>장비 탭</t>
  </si>
  <si>
    <t>추천 장비 카드</t>
  </si>
  <si>
    <t>1~3순위 카드 출력</t>
  </si>
  <si>
    <t>장비 탭 진입 시, 상위 3개의 추천 장비 조합 카드가 1순위, 2순위, 3순위 순으로 출력된다.</t>
  </si>
  <si>
    <t>참고 화면: 장비 탭 추천 장비 카드</t>
  </si>
  <si>
    <t>순위 라벨 표시</t>
  </si>
  <si>
    <t>각 추천 장비 조합 카드에 1, 2, 3 순위 라벨이 표시된다.</t>
  </si>
  <si>
    <t>사용률 표시</t>
  </si>
  <si>
    <t>각 추천 장비 조합 카드에 해당 조합의 사용률이 백분율로 표시된다.</t>
  </si>
  <si>
    <t>사용률 반올림</t>
  </si>
  <si>
    <t>추천 장비 조합 카드의 사용률은 소수점 첫째자리에서 반올림되어 표시된다.</t>
  </si>
  <si>
    <t>참고 화면: 장비 탭 추천 장비 카드 (사용률)</t>
  </si>
  <si>
    <t>4종 장비 아이콘 출력</t>
  </si>
  <si>
    <t>추천 장비 조합 카드에 무기/모자/상의/하의 4종 장비 아이콘이 출력된다.</t>
  </si>
  <si>
    <t>추천 장비 조합 카드 내 각 장비 아이콘은 등급별 외곽 컬러가 적용되어 출력된다.</t>
  </si>
  <si>
    <t>참고 화면: 장비 탭 추천 장비 카드 (등급 표시)</t>
  </si>
  <si>
    <t>보유 장비 표시</t>
  </si>
  <si>
    <t>추천 장비 조합 카드 내 보유 중인 장비는 보유 상태로 식별 가능한 UI로 출력된다.</t>
  </si>
  <si>
    <t>미보유 장비 표시</t>
  </si>
  <si>
    <t>추천 장비 조합 카드 내 미보유 장비는 미보유 상태로 식별 가능한 UI로 출력된다.</t>
  </si>
  <si>
    <t>다른 쿠키 장착 중 표시</t>
  </si>
  <si>
    <t>추천 장비 조합 카드 내 다른 쿠키가 장착 중인 장비는 다른 쿠키 장착 중 상태로 식별 가능한 UI로 출력된다.</t>
  </si>
  <si>
    <t>장비 상세 진입</t>
  </si>
  <si>
    <t>추천 장비 조합 카드 내 장비 아이콘 터치 시, 해당 장비의 상세 정보 팝업이 출력된다.</t>
  </si>
  <si>
    <t>참고 화면: 장비 탭 추천 장비 카드 (상세 진입)</t>
  </si>
  <si>
    <t>사용중 장비 토스트</t>
  </si>
  <si>
    <t>추천 장비 조합 카드 내 현재 쿠키에 이미 장착된 장비 아이콘 터치 시, '이미 사용중인 장비입니다.' 토스트가 출력된다.</t>
  </si>
  <si>
    <t>참고 화면: 장비 탭 추천 장비 카드 (사용중 토스트)</t>
  </si>
  <si>
    <t>상위 3개 노출</t>
  </si>
  <si>
    <t>장비 탭에서 추천 장비 조합 카드는 상위 3개까지만 출력되며, 4위 이하의 조합은 노출되지 않는다.</t>
  </si>
  <si>
    <t>참고 화면: 장비 탭 추천 장비 카드 (노출 개수)</t>
  </si>
  <si>
    <t>사용률 순 정렬</t>
  </si>
  <si>
    <t>추천 장비 조합 카드는 사용률이 높은 순서대로 1순위부터 3순위까지 정렬되어 출력된다.</t>
  </si>
  <si>
    <t>참고 화면: 장비 탭 추천 장비 카드 (정렬)</t>
  </si>
  <si>
    <t>동률 사용률 처리</t>
  </si>
  <si>
    <t>동일한 사용률을 가진 추천 장비 조합은 같은 순위로 묶여 표시된다.</t>
  </si>
  <si>
    <t>참고 화면: 장비 탭 추천 장비 카드 (동률 표시)</t>
  </si>
  <si>
    <t>조합 따라하기 버튼</t>
  </si>
  <si>
    <t>모두 보유 자동 장착</t>
  </si>
  <si>
    <t>추천 조합 장비를 모두 보유하고 다른 쿠키가 점유하지 않은 상태에서 '조합 따라하기' 버튼 터치 시, 전투력이 가장 높은 장비가 해당 쿠키에 자동 장착된다.</t>
  </si>
  <si>
    <t>참고 화면: 장비 탭 조합 따라하기 (케이스1)</t>
  </si>
  <si>
    <t>모두 보유 적용 토스트</t>
  </si>
  <si>
    <t>추천 조합 장비를 모두 보유한 상태에서 '조합 따라하기' 버튼 터치 시, '조합이 적용되었습니다.' 토스트가 출력된다.</t>
  </si>
  <si>
    <t>이미 장착 상태 처리</t>
  </si>
  <si>
    <t>추천 조합 장비가 이미 해당 쿠키에 장착된 상태에서 '조합 따라하기' 버튼 터치 시, 기존 장착 상태가 유지되고 '조합이 적용되었습니다.' 토스트가 출력된다.</t>
  </si>
  <si>
    <t>부분 보유 장착</t>
  </si>
  <si>
    <t>추천 조합 장비 중 일부가 미보유이거나 다른 쿠키가 장착 중인 상태에서 '조합 따라하기' 버튼 터치 시, 장착 가능한 부위의 장비만 자동 장착되고 나머지는 기존 상태로 유지된다.</t>
  </si>
  <si>
    <t>참고 화면: 장비 탭 조합 따라하기 (케이스2)</t>
  </si>
  <si>
    <t>부분 보유 적용 토스트</t>
  </si>
  <si>
    <t>추천 조합 장비 중 일부만 보유한 상태에서 '조합 따라하기' 버튼 터치 시, '조합이 적용되었습니다.' 토스트가 출력된다.</t>
  </si>
  <si>
    <t>장착 불가 토스트</t>
  </si>
  <si>
    <t>추천 조합 장비를 전부 미보유하거나 모두 다른 쿠키가 장착 중인 상태에서 '조합 따라하기' 버튼 터치 시, '장착할 수 있는 장비가 없습니다.' 토스트가 출력된다.</t>
  </si>
  <si>
    <t>참고 화면: 장비 탭 조합 따라하기 (케이스3)</t>
  </si>
  <si>
    <t>장착 불가 시 장착 미발생</t>
  </si>
  <si>
    <t>추천 조합 장비 장착 불가 상태에서 '조합 따라하기' 버튼 터치 시, 장비 장착 동작이 발생하지 않는다.</t>
  </si>
  <si>
    <t>미보유 쿠키 비활성화</t>
  </si>
  <si>
    <t>미보유 쿠키의 추천 조합 팝업 진입 시, '조합 따라하기' 버튼이 비활성화 상태로 출력된다.</t>
  </si>
  <si>
    <t>참고 화면: 장비 탭 조합 따라하기 (미보유 쿠키)</t>
  </si>
  <si>
    <t>비활성화 시 터치 무반응</t>
  </si>
  <si>
    <t>미보유 쿠키의 추천 조합 팝업에서 비활성화된 '조합 따라하기' 버튼 터치 시, 어떠한 동작도 발생하지 않는다.</t>
  </si>
  <si>
    <t>전투력 우선 장착</t>
  </si>
  <si>
    <t>조합 따라하기 자동 장착 시, 동일 부위에 여러 개의 추천 장비를 보유한 경우 전투력이 가장 높은 장비가 우선 장착된다.</t>
  </si>
  <si>
    <t>참고 화면: 장비 탭 조합 따라하기 (자동 장착 우선순위)</t>
  </si>
  <si>
    <t>장착 후 쿠키 능력치 반영</t>
  </si>
  <si>
    <t>조합 따라하기로 장비가 장착된 후, 해당 쿠키의 능력치가 장착된 장비 기준으로 갱신된다.</t>
  </si>
  <si>
    <t>참고 화면: 장비 탭 조합 따라하기 (능력치 반영)</t>
  </si>
  <si>
    <t>제작소 바로가기</t>
  </si>
  <si>
    <t>제작소 진입</t>
  </si>
  <si>
    <t>추천 장비 카드 내 미보유 장비의 '제작소 바로가기' 버튼 터치 시, 해당 장비의 제작소 화면으로 이동된다.</t>
  </si>
  <si>
    <t>참고 화면: 장비 탭 제작소 바로가기</t>
  </si>
  <si>
    <t>제작소 바로가기 버튼 터치로 이동 시, 추천 조합 팝업이 종료된 후 제작소 화면으로 이동된다.</t>
  </si>
  <si>
    <t>미해금 안내 토스트</t>
  </si>
  <si>
    <t>제작소가 미해금된 상태에서 '제작소 바로가기' 버튼 터치 시, 미해금 안내 토스트가 출력된다.</t>
  </si>
  <si>
    <t>참고 화면: 장비 탭 제작소 바로가기 (미해금)</t>
  </si>
  <si>
    <t>제작소 바로가기 버튼 터치 시, 버튼 터치 효과음이 출력된다.</t>
  </si>
  <si>
    <t>참고 화면: 장비 탭 제작소 바로가기 (연출)</t>
  </si>
  <si>
    <t>효과음/연출</t>
  </si>
  <si>
    <t>카드 터치 효과음</t>
  </si>
  <si>
    <t>장비 탭 추천 장비 조합 카드 내 장비 아이콘 터치 시, 카드 터치 효과음이 출력된다.</t>
  </si>
  <si>
    <t>참고 화면: 장비 탭 (연출)</t>
  </si>
  <si>
    <t>장착 효과음</t>
  </si>
  <si>
    <t>조합 따라하기로 장비가 자동 장착될 시, 장착 효과음이 출력된다.</t>
  </si>
  <si>
    <t>참고 화면: 장비 탭 조합 따라하기 (연출)</t>
  </si>
  <si>
    <t>장착 연출</t>
  </si>
  <si>
    <t>조합 따라하기로 장비가 자동 장착될 시, 장착 연출 애니메이션이 재생된다.</t>
  </si>
  <si>
    <t>조합 따라하기 버튼 효과음</t>
  </si>
  <si>
    <t>조합 따라하기 버튼 터치 시, 버튼 터치 효과음이 출력된다.</t>
  </si>
  <si>
    <t>토스트 출력 연출</t>
  </si>
  <si>
    <t>조합 따라하기 결과 토스트가 출력될 시, 토스트 페이드 인/아웃 연출이 적용되어 표시된다.</t>
  </si>
  <si>
    <t>예외 처리</t>
  </si>
  <si>
    <t>기록 부족 안내</t>
  </si>
  <si>
    <t>챔피언스 레이드 누적 플레이 기록이 1,000명 미만인 쿠키의 장비 탭 진입 시, '기록이 충분하지 않습니다.' 안내 문구가 출력된다.</t>
  </si>
  <si>
    <t>참고 화면: 장비 탭 (기록 부족 케이스)</t>
  </si>
  <si>
    <t>기록 부족 시 카드 미노출</t>
  </si>
  <si>
    <t>챔피언스 레이드 누적 플레이 기록이 1,000명 미만인 쿠키의 장비 탭에서, 추천 장비 조합 카드가 출력되지 않는다.</t>
  </si>
  <si>
    <t>기록 부족 시 따라하기 비활성화</t>
  </si>
  <si>
    <t>장비 탭에서 기록 부족으로 추천 조합이 표시되지 않을 시, '조합 따라하기' 버튼이 비활성화 상태로 출력된다.</t>
  </si>
  <si>
    <t>장비 종 3개 이하 처리</t>
  </si>
  <si>
    <t>상위 1,000명 기준 특정 부위의 사용 장비 종류가 3개 이하인 경우, 해당 부위는 사용된 장비만 출력된다.</t>
  </si>
  <si>
    <t>참고 화면: 장비 탭 (장비 종 부족)</t>
  </si>
  <si>
    <t>장비 종 2개 처리</t>
  </si>
  <si>
    <t>상위 1,000명 기준 특정 부위의 사용 장비 종류가 2개인 경우, 해당 부위는 2개의 장비만 출력된다.</t>
  </si>
  <si>
    <t>데이터 로드 실패</t>
  </si>
  <si>
    <t>추천 조합 데이터 로드 실패 시, '데이터를 불러오지 못했습니다.' 안내 문구가 출력된다.</t>
  </si>
  <si>
    <t>참고 화면: 장비 탭 (데이터 로드 실패)</t>
  </si>
  <si>
    <t>기록 부족 일러스트</t>
  </si>
  <si>
    <t>기록 부족 안내 노출 시, 안내 문구와 함께 일러스트가 출력된다.</t>
  </si>
  <si>
    <t>데이터 갱신</t>
  </si>
  <si>
    <t>갱신 주기</t>
  </si>
  <si>
    <t>24시간 갱신</t>
  </si>
  <si>
    <t>추천 장비 조합 데이터는 24시간 단위로 자동 갱신된다.</t>
  </si>
  <si>
    <t>참고 화면: 추천 조합 팝업 (데이터 갱신)</t>
  </si>
  <si>
    <t>갱신 후 데이터 반영</t>
  </si>
  <si>
    <t>24시간 단위 데이터 갱신 발생 시, 갱신된 추천 장비 조합 데이터가 화면에 반영된다.</t>
  </si>
  <si>
    <t>갱신 안내 문구</t>
  </si>
  <si>
    <t>추천 조합 팝업 내에 데이터 갱신 주기 관련 안내 문구가 출력된다.</t>
  </si>
  <si>
    <t>참고 화면: 추천 조합 팝업 (데이터 갱신 안내)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</si>
</sst>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COUNTIF(I10:I83,"Pass")</f>
      </c>
      <c r="K3" t="s">
        <v>4</v>
      </c>
      <c r="L3">
        <f>COUNTIF(I10:I83,"")</f>
      </c>
      <c r="M3" s="3" t="s">
        <v>3</v>
      </c>
      <c r="N3">
        <f>COUNTIF(J10:J83,"Pass")</f>
      </c>
    </row>
    <row r="4" spans="9:14" x14ac:dyDescent="0.25">
      <c r="I4" s="4" t="s">
        <v>5</v>
      </c>
      <c r="J4">
        <f>COUNTIF(I10:I83,"N/T")</f>
      </c>
      <c r="K4" t="s">
        <v>6</v>
      </c>
      <c r="L4">
        <f>COUNTA(I10:I83)-COUNTIF(I10:I83,"")</f>
      </c>
      <c r="M4" s="4" t="s">
        <v>5</v>
      </c>
      <c r="N4">
        <f>COUNTIF(J10:J83,"N/T")</f>
      </c>
    </row>
    <row r="5" spans="9:14" x14ac:dyDescent="0.25">
      <c r="I5" s="5" t="s">
        <v>7</v>
      </c>
      <c r="J5">
        <f>COUNTIF(I10:I83,"Fail")</f>
      </c>
      <c r="K5" t="s">
        <v>8</v>
      </c>
      <c r="L5">
        <v>74</v>
      </c>
      <c r="M5" s="5" t="s">
        <v>7</v>
      </c>
      <c r="N5">
        <f>COUNTIF(J10:J83,"Fail")</f>
      </c>
    </row>
    <row r="6" spans="9:14" x14ac:dyDescent="0.25">
      <c r="I6" s="6" t="s">
        <v>9</v>
      </c>
      <c r="J6">
        <f>COUNTIF(I10:I83,"Block")</f>
      </c>
      <c r="K6" t="s">
        <v>10</v>
      </c>
      <c r="L6" s="7">
        <f>IF(L5=0,0,L4/L5)</f>
      </c>
      <c r="M6" s="6" t="s">
        <v>9</v>
      </c>
      <c r="N6">
        <f>COUNTIF(J10:J83,"Block")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32</v>
      </c>
    </row>
    <row r="12" spans="2:14" x14ac:dyDescent="0.25">
      <c r="B12" s="9">
        <v>3</v>
      </c>
      <c r="C12" s="10" t="s">
        <v>22</v>
      </c>
      <c r="D12" s="11"/>
      <c r="E12" s="11"/>
      <c r="F12" s="11" t="s">
        <v>33</v>
      </c>
      <c r="G12" s="12" t="s">
        <v>26</v>
      </c>
      <c r="H12" s="13" t="s">
        <v>34</v>
      </c>
      <c r="I12" s="12"/>
      <c r="J12" s="12"/>
      <c r="K12" s="12"/>
      <c r="L12" s="12"/>
      <c r="M12" s="12"/>
      <c r="N12" s="14" t="s">
        <v>35</v>
      </c>
    </row>
    <row r="13" spans="2:14" x14ac:dyDescent="0.25">
      <c r="B13" s="9">
        <v>4</v>
      </c>
      <c r="C13" s="15" t="s">
        <v>29</v>
      </c>
      <c r="D13" s="11"/>
      <c r="E13" s="11"/>
      <c r="F13" s="11"/>
      <c r="G13" s="12" t="s">
        <v>30</v>
      </c>
      <c r="H13" s="13" t="s">
        <v>36</v>
      </c>
      <c r="I13" s="12"/>
      <c r="J13" s="12"/>
      <c r="K13" s="12"/>
      <c r="L13" s="12"/>
      <c r="M13" s="12"/>
      <c r="N13" s="14" t="s">
        <v>37</v>
      </c>
    </row>
    <row r="14" spans="2:14" x14ac:dyDescent="0.25">
      <c r="B14" s="9">
        <v>5</v>
      </c>
      <c r="C14" s="10" t="s">
        <v>22</v>
      </c>
      <c r="D14" s="11"/>
      <c r="E14" s="11"/>
      <c r="F14" s="11" t="s">
        <v>25</v>
      </c>
      <c r="G14" s="12" t="s">
        <v>38</v>
      </c>
      <c r="H14" s="13" t="s">
        <v>39</v>
      </c>
      <c r="I14" s="12"/>
      <c r="J14" s="12"/>
      <c r="K14" s="12"/>
      <c r="L14" s="12"/>
      <c r="M14" s="12"/>
      <c r="N14" s="14" t="s">
        <v>40</v>
      </c>
    </row>
    <row r="15" spans="2:14" x14ac:dyDescent="0.25">
      <c r="B15" s="9">
        <v>6</v>
      </c>
      <c r="C15" s="16" t="s">
        <v>41</v>
      </c>
      <c r="D15" s="11"/>
      <c r="E15" s="11"/>
      <c r="F15" s="11"/>
      <c r="G15" s="12" t="s">
        <v>42</v>
      </c>
      <c r="H15" s="13" t="s">
        <v>43</v>
      </c>
      <c r="I15" s="12"/>
      <c r="J15" s="12"/>
      <c r="K15" s="12"/>
      <c r="L15" s="12"/>
      <c r="M15" s="12"/>
      <c r="N15" s="14" t="s">
        <v>44</v>
      </c>
    </row>
    <row r="16" spans="2:14" x14ac:dyDescent="0.25">
      <c r="B16" s="9">
        <v>7</v>
      </c>
      <c r="C16" s="10" t="s">
        <v>22</v>
      </c>
      <c r="D16" s="11" t="s">
        <v>45</v>
      </c>
      <c r="E16" s="11" t="s">
        <v>46</v>
      </c>
      <c r="F16" s="11" t="s">
        <v>47</v>
      </c>
      <c r="G16" s="12" t="s">
        <v>48</v>
      </c>
      <c r="H16" s="13" t="s">
        <v>49</v>
      </c>
      <c r="I16" s="12"/>
      <c r="J16" s="12"/>
      <c r="K16" s="12"/>
      <c r="L16" s="12"/>
      <c r="M16" s="12"/>
      <c r="N16" s="14" t="s">
        <v>50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51</v>
      </c>
      <c r="H17" s="13" t="s">
        <v>52</v>
      </c>
      <c r="I17" s="12"/>
      <c r="J17" s="12"/>
      <c r="K17" s="12"/>
      <c r="L17" s="12"/>
      <c r="M17" s="12"/>
      <c r="N17" s="14" t="s">
        <v>50</v>
      </c>
    </row>
    <row r="18" spans="2:14" x14ac:dyDescent="0.25">
      <c r="B18" s="9">
        <v>9</v>
      </c>
      <c r="C18" s="16" t="s">
        <v>41</v>
      </c>
      <c r="D18" s="11"/>
      <c r="E18" s="11"/>
      <c r="F18" s="11"/>
      <c r="G18" s="12" t="s">
        <v>53</v>
      </c>
      <c r="H18" s="13" t="s">
        <v>54</v>
      </c>
      <c r="I18" s="12"/>
      <c r="J18" s="12"/>
      <c r="K18" s="12"/>
      <c r="L18" s="12"/>
      <c r="M18" s="12"/>
      <c r="N18" s="14" t="s">
        <v>55</v>
      </c>
    </row>
    <row r="19" spans="2:14" x14ac:dyDescent="0.25">
      <c r="B19" s="9">
        <v>10</v>
      </c>
      <c r="C19" s="10" t="s">
        <v>22</v>
      </c>
      <c r="D19" s="11"/>
      <c r="E19" s="11"/>
      <c r="F19" s="11" t="s">
        <v>56</v>
      </c>
      <c r="G19" s="12" t="s">
        <v>57</v>
      </c>
      <c r="H19" s="13" t="s">
        <v>58</v>
      </c>
      <c r="I19" s="12"/>
      <c r="J19" s="12"/>
      <c r="K19" s="12"/>
      <c r="L19" s="12"/>
      <c r="M19" s="12"/>
      <c r="N19" s="14" t="s">
        <v>59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60</v>
      </c>
      <c r="H20" s="13" t="s">
        <v>61</v>
      </c>
      <c r="I20" s="12"/>
      <c r="J20" s="12"/>
      <c r="K20" s="12"/>
      <c r="L20" s="12"/>
      <c r="M20" s="12"/>
      <c r="N20" s="14" t="s">
        <v>59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62</v>
      </c>
      <c r="H21" s="13" t="s">
        <v>63</v>
      </c>
      <c r="I21" s="12"/>
      <c r="J21" s="12"/>
      <c r="K21" s="12"/>
      <c r="L21" s="12"/>
      <c r="M21" s="12"/>
      <c r="N21" s="14" t="s">
        <v>64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65</v>
      </c>
      <c r="H22" s="13" t="s">
        <v>66</v>
      </c>
      <c r="I22" s="12"/>
      <c r="J22" s="12"/>
      <c r="K22" s="12"/>
      <c r="L22" s="12"/>
      <c r="M22" s="12"/>
      <c r="N22" s="14" t="s">
        <v>64</v>
      </c>
    </row>
    <row r="23" spans="2:14" x14ac:dyDescent="0.25">
      <c r="B23" s="9">
        <v>14</v>
      </c>
      <c r="C23" s="16" t="s">
        <v>41</v>
      </c>
      <c r="D23" s="11"/>
      <c r="E23" s="11"/>
      <c r="F23" s="11"/>
      <c r="G23" s="12" t="s">
        <v>67</v>
      </c>
      <c r="H23" s="13" t="s">
        <v>68</v>
      </c>
      <c r="I23" s="12"/>
      <c r="J23" s="12"/>
      <c r="K23" s="12"/>
      <c r="L23" s="12"/>
      <c r="M23" s="12"/>
      <c r="N23" s="14" t="s">
        <v>69</v>
      </c>
    </row>
    <row r="24" spans="2:14" x14ac:dyDescent="0.25">
      <c r="B24" s="9">
        <v>15</v>
      </c>
      <c r="C24" s="10" t="s">
        <v>22</v>
      </c>
      <c r="D24" s="11"/>
      <c r="E24" s="11"/>
      <c r="F24" s="11" t="s">
        <v>70</v>
      </c>
      <c r="G24" s="12" t="s">
        <v>71</v>
      </c>
      <c r="H24" s="13" t="s">
        <v>72</v>
      </c>
      <c r="I24" s="12"/>
      <c r="J24" s="12"/>
      <c r="K24" s="12"/>
      <c r="L24" s="12"/>
      <c r="M24" s="12"/>
      <c r="N24" s="14" t="s">
        <v>73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74</v>
      </c>
      <c r="H25" s="13" t="s">
        <v>75</v>
      </c>
      <c r="I25" s="12"/>
      <c r="J25" s="12"/>
      <c r="K25" s="12"/>
      <c r="L25" s="12"/>
      <c r="M25" s="12"/>
      <c r="N25" s="14" t="s">
        <v>73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76</v>
      </c>
      <c r="H26" s="13" t="s">
        <v>77</v>
      </c>
      <c r="I26" s="12"/>
      <c r="J26" s="12"/>
      <c r="K26" s="12"/>
      <c r="L26" s="12"/>
      <c r="M26" s="12"/>
      <c r="N26" s="14" t="s">
        <v>78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79</v>
      </c>
      <c r="H27" s="13" t="s">
        <v>80</v>
      </c>
      <c r="I27" s="12"/>
      <c r="J27" s="12"/>
      <c r="K27" s="12"/>
      <c r="L27" s="12"/>
      <c r="M27" s="12"/>
      <c r="N27" s="14" t="s">
        <v>73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81</v>
      </c>
      <c r="H28" s="13" t="s">
        <v>82</v>
      </c>
      <c r="I28" s="12"/>
      <c r="J28" s="12"/>
      <c r="K28" s="12"/>
      <c r="L28" s="12"/>
      <c r="M28" s="12"/>
      <c r="N28" s="14" t="s">
        <v>73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83</v>
      </c>
      <c r="H29" s="13" t="s">
        <v>84</v>
      </c>
      <c r="I29" s="12"/>
      <c r="J29" s="12"/>
      <c r="K29" s="12"/>
      <c r="L29" s="12"/>
      <c r="M29" s="12"/>
      <c r="N29" s="14" t="s">
        <v>73</v>
      </c>
    </row>
    <row r="30" spans="2:14" x14ac:dyDescent="0.25">
      <c r="B30" s="9">
        <v>21</v>
      </c>
      <c r="C30" s="16" t="s">
        <v>41</v>
      </c>
      <c r="D30" s="11"/>
      <c r="E30" s="11"/>
      <c r="F30" s="11"/>
      <c r="G30" s="12" t="s">
        <v>85</v>
      </c>
      <c r="H30" s="13" t="s">
        <v>86</v>
      </c>
      <c r="I30" s="12"/>
      <c r="J30" s="12"/>
      <c r="K30" s="12"/>
      <c r="L30" s="12"/>
      <c r="M30" s="12"/>
      <c r="N30" s="14" t="s">
        <v>87</v>
      </c>
    </row>
    <row r="31" spans="2:14" x14ac:dyDescent="0.25">
      <c r="B31" s="9">
        <v>22</v>
      </c>
      <c r="C31" s="16" t="s">
        <v>41</v>
      </c>
      <c r="D31" s="11"/>
      <c r="E31" s="11"/>
      <c r="F31" s="11"/>
      <c r="G31" s="12" t="s">
        <v>88</v>
      </c>
      <c r="H31" s="13" t="s">
        <v>89</v>
      </c>
      <c r="I31" s="12"/>
      <c r="J31" s="12"/>
      <c r="K31" s="12"/>
      <c r="L31" s="12"/>
      <c r="M31" s="12"/>
      <c r="N31" s="14" t="s">
        <v>73</v>
      </c>
    </row>
    <row r="32" spans="2:14" x14ac:dyDescent="0.25">
      <c r="B32" s="9">
        <v>23</v>
      </c>
      <c r="C32" s="10" t="s">
        <v>22</v>
      </c>
      <c r="D32" s="11"/>
      <c r="E32" s="11"/>
      <c r="F32" s="11" t="s">
        <v>90</v>
      </c>
      <c r="G32" s="12" t="s">
        <v>91</v>
      </c>
      <c r="H32" s="13" t="s">
        <v>92</v>
      </c>
      <c r="I32" s="12"/>
      <c r="J32" s="12"/>
      <c r="K32" s="12"/>
      <c r="L32" s="12"/>
      <c r="M32" s="12"/>
      <c r="N32" s="14" t="s">
        <v>93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94</v>
      </c>
      <c r="H33" s="13" t="s">
        <v>95</v>
      </c>
      <c r="I33" s="12"/>
      <c r="J33" s="12"/>
      <c r="K33" s="12"/>
      <c r="L33" s="12"/>
      <c r="M33" s="12"/>
      <c r="N33" s="14" t="s">
        <v>93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96</v>
      </c>
      <c r="H34" s="13" t="s">
        <v>97</v>
      </c>
      <c r="I34" s="12"/>
      <c r="J34" s="12"/>
      <c r="K34" s="12"/>
      <c r="L34" s="12"/>
      <c r="M34" s="12"/>
      <c r="N34" s="14" t="s">
        <v>98</v>
      </c>
    </row>
    <row r="35" spans="2:14" x14ac:dyDescent="0.25">
      <c r="B35" s="9">
        <v>26</v>
      </c>
      <c r="C35" s="16" t="s">
        <v>41</v>
      </c>
      <c r="D35" s="11"/>
      <c r="E35" s="11"/>
      <c r="F35" s="11"/>
      <c r="G35" s="12" t="s">
        <v>99</v>
      </c>
      <c r="H35" s="13" t="s">
        <v>100</v>
      </c>
      <c r="I35" s="12"/>
      <c r="J35" s="12"/>
      <c r="K35" s="12"/>
      <c r="L35" s="12"/>
      <c r="M35" s="12"/>
      <c r="N35" s="14" t="s">
        <v>101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102</v>
      </c>
      <c r="G36" s="12" t="s">
        <v>103</v>
      </c>
      <c r="H36" s="13" t="s">
        <v>104</v>
      </c>
      <c r="I36" s="12"/>
      <c r="J36" s="12"/>
      <c r="K36" s="12"/>
      <c r="L36" s="12"/>
      <c r="M36" s="12"/>
      <c r="N36" s="14" t="s">
        <v>105</v>
      </c>
    </row>
    <row r="37" spans="2:14" x14ac:dyDescent="0.25">
      <c r="B37" s="9">
        <v>28</v>
      </c>
      <c r="C37" s="10" t="s">
        <v>22</v>
      </c>
      <c r="D37" s="11"/>
      <c r="E37" s="11"/>
      <c r="F37" s="11" t="s">
        <v>106</v>
      </c>
      <c r="G37" s="12" t="s">
        <v>107</v>
      </c>
      <c r="H37" s="13" t="s">
        <v>108</v>
      </c>
      <c r="I37" s="12"/>
      <c r="J37" s="12"/>
      <c r="K37" s="12"/>
      <c r="L37" s="12"/>
      <c r="M37" s="12"/>
      <c r="N37" s="14" t="s">
        <v>109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110</v>
      </c>
      <c r="H38" s="13" t="s">
        <v>111</v>
      </c>
      <c r="I38" s="12"/>
      <c r="J38" s="12"/>
      <c r="K38" s="12"/>
      <c r="L38" s="12"/>
      <c r="M38" s="12"/>
      <c r="N38" s="14" t="s">
        <v>112</v>
      </c>
    </row>
    <row r="39" spans="2:14" x14ac:dyDescent="0.25">
      <c r="B39" s="9">
        <v>30</v>
      </c>
      <c r="C39" s="16" t="s">
        <v>41</v>
      </c>
      <c r="D39" s="11"/>
      <c r="E39" s="11"/>
      <c r="F39" s="11"/>
      <c r="G39" s="12" t="s">
        <v>42</v>
      </c>
      <c r="H39" s="13" t="s">
        <v>113</v>
      </c>
      <c r="I39" s="12"/>
      <c r="J39" s="12"/>
      <c r="K39" s="12"/>
      <c r="L39" s="12"/>
      <c r="M39" s="12"/>
      <c r="N39" s="14" t="s">
        <v>114</v>
      </c>
    </row>
    <row r="40" spans="2:14" x14ac:dyDescent="0.25">
      <c r="B40" s="9">
        <v>31</v>
      </c>
      <c r="C40" s="10" t="s">
        <v>22</v>
      </c>
      <c r="D40" s="11"/>
      <c r="E40" s="11" t="s">
        <v>115</v>
      </c>
      <c r="F40" s="11" t="s">
        <v>116</v>
      </c>
      <c r="G40" s="12" t="s">
        <v>117</v>
      </c>
      <c r="H40" s="13" t="s">
        <v>118</v>
      </c>
      <c r="I40" s="12"/>
      <c r="J40" s="12"/>
      <c r="K40" s="12"/>
      <c r="L40" s="12"/>
      <c r="M40" s="12"/>
      <c r="N40" s="14" t="s">
        <v>119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120</v>
      </c>
      <c r="H41" s="13" t="s">
        <v>121</v>
      </c>
      <c r="I41" s="12"/>
      <c r="J41" s="12"/>
      <c r="K41" s="12"/>
      <c r="L41" s="12"/>
      <c r="M41" s="12"/>
      <c r="N41" s="14" t="s">
        <v>119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122</v>
      </c>
      <c r="H42" s="13" t="s">
        <v>123</v>
      </c>
      <c r="I42" s="12"/>
      <c r="J42" s="12"/>
      <c r="K42" s="12"/>
      <c r="L42" s="12"/>
      <c r="M42" s="12"/>
      <c r="N42" s="14" t="s">
        <v>119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124</v>
      </c>
      <c r="H43" s="13" t="s">
        <v>125</v>
      </c>
      <c r="I43" s="12"/>
      <c r="J43" s="12"/>
      <c r="K43" s="12"/>
      <c r="L43" s="12"/>
      <c r="M43" s="12"/>
      <c r="N43" s="14" t="s">
        <v>126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127</v>
      </c>
      <c r="H44" s="13" t="s">
        <v>128</v>
      </c>
      <c r="I44" s="12"/>
      <c r="J44" s="12"/>
      <c r="K44" s="12"/>
      <c r="L44" s="12"/>
      <c r="M44" s="12"/>
      <c r="N44" s="14" t="s">
        <v>119</v>
      </c>
    </row>
    <row r="45" spans="2:14" x14ac:dyDescent="0.25">
      <c r="B45" s="9">
        <v>36</v>
      </c>
      <c r="C45" s="10" t="s">
        <v>22</v>
      </c>
      <c r="D45" s="11"/>
      <c r="E45" s="11"/>
      <c r="F45" s="11"/>
      <c r="G45" s="12" t="s">
        <v>79</v>
      </c>
      <c r="H45" s="13" t="s">
        <v>129</v>
      </c>
      <c r="I45" s="12"/>
      <c r="J45" s="12"/>
      <c r="K45" s="12"/>
      <c r="L45" s="12"/>
      <c r="M45" s="12"/>
      <c r="N45" s="14" t="s">
        <v>130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131</v>
      </c>
      <c r="H46" s="13" t="s">
        <v>132</v>
      </c>
      <c r="I46" s="12"/>
      <c r="J46" s="12"/>
      <c r="K46" s="12"/>
      <c r="L46" s="12"/>
      <c r="M46" s="12"/>
      <c r="N46" s="14" t="s">
        <v>119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133</v>
      </c>
      <c r="H47" s="13" t="s">
        <v>134</v>
      </c>
      <c r="I47" s="12"/>
      <c r="J47" s="12"/>
      <c r="K47" s="12"/>
      <c r="L47" s="12"/>
      <c r="M47" s="12"/>
      <c r="N47" s="14" t="s">
        <v>119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135</v>
      </c>
      <c r="H48" s="13" t="s">
        <v>136</v>
      </c>
      <c r="I48" s="12"/>
      <c r="J48" s="12"/>
      <c r="K48" s="12"/>
      <c r="L48" s="12"/>
      <c r="M48" s="12"/>
      <c r="N48" s="14" t="s">
        <v>119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137</v>
      </c>
      <c r="H49" s="13" t="s">
        <v>138</v>
      </c>
      <c r="I49" s="12"/>
      <c r="J49" s="12"/>
      <c r="K49" s="12"/>
      <c r="L49" s="12"/>
      <c r="M49" s="12"/>
      <c r="N49" s="14" t="s">
        <v>139</v>
      </c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140</v>
      </c>
      <c r="H50" s="13" t="s">
        <v>141</v>
      </c>
      <c r="I50" s="12"/>
      <c r="J50" s="12"/>
      <c r="K50" s="12"/>
      <c r="L50" s="12"/>
      <c r="M50" s="12"/>
      <c r="N50" s="14" t="s">
        <v>142</v>
      </c>
    </row>
    <row r="51" spans="2:14" x14ac:dyDescent="0.25">
      <c r="B51" s="9">
        <v>42</v>
      </c>
      <c r="C51" s="15" t="s">
        <v>29</v>
      </c>
      <c r="D51" s="11"/>
      <c r="E51" s="11"/>
      <c r="F51" s="11"/>
      <c r="G51" s="12" t="s">
        <v>143</v>
      </c>
      <c r="H51" s="13" t="s">
        <v>144</v>
      </c>
      <c r="I51" s="12"/>
      <c r="J51" s="12"/>
      <c r="K51" s="12"/>
      <c r="L51" s="12"/>
      <c r="M51" s="12"/>
      <c r="N51" s="14" t="s">
        <v>145</v>
      </c>
    </row>
    <row r="52" spans="2:14" x14ac:dyDescent="0.25">
      <c r="B52" s="9">
        <v>43</v>
      </c>
      <c r="C52" s="16" t="s">
        <v>41</v>
      </c>
      <c r="D52" s="11"/>
      <c r="E52" s="11"/>
      <c r="F52" s="11"/>
      <c r="G52" s="12" t="s">
        <v>146</v>
      </c>
      <c r="H52" s="13" t="s">
        <v>147</v>
      </c>
      <c r="I52" s="12"/>
      <c r="J52" s="12"/>
      <c r="K52" s="12"/>
      <c r="L52" s="12"/>
      <c r="M52" s="12"/>
      <c r="N52" s="14" t="s">
        <v>148</v>
      </c>
    </row>
    <row r="53" spans="2:14" x14ac:dyDescent="0.25">
      <c r="B53" s="9">
        <v>44</v>
      </c>
      <c r="C53" s="16" t="s">
        <v>41</v>
      </c>
      <c r="D53" s="11"/>
      <c r="E53" s="11"/>
      <c r="F53" s="11"/>
      <c r="G53" s="12" t="s">
        <v>149</v>
      </c>
      <c r="H53" s="13" t="s">
        <v>150</v>
      </c>
      <c r="I53" s="12"/>
      <c r="J53" s="12"/>
      <c r="K53" s="12"/>
      <c r="L53" s="12"/>
      <c r="M53" s="12"/>
      <c r="N53" s="14" t="s">
        <v>151</v>
      </c>
    </row>
    <row r="54" spans="2:14" x14ac:dyDescent="0.25">
      <c r="B54" s="9">
        <v>45</v>
      </c>
      <c r="C54" s="15" t="s">
        <v>29</v>
      </c>
      <c r="D54" s="11"/>
      <c r="E54" s="11"/>
      <c r="F54" s="11" t="s">
        <v>152</v>
      </c>
      <c r="G54" s="12" t="s">
        <v>153</v>
      </c>
      <c r="H54" s="13" t="s">
        <v>154</v>
      </c>
      <c r="I54" s="12"/>
      <c r="J54" s="12"/>
      <c r="K54" s="12"/>
      <c r="L54" s="12"/>
      <c r="M54" s="12"/>
      <c r="N54" s="14" t="s">
        <v>155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156</v>
      </c>
      <c r="H55" s="13" t="s">
        <v>157</v>
      </c>
      <c r="I55" s="12"/>
      <c r="J55" s="12"/>
      <c r="K55" s="12"/>
      <c r="L55" s="12"/>
      <c r="M55" s="12"/>
      <c r="N55" s="14" t="s">
        <v>155</v>
      </c>
    </row>
    <row r="56" spans="2:14" x14ac:dyDescent="0.25">
      <c r="B56" s="9">
        <v>47</v>
      </c>
      <c r="C56" s="15" t="s">
        <v>29</v>
      </c>
      <c r="D56" s="11"/>
      <c r="E56" s="11"/>
      <c r="F56" s="11"/>
      <c r="G56" s="12" t="s">
        <v>158</v>
      </c>
      <c r="H56" s="13" t="s">
        <v>159</v>
      </c>
      <c r="I56" s="12"/>
      <c r="J56" s="12"/>
      <c r="K56" s="12"/>
      <c r="L56" s="12"/>
      <c r="M56" s="12"/>
      <c r="N56" s="14" t="s">
        <v>155</v>
      </c>
    </row>
    <row r="57" spans="2:14" x14ac:dyDescent="0.25">
      <c r="B57" s="9">
        <v>48</v>
      </c>
      <c r="C57" s="15" t="s">
        <v>29</v>
      </c>
      <c r="D57" s="11"/>
      <c r="E57" s="11"/>
      <c r="F57" s="11"/>
      <c r="G57" s="12" t="s">
        <v>160</v>
      </c>
      <c r="H57" s="13" t="s">
        <v>161</v>
      </c>
      <c r="I57" s="12"/>
      <c r="J57" s="12"/>
      <c r="K57" s="12"/>
      <c r="L57" s="12"/>
      <c r="M57" s="12"/>
      <c r="N57" s="14" t="s">
        <v>162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163</v>
      </c>
      <c r="H58" s="13" t="s">
        <v>164</v>
      </c>
      <c r="I58" s="12"/>
      <c r="J58" s="12"/>
      <c r="K58" s="12"/>
      <c r="L58" s="12"/>
      <c r="M58" s="12"/>
      <c r="N58" s="14" t="s">
        <v>162</v>
      </c>
    </row>
    <row r="59" spans="2:14" x14ac:dyDescent="0.25">
      <c r="B59" s="9">
        <v>50</v>
      </c>
      <c r="C59" s="15" t="s">
        <v>29</v>
      </c>
      <c r="D59" s="11"/>
      <c r="E59" s="11"/>
      <c r="F59" s="11"/>
      <c r="G59" s="12" t="s">
        <v>165</v>
      </c>
      <c r="H59" s="13" t="s">
        <v>166</v>
      </c>
      <c r="I59" s="12"/>
      <c r="J59" s="12"/>
      <c r="K59" s="12"/>
      <c r="L59" s="12"/>
      <c r="M59" s="12"/>
      <c r="N59" s="14" t="s">
        <v>167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168</v>
      </c>
      <c r="H60" s="13" t="s">
        <v>169</v>
      </c>
      <c r="I60" s="12"/>
      <c r="J60" s="12"/>
      <c r="K60" s="12"/>
      <c r="L60" s="12"/>
      <c r="M60" s="12"/>
      <c r="N60" s="14" t="s">
        <v>167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170</v>
      </c>
      <c r="H61" s="13" t="s">
        <v>171</v>
      </c>
      <c r="I61" s="12"/>
      <c r="J61" s="12"/>
      <c r="K61" s="12"/>
      <c r="L61" s="12"/>
      <c r="M61" s="12"/>
      <c r="N61" s="14" t="s">
        <v>172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173</v>
      </c>
      <c r="H62" s="13" t="s">
        <v>174</v>
      </c>
      <c r="I62" s="12"/>
      <c r="J62" s="12"/>
      <c r="K62" s="12"/>
      <c r="L62" s="12"/>
      <c r="M62" s="12"/>
      <c r="N62" s="14" t="s">
        <v>172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175</v>
      </c>
      <c r="H63" s="13" t="s">
        <v>176</v>
      </c>
      <c r="I63" s="12"/>
      <c r="J63" s="12"/>
      <c r="K63" s="12"/>
      <c r="L63" s="12"/>
      <c r="M63" s="12"/>
      <c r="N63" s="14" t="s">
        <v>177</v>
      </c>
    </row>
    <row r="64" spans="2:14" x14ac:dyDescent="0.25">
      <c r="B64" s="9">
        <v>55</v>
      </c>
      <c r="C64" s="15" t="s">
        <v>29</v>
      </c>
      <c r="D64" s="11"/>
      <c r="E64" s="11"/>
      <c r="F64" s="11"/>
      <c r="G64" s="12" t="s">
        <v>178</v>
      </c>
      <c r="H64" s="13" t="s">
        <v>179</v>
      </c>
      <c r="I64" s="12"/>
      <c r="J64" s="12"/>
      <c r="K64" s="12"/>
      <c r="L64" s="12"/>
      <c r="M64" s="12"/>
      <c r="N64" s="14" t="s">
        <v>180</v>
      </c>
    </row>
    <row r="65" spans="2:14" x14ac:dyDescent="0.25">
      <c r="B65" s="9">
        <v>56</v>
      </c>
      <c r="C65" s="10" t="s">
        <v>22</v>
      </c>
      <c r="D65" s="11"/>
      <c r="E65" s="11"/>
      <c r="F65" s="11" t="s">
        <v>181</v>
      </c>
      <c r="G65" s="12" t="s">
        <v>182</v>
      </c>
      <c r="H65" s="13" t="s">
        <v>183</v>
      </c>
      <c r="I65" s="12"/>
      <c r="J65" s="12"/>
      <c r="K65" s="12"/>
      <c r="L65" s="12"/>
      <c r="M65" s="12"/>
      <c r="N65" s="14" t="s">
        <v>184</v>
      </c>
    </row>
    <row r="66" spans="2:14" x14ac:dyDescent="0.25">
      <c r="B66" s="9">
        <v>57</v>
      </c>
      <c r="C66" s="10" t="s">
        <v>22</v>
      </c>
      <c r="D66" s="11"/>
      <c r="E66" s="11"/>
      <c r="F66" s="11"/>
      <c r="G66" s="12" t="s">
        <v>110</v>
      </c>
      <c r="H66" s="13" t="s">
        <v>185</v>
      </c>
      <c r="I66" s="12"/>
      <c r="J66" s="12"/>
      <c r="K66" s="12"/>
      <c r="L66" s="12"/>
      <c r="M66" s="12"/>
      <c r="N66" s="14" t="s">
        <v>184</v>
      </c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186</v>
      </c>
      <c r="H67" s="13" t="s">
        <v>187</v>
      </c>
      <c r="I67" s="12"/>
      <c r="J67" s="12"/>
      <c r="K67" s="12"/>
      <c r="L67" s="12"/>
      <c r="M67" s="12"/>
      <c r="N67" s="14" t="s">
        <v>188</v>
      </c>
    </row>
    <row r="68" spans="2:14" x14ac:dyDescent="0.25">
      <c r="B68" s="9">
        <v>59</v>
      </c>
      <c r="C68" s="16" t="s">
        <v>41</v>
      </c>
      <c r="D68" s="11"/>
      <c r="E68" s="11"/>
      <c r="F68" s="11"/>
      <c r="G68" s="12" t="s">
        <v>42</v>
      </c>
      <c r="H68" s="13" t="s">
        <v>189</v>
      </c>
      <c r="I68" s="12"/>
      <c r="J68" s="12"/>
      <c r="K68" s="12"/>
      <c r="L68" s="12"/>
      <c r="M68" s="12"/>
      <c r="N68" s="14" t="s">
        <v>190</v>
      </c>
    </row>
    <row r="69" spans="2:14" x14ac:dyDescent="0.25">
      <c r="B69" s="9">
        <v>60</v>
      </c>
      <c r="C69" s="16" t="s">
        <v>41</v>
      </c>
      <c r="D69" s="11"/>
      <c r="E69" s="11"/>
      <c r="F69" s="11" t="s">
        <v>191</v>
      </c>
      <c r="G69" s="12" t="s">
        <v>192</v>
      </c>
      <c r="H69" s="13" t="s">
        <v>193</v>
      </c>
      <c r="I69" s="12"/>
      <c r="J69" s="12"/>
      <c r="K69" s="12"/>
      <c r="L69" s="12"/>
      <c r="M69" s="12"/>
      <c r="N69" s="14" t="s">
        <v>194</v>
      </c>
    </row>
    <row r="70" spans="2:14" x14ac:dyDescent="0.25">
      <c r="B70" s="9">
        <v>61</v>
      </c>
      <c r="C70" s="16" t="s">
        <v>41</v>
      </c>
      <c r="D70" s="11"/>
      <c r="E70" s="11"/>
      <c r="F70" s="11"/>
      <c r="G70" s="12" t="s">
        <v>195</v>
      </c>
      <c r="H70" s="13" t="s">
        <v>196</v>
      </c>
      <c r="I70" s="12"/>
      <c r="J70" s="12"/>
      <c r="K70" s="12"/>
      <c r="L70" s="12"/>
      <c r="M70" s="12"/>
      <c r="N70" s="14" t="s">
        <v>197</v>
      </c>
    </row>
    <row r="71" spans="2:14" x14ac:dyDescent="0.25">
      <c r="B71" s="9">
        <v>62</v>
      </c>
      <c r="C71" s="16" t="s">
        <v>41</v>
      </c>
      <c r="D71" s="11"/>
      <c r="E71" s="11"/>
      <c r="F71" s="11"/>
      <c r="G71" s="12" t="s">
        <v>198</v>
      </c>
      <c r="H71" s="13" t="s">
        <v>199</v>
      </c>
      <c r="I71" s="12"/>
      <c r="J71" s="12"/>
      <c r="K71" s="12"/>
      <c r="L71" s="12"/>
      <c r="M71" s="12"/>
      <c r="N71" s="14" t="s">
        <v>197</v>
      </c>
    </row>
    <row r="72" spans="2:14" x14ac:dyDescent="0.25">
      <c r="B72" s="9">
        <v>63</v>
      </c>
      <c r="C72" s="16" t="s">
        <v>41</v>
      </c>
      <c r="D72" s="11"/>
      <c r="E72" s="11"/>
      <c r="F72" s="11"/>
      <c r="G72" s="12" t="s">
        <v>200</v>
      </c>
      <c r="H72" s="13" t="s">
        <v>201</v>
      </c>
      <c r="I72" s="12"/>
      <c r="J72" s="12"/>
      <c r="K72" s="12"/>
      <c r="L72" s="12"/>
      <c r="M72" s="12"/>
      <c r="N72" s="14" t="s">
        <v>197</v>
      </c>
    </row>
    <row r="73" spans="2:14" x14ac:dyDescent="0.25">
      <c r="B73" s="9">
        <v>64</v>
      </c>
      <c r="C73" s="16" t="s">
        <v>41</v>
      </c>
      <c r="D73" s="11"/>
      <c r="E73" s="11"/>
      <c r="F73" s="11"/>
      <c r="G73" s="12" t="s">
        <v>202</v>
      </c>
      <c r="H73" s="13" t="s">
        <v>203</v>
      </c>
      <c r="I73" s="12"/>
      <c r="J73" s="12"/>
      <c r="K73" s="12"/>
      <c r="L73" s="12"/>
      <c r="M73" s="12"/>
      <c r="N73" s="14" t="s">
        <v>197</v>
      </c>
    </row>
    <row r="74" spans="2:14" x14ac:dyDescent="0.25">
      <c r="B74" s="9">
        <v>65</v>
      </c>
      <c r="C74" s="10" t="s">
        <v>22</v>
      </c>
      <c r="D74" s="11"/>
      <c r="E74" s="11"/>
      <c r="F74" s="11" t="s">
        <v>204</v>
      </c>
      <c r="G74" s="12" t="s">
        <v>205</v>
      </c>
      <c r="H74" s="13" t="s">
        <v>206</v>
      </c>
      <c r="I74" s="12"/>
      <c r="J74" s="12"/>
      <c r="K74" s="12"/>
      <c r="L74" s="12"/>
      <c r="M74" s="12"/>
      <c r="N74" s="14" t="s">
        <v>207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208</v>
      </c>
      <c r="H75" s="13" t="s">
        <v>209</v>
      </c>
      <c r="I75" s="12"/>
      <c r="J75" s="12"/>
      <c r="K75" s="12"/>
      <c r="L75" s="12"/>
      <c r="M75" s="12"/>
      <c r="N75" s="14" t="s">
        <v>207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210</v>
      </c>
      <c r="H76" s="13" t="s">
        <v>211</v>
      </c>
      <c r="I76" s="12"/>
      <c r="J76" s="12"/>
      <c r="K76" s="12"/>
      <c r="L76" s="12"/>
      <c r="M76" s="12"/>
      <c r="N76" s="14" t="s">
        <v>207</v>
      </c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212</v>
      </c>
      <c r="H77" s="13" t="s">
        <v>213</v>
      </c>
      <c r="I77" s="12"/>
      <c r="J77" s="12"/>
      <c r="K77" s="12"/>
      <c r="L77" s="12"/>
      <c r="M77" s="12"/>
      <c r="N77" s="14" t="s">
        <v>214</v>
      </c>
    </row>
    <row r="78" spans="2:14" x14ac:dyDescent="0.25">
      <c r="B78" s="9">
        <v>69</v>
      </c>
      <c r="C78" s="10" t="s">
        <v>22</v>
      </c>
      <c r="D78" s="11"/>
      <c r="E78" s="11"/>
      <c r="F78" s="11"/>
      <c r="G78" s="12" t="s">
        <v>215</v>
      </c>
      <c r="H78" s="13" t="s">
        <v>216</v>
      </c>
      <c r="I78" s="12"/>
      <c r="J78" s="12"/>
      <c r="K78" s="12"/>
      <c r="L78" s="12"/>
      <c r="M78" s="12"/>
      <c r="N78" s="14" t="s">
        <v>214</v>
      </c>
    </row>
    <row r="79" spans="2:14" x14ac:dyDescent="0.25">
      <c r="B79" s="9">
        <v>70</v>
      </c>
      <c r="C79" s="15" t="s">
        <v>29</v>
      </c>
      <c r="D79" s="11"/>
      <c r="E79" s="11"/>
      <c r="F79" s="11"/>
      <c r="G79" s="12" t="s">
        <v>217</v>
      </c>
      <c r="H79" s="13" t="s">
        <v>218</v>
      </c>
      <c r="I79" s="12"/>
      <c r="J79" s="12"/>
      <c r="K79" s="12"/>
      <c r="L79" s="12"/>
      <c r="M79" s="12"/>
      <c r="N79" s="14" t="s">
        <v>219</v>
      </c>
    </row>
    <row r="80" spans="2:14" x14ac:dyDescent="0.25">
      <c r="B80" s="9">
        <v>71</v>
      </c>
      <c r="C80" s="16" t="s">
        <v>41</v>
      </c>
      <c r="D80" s="11"/>
      <c r="E80" s="11"/>
      <c r="F80" s="11"/>
      <c r="G80" s="12" t="s">
        <v>220</v>
      </c>
      <c r="H80" s="13" t="s">
        <v>221</v>
      </c>
      <c r="I80" s="12"/>
      <c r="J80" s="12"/>
      <c r="K80" s="12"/>
      <c r="L80" s="12"/>
      <c r="M80" s="12"/>
      <c r="N80" s="14" t="s">
        <v>207</v>
      </c>
    </row>
    <row r="81" spans="2:14" x14ac:dyDescent="0.25">
      <c r="B81" s="9">
        <v>72</v>
      </c>
      <c r="C81" s="10" t="s">
        <v>22</v>
      </c>
      <c r="D81" s="11"/>
      <c r="E81" s="11" t="s">
        <v>222</v>
      </c>
      <c r="F81" s="11" t="s">
        <v>223</v>
      </c>
      <c r="G81" s="12" t="s">
        <v>224</v>
      </c>
      <c r="H81" s="13" t="s">
        <v>225</v>
      </c>
      <c r="I81" s="12"/>
      <c r="J81" s="12"/>
      <c r="K81" s="12"/>
      <c r="L81" s="12"/>
      <c r="M81" s="12"/>
      <c r="N81" s="14" t="s">
        <v>226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227</v>
      </c>
      <c r="H82" s="13" t="s">
        <v>228</v>
      </c>
      <c r="I82" s="12"/>
      <c r="J82" s="12"/>
      <c r="K82" s="12"/>
      <c r="L82" s="12"/>
      <c r="M82" s="12"/>
      <c r="N82" s="14" t="s">
        <v>226</v>
      </c>
    </row>
    <row r="83" spans="2:14" x14ac:dyDescent="0.25">
      <c r="B83" s="9">
        <v>74</v>
      </c>
      <c r="C83" s="16" t="s">
        <v>41</v>
      </c>
      <c r="D83" s="11"/>
      <c r="E83" s="11"/>
      <c r="F83" s="11"/>
      <c r="G83" s="12" t="s">
        <v>229</v>
      </c>
      <c r="H83" s="13" t="s">
        <v>230</v>
      </c>
      <c r="I83" s="12"/>
      <c r="J83" s="12"/>
      <c r="K83" s="12"/>
      <c r="L83" s="12"/>
      <c r="M83" s="12"/>
      <c r="N83" s="14" t="s">
        <v>231</v>
      </c>
    </row>
  </sheetData>
  <mergeCells count="20">
    <mergeCell ref="D10:D15"/>
    <mergeCell ref="E10:E15"/>
    <mergeCell ref="F10:F11"/>
    <mergeCell ref="F12:F13"/>
    <mergeCell ref="F14:F15"/>
    <mergeCell ref="D16:D83"/>
    <mergeCell ref="E16:E39"/>
    <mergeCell ref="F16:F18"/>
    <mergeCell ref="F19:F23"/>
    <mergeCell ref="F24:F31"/>
    <mergeCell ref="F32:F35"/>
    <mergeCell ref="F37:F39"/>
    <mergeCell ref="E40:E80"/>
    <mergeCell ref="F40:F53"/>
    <mergeCell ref="F54:F64"/>
    <mergeCell ref="F65:F68"/>
    <mergeCell ref="F69:F73"/>
    <mergeCell ref="F74:F80"/>
    <mergeCell ref="E81:E83"/>
    <mergeCell ref="F81:F83"/>
  </mergeCells>
  <dataValidations count="1">
    <dataValidation type="list" allowBlank="1" showErrorMessage="1" errorTitle="잘못된 값" error="Pass, Fail, N/T, Block 중 하나를 선택하세요." sqref="I10:J8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수정 테스트 - 페이즈 1 - TC 생성 - 장비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2026-05-12T09:00:12Z</dcterms:created>
  <dcterms:modified xsi:type="dcterms:W3CDTF">2026-05-12T09:00:12Z</dcterms:modified>
</cp:coreProperties>
</file>