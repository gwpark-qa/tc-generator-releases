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랜덤 챌린지 끝없는 주사위 시즌 TC" state="visible" r:id="rId4"/>
  </sheets>
  <calcPr calcId="171027"/>
</workbook>
</file>

<file path=xl/sharedStrings.xml><?xml version="1.0" encoding="utf-8"?>
<sst xmlns="http://schemas.openxmlformats.org/spreadsheetml/2006/main" count="524" uniqueCount="402">
  <si>
    <t>(C)랜덤 챌린지 끝없는 주사위 시즌 TC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</si>
  <si>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</si>
  <si>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</si>
  <si>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</si>
  <si>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</si>
  <si>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</si>
  <si>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</si>
  <si>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</si>
  <si>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</si>
  <si>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</si>
  <si>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</si>
  <si>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</si>
  <si>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</si>
  <si>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</si>
  <si>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</si>
  <si>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</si>
  <si>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</si>
  <si>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</si>
  <si>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</si>
  <si>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</si>
  <si>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</si>
  <si>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</si>
  <si>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</si>
  <si>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시즌 튜토리얼</t>
  </si>
  <si>
    <t>최초 진입 안내</t>
  </si>
  <si>
    <t>스페셜 이벤트 팝업</t>
  </si>
  <si>
    <t>팝업 출력</t>
  </si>
  <si>
    <t>랜덤 챌린지 주사위 시즌 최초 진입 시, 시즌 안내 스페셜 이벤트 팝업이 출력된다.</t>
  </si>
  <si>
    <t>참고 화면: 1. 일반 주사위 획득 - 최초 진입 시 주사위 지급</t>
  </si>
  <si>
    <t>확인 버튼</t>
  </si>
  <si>
    <t>스페셜 이벤트 안내 팝업의 닫기 버튼 터치 시, 팝업이 종료되고 후속 안내 팝업으로 전환된다.</t>
  </si>
  <si>
    <t>Normal</t>
  </si>
  <si>
    <t>연출 스킵</t>
  </si>
  <si>
    <t>스페셜 이벤트 진행 연출 중 quick 버튼 터치 시, 연출이 생략되고 다음 흐름으로 전환된다.</t>
  </si>
  <si>
    <t>참고 화면: 1. 일반 주사위 획득 - 연출 생략(quick 버전)</t>
  </si>
  <si>
    <t>메인화면 진입 연출</t>
  </si>
  <si>
    <t>주사위 떨어지는 연출</t>
  </si>
  <si>
    <t>메인화면 진입 시, 상단에서 주사위가 순차적으로 박스 안으로 떨어지는 연출이 재생된다.</t>
  </si>
  <si>
    <t>참고 화면: 2. 주사위 도전 - 강제 진입 외 메인화면 진입 방법</t>
  </si>
  <si>
    <t>진행중 미션 포커싱</t>
  </si>
  <si>
    <t>메인화면 진입 연출 종료 후, 현재 진행중인 미션에 포커싱이 표시된다.</t>
  </si>
  <si>
    <t>2단계 미션 가이드</t>
  </si>
  <si>
    <t>가이드 애니메이션</t>
  </si>
  <si>
    <t>1회 재생</t>
  </si>
  <si>
    <t>2단계 미션 최초 진입 시, 가이드 애니메이션이 1회 재생된다.</t>
  </si>
  <si>
    <t>참고 화면: 2. 주사위 도전 - 2단계 최초 진입 시 튜토리얼 애니메이션</t>
  </si>
  <si>
    <t>터치 시 사라짐</t>
  </si>
  <si>
    <t>2단계 미션 가이드 애니메이션 재생 중 화면 터치 시, 가이드 애니메이션이 사라진다.</t>
  </si>
  <si>
    <t>참고 화면: 2. 주사위 도전 - 가이드 애니메이션 재생(터치하면 사라짐)</t>
  </si>
  <si>
    <t>수량 표기 제거</t>
  </si>
  <si>
    <t>2단계 미션 진입 시, 주사위 수량 표기가 제거된 상태로 출력된다.</t>
  </si>
  <si>
    <t>참고 화면: 2. 주사위 도전 - 수량 표기 케이스 제거</t>
  </si>
  <si>
    <t>연출 순서</t>
  </si>
  <si>
    <t>굴리기 연출 후 드래그 애니메이션</t>
  </si>
  <si>
    <t>주사위 굴리는 연출이 먼저 발생 시, 굴리기 연출 종료 후에 드래그 가이드 애니메이션이 재생된다.</t>
  </si>
  <si>
    <t>참고 화면: 2. 주사위 도전 - 연출 충돌 케이스</t>
  </si>
  <si>
    <t>튜토리얼 재생 예외</t>
  </si>
  <si>
    <t>재진입 시 미재생</t>
  </si>
  <si>
    <t>최초 진입 튜토리얼 미재생</t>
  </si>
  <si>
    <t>시즌 안내 튜토리얼을 이미 시청한 유저가 새로 랜챌을 재진입 시, 시즌 안내 튜토리얼이 재생되지 않는다.</t>
  </si>
  <si>
    <t>참고 화면: 2. 주사위 도전 - 1회만 재생 규칙</t>
  </si>
  <si>
    <t>2단계 가이드 애니메이션 미재생</t>
  </si>
  <si>
    <t>2단계 미션 가이드 애니메이션을 이미 시청한 유저가 새로 랜챌을 재진입 시, 2단계 가이드 애니메이션이 재생되지 않는다.</t>
  </si>
  <si>
    <t>참고 화면: 2. 주사위 도전 - 2단계 1회만 재생 규칙</t>
  </si>
  <si>
    <t>준비화면 튜토리얼 발생</t>
  </si>
  <si>
    <t>준비화면 진입 시, gd데이터 작업에 의한 튜토리얼이 발생된다.</t>
  </si>
  <si>
    <t>참고 화면: 2. 주사위 도전 - 준비 화면에서 튜토리얼 발생</t>
  </si>
  <si>
    <t>주사위 획득</t>
  </si>
  <si>
    <t>축복 선택</t>
  </si>
  <si>
    <t>축복 3종 선택 화면</t>
  </si>
  <si>
    <t>선택 화면 출력</t>
  </si>
  <si>
    <t>축복 선택 진입 시, 축복 3종 선택 화면이 출력된다.</t>
  </si>
  <si>
    <t>참고 화면: 1-1. 축복 선택 시</t>
  </si>
  <si>
    <t>Critical</t>
  </si>
  <si>
    <t>캐릭터 선택 시 주사위 동반 획득</t>
  </si>
  <si>
    <t>축복 선택 시, 해당 축복과 함께 주사위가 최대 2개까지 동반 지급된다.</t>
  </si>
  <si>
    <t>축복 효과 적용 연출</t>
  </si>
  <si>
    <t>축복 선택 완료 시, 메인 화면에 축복 효과 적용 연출이 출력된다.</t>
  </si>
  <si>
    <t>참고 화면: 1-1. 축복 선택 시 - 축복 효과 적용</t>
  </si>
  <si>
    <t>결제 분기</t>
  </si>
  <si>
    <t>크리스탈 가격 표기</t>
  </si>
  <si>
    <t>축복 구매 팝업에 크리스탈 결제 옵션의 가격(4,000)이 표기된다.</t>
  </si>
  <si>
    <t>참고 화면: 1-1. 축복 선택 - 크리스탈을 통해 구매</t>
  </si>
  <si>
    <t>프리미엄 가격 표기</t>
  </si>
  <si>
    <t>축복 구매 팝업에 프리미엄 결제 옵션의 가격이 표기된다.</t>
  </si>
  <si>
    <t>참고 화면: 1-1. 축복 선택 - 프리미엄을 통해 축복 선택</t>
  </si>
  <si>
    <t>축복 포인트 사용</t>
  </si>
  <si>
    <t>축복 포인트 사용 옵션 선택 시, 축복 포인트가 차감되며 축복이 선택된다.</t>
  </si>
  <si>
    <t>참고 화면: 1-1. 축복 선택 - 축복 포인트 사용</t>
  </si>
  <si>
    <t>주자 선택</t>
  </si>
  <si>
    <t>조합 선택</t>
  </si>
  <si>
    <t>조합별 주사위 할당 출력</t>
  </si>
  <si>
    <t>주자 선택 화면 진입 시, 각 조합별로 할당된 주사위 정보가 출력된다.</t>
  </si>
  <si>
    <t>참고 화면: 2. 주자 선택</t>
  </si>
  <si>
    <t>조합 선택 시 주사위 동반 획득</t>
  </si>
  <si>
    <t>주자 조합 선택 시, 해당 조합에 할당된 주사위가 최대 2개까지 동반 지급된다.</t>
  </si>
  <si>
    <t>참고 화면: 2. 주자 선택 - 조합마다 주사위 할당</t>
  </si>
  <si>
    <t>도전 버튼 표기</t>
  </si>
  <si>
    <t>1주차 도전 버튼 미노출</t>
  </si>
  <si>
    <t>1주차 진행 중인 유저의 화면에서, 주사위 도전 버튼이 미노출 처리된다.</t>
  </si>
  <si>
    <t>참고 화면: 2. 주자 선택 - 1주차 한정</t>
  </si>
  <si>
    <t>첫 주자 도전 버튼 미노출</t>
  </si>
  <si>
    <t>첫번째 주자 선택 화면에서, 주사위 도전 진입 버튼이 미노출 처리된다.</t>
  </si>
  <si>
    <t>참고 화면: 2. 주자 선택 - 첫번째 주자 선택</t>
  </si>
  <si>
    <t>말풍선 노출</t>
  </si>
  <si>
    <t>주사위 획득 후 굴릴 주사위가 있는 경우, 주사위 도전 버튼에 물음표 말풍선이 노출된다.</t>
  </si>
  <si>
    <t>참고 화면: 2. 주자 선택 - 말풍선 표시(물음표)</t>
  </si>
  <si>
    <t>말풍선 제거</t>
  </si>
  <si>
    <t>주사위 도전 버튼 터치 후 미션 화면으로 진입 시, 도전 버튼의 말풍선이 제거된다.</t>
  </si>
  <si>
    <t>참고 화면: 2. 주사위 도전 - 말풍선 제거</t>
  </si>
  <si>
    <t>이벤트 화면 이동</t>
  </si>
  <si>
    <t>주사위 도전 버튼 터치 시, 주사위 미션 이벤트 화면으로 이동된다.</t>
  </si>
  <si>
    <t>참고 화면: 2. 주자 선택 - 이벤트 화면 이동</t>
  </si>
  <si>
    <t>플레이 보상</t>
  </si>
  <si>
    <t>결과 화면</t>
  </si>
  <si>
    <t>최고 점수 기준 주사위 산정</t>
  </si>
  <si>
    <t>이어달리기 플레이 결과 화면에서, 해당 주차에서 획득한 최고 점수 기준으로 주사위 수량이 산정되어 지급된다.</t>
  </si>
  <si>
    <t>참고 화면: 1. 최초 진입 시 주사위 지급 - 수치/스펙 메모</t>
  </si>
  <si>
    <t>재도전 보상</t>
  </si>
  <si>
    <t>점수 미달 시 변동 없음</t>
  </si>
  <si>
    <t>재도전 점수가 이전 최고 점수보다 낮은 경우, 주사위 지급 수량에 변동이 발생하지 않는다.</t>
  </si>
  <si>
    <t>참고 화면: 1. 최초 진입 시 주사위 지급 - 재도전 점수 룰</t>
  </si>
  <si>
    <t>보상 팝업 출력</t>
  </si>
  <si>
    <t>이어달리기 플레이 결과 후, 주사위 지급 안내 보상 팝업이 출력된다.</t>
  </si>
  <si>
    <t>참고 화면: 3. 플레이 보상</t>
  </si>
  <si>
    <t>이어달리기 획득 주사위 표기</t>
  </si>
  <si>
    <t>결과 화면에서, 이어달리기로 획득한 주사위가 표기된다.</t>
  </si>
  <si>
    <t>참고 화면: 1. 이어달리기로 획득한 주사위 표시</t>
  </si>
  <si>
    <t>점수 및 층수 표기</t>
  </si>
  <si>
    <t>이어달리기 결과 화면에 최종 점수와 층수가 표기된다.</t>
  </si>
  <si>
    <t>참고 화면: 3. 플레이 보상 (25,947,886 / 30층)</t>
  </si>
  <si>
    <t>주사위 미션</t>
  </si>
  <si>
    <t>미션 화면 진입</t>
  </si>
  <si>
    <t>메인 미션 포커싱</t>
  </si>
  <si>
    <t>현재 미션 포커싱 출력</t>
  </si>
  <si>
    <t>주사위 미션 화면 진입 시, 현재 진행중인 미션 단계로 포커싱이 표시된다.</t>
  </si>
  <si>
    <t>참고 화면: 3. 주사위 미션 화면</t>
  </si>
  <si>
    <t>보유 주사위 트레이 출력</t>
  </si>
  <si>
    <t>미션 화면 하단에 보유한 주사위 인벤토리 트레이가 출력된다.</t>
  </si>
  <si>
    <t>참고 화면: 3. 주사위 미션 화면 - 보유 주사위 트레이</t>
  </si>
  <si>
    <t>달성 보상 리스트 출력</t>
  </si>
  <si>
    <t>미션 화면 우측에 달성 보상 리스트가 출력된다.</t>
  </si>
  <si>
    <t>참고 화면: 3. 주사위 미션 화면 - 달성 보상 리스트</t>
  </si>
  <si>
    <t>인포 버튼 미션 목록</t>
  </si>
  <si>
    <t>미션 목록 팝업 출력</t>
  </si>
  <si>
    <t>인포(i) 버튼 터치 시, 단계별 미션 목록 확인 팝업이 출력된다.</t>
  </si>
  <si>
    <t>참고 화면: 4. 다른 단계의 미션 확인</t>
  </si>
  <si>
    <t>6단계 이후 무작위 미션 표기</t>
  </si>
  <si>
    <t>미션 목록 팝업에서 6단계 이후의 미션은 무작위 미션임이 표기된다.</t>
  </si>
  <si>
    <t>참고 화면: 4. 다른 단계의 미션 확인 - 무작위 미션 표시</t>
  </si>
  <si>
    <t>보상 미공개 표기</t>
  </si>
  <si>
    <t>미션 목록 팝업에서 미공개 단계의 보상은 '?' 형태로 표기된다.</t>
  </si>
  <si>
    <t>참고 화면: 4. 미션 단계별 보상은 '?' 형태로 미공개 표시</t>
  </si>
  <si>
    <t>주사위 조작</t>
  </si>
  <si>
    <t>주사위 등록</t>
  </si>
  <si>
    <t>드래그 등록 동작</t>
  </si>
  <si>
    <t>보유한 주사위를 빈 슬롯으로 드래그 시, 해당 슬롯에 주사위가 등록된다.</t>
  </si>
  <si>
    <t>참고 화면: 5. 주사위 미션 조작 방법</t>
  </si>
  <si>
    <t>칸 진입 시 진동/달그락 사운드</t>
  </si>
  <si>
    <t>주사위가 슬롯에 등록될 시, 진동 및 달그락 사운드 효과가 재생된다.</t>
  </si>
  <si>
    <t>참고 화면: 5-1. 주사위 넣을 때 연출</t>
  </si>
  <si>
    <t>슬롯 장착 애니메이션</t>
  </si>
  <si>
    <t>주사위 슬롯 장착 시, Slot_In 애니메이션이 재생된다.</t>
  </si>
  <si>
    <t>참고 화면: 5-1. 타임라인 Slot_In</t>
  </si>
  <si>
    <t>Grab/Hold 애니메이션</t>
  </si>
  <si>
    <t>주사위 터치하여 잡을 시 Grab 애니메이션이 재생되고, 잡은 상태 유지 시 Hold 애니메이션이 재생된다.</t>
  </si>
  <si>
    <t>참고 화면: 5-1. 타임라인 Grab/Hold</t>
  </si>
  <si>
    <t>주사위 회수</t>
  </si>
  <si>
    <t>마이너스 버튼 터치 회수</t>
  </si>
  <si>
    <t>장착된 주사위의 마이너스(-) 버튼 터치 시, 해당 주사위가 슬롯에서 회수되어 보관함으로 돌아간다.</t>
  </si>
  <si>
    <t>참고 화면: 5-1. 주사위 뺄 때 연출</t>
  </si>
  <si>
    <t>회수 사운드</t>
  </si>
  <si>
    <t>주사위 회수 시, 등록 시와 다른 회수 사운드(달그락/뽁)가 재생된다.</t>
  </si>
  <si>
    <t>주사위 상태 표기</t>
  </si>
  <si>
    <t>장착 중인 주사위 마이너스 뱃지</t>
  </si>
  <si>
    <t>장착 중인 주사위의 우상단에 빨간색 마이너스(-) 뱃지가 표시된다.</t>
  </si>
  <si>
    <t>참고 화면: A. 주사위 상태 case</t>
  </si>
  <si>
    <t>보유 수량 뱃지</t>
  </si>
  <si>
    <t>보유 주사위가 여러 개일 시, 우상단에 녹색 원 안에 수량이 표기된다.</t>
  </si>
  <si>
    <t>참고 화면: A. 주사위 상태 - 수량 뱃지</t>
  </si>
  <si>
    <t>미션 케이스</t>
  </si>
  <si>
    <t>CASE1 동일 눈 2개</t>
  </si>
  <si>
    <t>가이드 반투명 표시</t>
  </si>
  <si>
    <t>CASE1에서 첫 주사위 등록 시, 동일한 눈을 등록해야 하는 나머지 빈칸에 반투명 가이드가 출력된다.</t>
  </si>
  <si>
    <t>참고 화면: 6. CASE1 같은 눈의 주사위 2개 등록</t>
  </si>
  <si>
    <t>맞게 등록 시 가이드 제거</t>
  </si>
  <si>
    <t>CASE1에서 동일한 눈의 주사위를 맞게 등록 시, 반투명 가이드가 제거된다.</t>
  </si>
  <si>
    <t>참고 화면: 6. CASE1 - 맞게 넣었을 시 가이드 제거</t>
  </si>
  <si>
    <t>CASE2 연속 주사위</t>
  </si>
  <si>
    <t>위치별 가이드 표시</t>
  </si>
  <si>
    <t>CASE2에서 첫번째/중앙/마지막 칸에 주사위 등록 시, 등록 위치에 따라 연속된 숫자 가이드가 단계별로 출력된다.</t>
  </si>
  <si>
    <t>참고 화면: 7. CASE2 연속되는 주사위 등록</t>
  </si>
  <si>
    <t>순서 무관 등록</t>
  </si>
  <si>
    <t>CASE2에서 연속되는 주사위 등록 시, 등록 순서와 무관하게 최종 조합이 연속된 숫자이면 조건이 충족된다.</t>
  </si>
  <si>
    <t>참고 화면: 7. CASE2 - 순서 무관 (3,2,1 순서대로 내도 됨)</t>
  </si>
  <si>
    <t>지정 숫자 케이스 가이드 제거</t>
  </si>
  <si>
    <t>지정한 숫자를 넣어야 하는 케이스의 경우, 위치별 가이드 표시가 제거된다.</t>
  </si>
  <si>
    <t>참고 화면: 7. 지정한 숫자를 넣어야 하는 경우 제외 가이드 제거</t>
  </si>
  <si>
    <t>CASE3 합계 미션</t>
  </si>
  <si>
    <t>마지막 슬롯 유효성 체크</t>
  </si>
  <si>
    <t>CASE3 합계 미션에서, 마지막 슬롯에 주사위 등록 시에만 합계 조건 유효성 체크가 수행된다.</t>
  </si>
  <si>
    <t>참고 화면: 8. CASE3 - 마지막 슬롯에서만 유효성 체크</t>
  </si>
  <si>
    <t>미충족 색상 빨강 표시</t>
  </si>
  <si>
    <t>마지막 슬롯 등록 후 합이 조건에 미충족 시, 합계 표기가 빨간색(#FF4940)으로 출력된다.</t>
  </si>
  <si>
    <t>참고 화면: 8. CASE3 - 색상 FF4940</t>
  </si>
  <si>
    <t>충족 색상 초록 표시</t>
  </si>
  <si>
    <t>마지막 슬롯 등록 후 합이 조건에 충족 시, 합계 표기가 초록색(#87EF00)으로 출력된다.</t>
  </si>
  <si>
    <t>참고 화면: 8. CASE3 - 색상 87EF00</t>
  </si>
  <si>
    <t>잘못된 주사위 드래그 시 보관함 복귀</t>
  </si>
  <si>
    <t>가이드에 표시된 주사위가 아닌 잘못된 주사위 드래그 시도 시, 해당 주사위가 보관함으로 복귀되고 안내 토스트 팝업이 출력된다.</t>
  </si>
  <si>
    <t>참고 화면: 9. 조건에 충족되지 않은 주사위를 넣을 경우</t>
  </si>
  <si>
    <t>빈칸 가이드</t>
  </si>
  <si>
    <t>1~6눈 빈칸 가이드 출력</t>
  </si>
  <si>
    <t>주사위 미션 빈칸에 1~6눈 패턴별 가이드(점선 라운드 박스)가 출력된다.</t>
  </si>
  <si>
    <t>참고 화면: B. 빈칸 상태</t>
  </si>
  <si>
    <t>7 이상 빈칸 표기</t>
  </si>
  <si>
    <t>7 이상의 눈 빈칸 가이드는 숫자와 배경이 분리된 형태로 출력된다.</t>
  </si>
  <si>
    <t>참��� 화면: B. 빈칸 상태 - 7 이상부터 분리</t>
  </si>
  <si>
    <t>미션 완료 및 보상</t>
  </si>
  <si>
    <t>완료 버튼 활성화</t>
  </si>
  <si>
    <t>조건 충족 시 활성화</t>
  </si>
  <si>
    <t>미션 조건 충족 시, 완료 버튼이 활성화된다.</t>
  </si>
  <si>
    <t>참고 화면: 10. 조건 만족 시</t>
  </si>
  <si>
    <t>사용 주사위 소멸 말풍선</t>
  </si>
  <si>
    <t>미션 조건 충족 시, 사용한 주사위가 사라진다는 안내 말풍선이 출력된다.</t>
  </si>
  <si>
    <t>참고 화면: 10. 말풍선 노티로 사용한 주사위는 사라진다고 표시</t>
  </si>
  <si>
    <t>보상 지급</t>
  </si>
  <si>
    <t>CASE1 전체 지급</t>
  </si>
  <si>
    <t>미션 완료 시 보상 케이스가 CASE1인 경우, 목록에 있는 모든 보상이 일괄 지급된다.</t>
  </si>
  <si>
    <t>참고 화면: 11. 달성 보상 - CASE1</t>
  </si>
  <si>
    <t>CASE2 선택 보상 팝업</t>
  </si>
  <si>
    <t>미션 완료 시 보상 케이스가 CASE2인 경우, 선택 보상 팝업이 출력되고 1개 선택 후 해당 보상이 지급된다.</t>
  </si>
  <si>
    <t>참고 화면: 11. 달성 보상 - CASE2</t>
  </si>
  <si>
    <t>단계별 완료 처리</t>
  </si>
  <si>
    <t>1~5단계 완료 결과창</t>
  </si>
  <si>
    <t>1~5단계 미션 완료 시, 주사위 미션 완료 결과창이 출력된다.</t>
  </si>
  <si>
    <t>참고 화면: 12. 미션 완료 (1~5단계)</t>
  </si>
  <si>
    <t>6단계 완료 보상 분기 - 주사위</t>
  </si>
  <si>
    <t>6단계 미션 완료 시 보상이 주사위인 경우, 보상이 바로 오픈되어 지급된다.</t>
  </si>
  <si>
    <t>참고 화면: 13. 미션 완료 (6단계) - 보상이 주사위인 경우</t>
  </si>
  <si>
    <t>6단계 완료 보상 분기 - 버프</t>
  </si>
  <si>
    <t>6단계 미션 완료 시 보상이 버프인 경우, 디깅 연출 후 해당 버프가 지급된다.</t>
  </si>
  <si>
    <t>참고 화면: 13. 미션 완료 (6단계) - 보상이 버프인 경우</t>
  </si>
  <si>
    <t>6단계 완료 보상 분기 - 버프 3종 택1</t>
  </si>
  <si>
    <t>6단계 미션 완료 시 보상이 버프 3종 택1인 경우, 3종 선택 화면 출력 후 선택한 버프가 지급된다.</t>
  </si>
  <si>
    <t>참고 화면: 13. 미션 완료 (6단계) - 버프 3종 중 택 1</t>
  </si>
  <si>
    <t>다음 미션 자동 포커싱</t>
  </si>
  <si>
    <t>미션 완료 후, 다음 미션 단계로 자동 포커싱이 이동된다.</t>
  </si>
  <si>
    <t>참고 화면: ChangeRandomMission 타임라인 - 다음 미션으로 포커싱</t>
  </si>
  <si>
    <t>무작위 미션</t>
  </si>
  <si>
    <t>무작위 미션 디폴트 화면</t>
  </si>
  <si>
    <t>6단계 완료 후 디폴트 진입</t>
  </si>
  <si>
    <t>6단계 미션 완료 후 주사위 미션 탭 진입 시, 무작위 미션 화면이 디폴트로 출력된다.</t>
  </si>
  <si>
    <t>참고 화면: 무작위 미션 1) 무작위 미션 목록</t>
  </si>
  <si>
    <t>무작위 미션 정보 팝업</t>
  </si>
  <si>
    <t>인포 버튼 터치 시 팝업 출력</t>
  </si>
  <si>
    <t>무작위 미션 화면의 인포 버튼 터치 시, 무작위 미션 정보 팝업이 출력된다.</t>
  </si>
  <si>
    <t>참고 화면: 무작위 미션 2) 무작위 미션 목록 팝업</t>
  </si>
  <si>
    <t>현재 미션 최상단 녹색 표기</t>
  </si>
  <si>
    <t>무작위 미션 정보 팝업에서 현재 미션이 최상단에 녹색으로 강조 표기된다.</t>
  </si>
  <si>
    <t>참고 화면: 무작위 미션 2) 현재 미션 최상단, 녹색 표기</t>
  </si>
  <si>
    <t>보상 터치 시 아이템 정보 말풍선</t>
  </si>
  <si>
    <t>무작위 미션 정보 팝업의 보상 아이템 터치 시, 아이템 정보 말풍선이 출력된다.</t>
  </si>
  <si>
    <t>참고 화면: 무작위 미션 2) 보상 터치 시 말풍선</t>
  </si>
  <si>
    <t>미션 셀 표기</t>
  </si>
  <si>
    <t>현재 미션 셀 표기</t>
  </si>
  <si>
    <t>현재 진행 중인 미션 셀이 녹색 배경으로 강조 표기된다.</t>
  </si>
  <si>
    <t>참고 화면: A. 미션 셀 case - 현재 미션</t>
  </si>
  <si>
    <t>텍스트형 미션 셀 표기</t>
  </si>
  <si>
    <t>미진행 미션 셀이 회색 배경의 텍스트형으로 표기된다.</t>
  </si>
  <si>
    <t>참고 화면: A. 미션 셀 case - 미션 표기 (텍스트형)</t>
  </si>
  <si>
    <t>완료 미션 셀 표기</t>
  </si>
  <si>
    <t>완료된 미션 셀에 미션 번호와 체크 표시가 출력된다.</t>
  </si>
  <si>
    <t>참고 화면: A. 미션 셀 case - 미션 완료</t>
  </si>
  <si>
    <t>fixedSlot 셀 표기</t>
  </si>
  <si>
    <t>텍스트로 표기 불가능한 미션 셀의 경우, fixedSlot 아이콘 기반 표기로 출력된다.</t>
  </si>
  <si>
    <t>참고 화면: A. 미션 셀 case - fixedSlot</t>
  </si>
  <si>
    <t>특수주사위 팝업</t>
  </si>
  <si>
    <t>보유 주사위 그리드 출력</t>
  </si>
  <si>
    <t>특수주사위 정보 출력</t>
  </si>
  <si>
    <t>특수주사위 팝업 진입 시, 보유한 주사위 그리드와 특수주사위 도움말이 출력된다.</t>
  </si>
  <si>
    <t>참고 화면: 무작위 미션 3) 특수주사위 팝업</t>
  </si>
  <si>
    <t>미션변경 리롤</t>
  </si>
  <si>
    <t>리롤 동작</t>
  </si>
  <si>
    <t>미션 변경 처리</t>
  </si>
  <si>
    <t>미션 변경 버튼 터치 시, 무작위 미션 풀 안에서 다른 미션으로 변경된다.</t>
  </si>
  <si>
    <t>참고 화면: 무작위 미션 4) 미션변경 리롤</t>
  </si>
  <si>
    <t>미션 창 반짝 연출</t>
  </si>
  <si>
    <t>미션 변경 리롤 시, 미션 창이 반짝/빛나는 MissionReroll 타임라인 연출이 재생된다.</t>
  </si>
  <si>
    <t>참고 화면: 무작위 미션 4) MissionReroll 타임라인 재생</t>
  </si>
  <si>
    <t>변경 횟수 차감</t>
  </si>
  <si>
    <t>미션 변경 리롤 진행 시, 미션 변경 횟수가 1회 차감된다.</t>
  </si>
  <si>
    <t>참고 화면: 무작위 미션 4) 미션 변경 횟수 줄어듦</t>
  </si>
  <si>
    <t>횟수 소진 예외</t>
  </si>
  <si>
    <t>토스트 출력</t>
  </si>
  <si>
    <t>미션 변경 횟수가 0인 상태에서 미션 변경 시도 시, '남은 변경 횟수가 없습니다.' 토스트 팝업이 출력된다.</t>
  </si>
  <si>
    <t>참고 화면: 무작위 미션 4) 변경 횟수 없을 때</t>
  </si>
  <si>
    <t>주사위 합성</t>
  </si>
  <si>
    <t>합성 화면 진입</t>
  </si>
  <si>
    <t>합성 팝업 레이아웃</t>
  </si>
  <si>
    <t>타이틀 및 X버튼 출력</t>
  </si>
  <si>
    <t>주사위 합성 화면 진입 시, '주사위 합성' 타이틀과 우상단 X(닫기) 버튼이 출력된다.</t>
  </si>
  <si>
    <t>참고 화면: 주사위 합성 메인 화면</t>
  </si>
  <si>
    <t>카테고리 탭 강조</t>
  </si>
  <si>
    <t>주사위 합성 탭 진입 시, 좌측 '주사위 합성' 카테고리 탭이 선택 강조 처리된다.</t>
  </si>
  <si>
    <t>참고 화면: 좌측 카테고리 탭 - 주사위 미션 / 주사위 합성</t>
  </si>
  <si>
    <t>합성 옵션 3종 영역 출력</t>
  </si>
  <si>
    <t>주사위 합성 화면에 다시 굴리기/눈 +1 하기/특수 주사위 합성 3종 합성 옵션이 출력된다.</t>
  </si>
  <si>
    <t>참고 화면: 주사위 합성 - 3종 합성 옵션</t>
  </si>
  <si>
    <t>보유 주사위 영역</t>
  </si>
  <si>
    <t>보유 수량 0/50 표기</t>
  </si>
  <si>
    <t>주사위 합성 화면 하단에 '보유한 주사위 N/50' 형식의 보유 수량이 표기된다.</t>
  </si>
  <si>
    <t>참고 화면: 보유한 주사위 0/50</t>
  </si>
  <si>
    <t>정렬 드롭다운 출력</t>
  </si>
  <si>
    <t>보유한 주사위 영역에 낮은순/높은순/최신순 정렬 드롭다운이 출력된다.</t>
  </si>
  <si>
    <t>참고 화면: C. 드롭다운 표기</t>
  </si>
  <si>
    <t>드롭다운 기본값</t>
  </si>
  <si>
    <t>정렬 드롭다운의 기본값은 '낮은순'으로 노란색 강조 표기된다.</t>
  </si>
  <si>
    <t>참고 화면: C. 드롭다운 - 낮은순 기본</t>
  </si>
  <si>
    <t>다시 굴리기</t>
  </si>
  <si>
    <t>슬롯 1칸</t>
  </si>
  <si>
    <t>잔여 횟수 표기</t>
  </si>
  <si>
    <t>다시 굴리기 영역에 잔여 횟수가 'N/5' 형식으로 표기된다.</t>
  </si>
  <si>
    <t>참고 화면: 주사위 합성 - 다시 굴리기 4/5</t>
  </si>
  <si>
    <t>주사위 드래그 등록</t>
  </si>
  <si>
    <t>보유 주사위를 다시 굴리기 슬롯으로 드래그 시, 슬롯에 주사위가 등록된다.</t>
  </si>
  <si>
    <t>참고 화면: 다시 굴리기 - 리롤하고 싶은 주사위 드래그</t>
  </si>
  <si>
    <t>합성 연출 시퀀스</t>
  </si>
  <si>
    <t>통 올라옴 연출</t>
  </si>
  <si>
    <t>다시 굴리기 버튼 터치 시, '통올라옴' 연출이 재생되며 '통을 흔들어보세요!' 안내가 출력된다.</t>
  </si>
  <si>
    <t>참고 화면: 합성 연출 1단계 통올라옴</t>
  </si>
  <si>
    <t>통 흔들흔들 + 연기 연출</t>
  </si>
  <si>
    <t>통 올라옴 연출 후, 통이 흔들리며 연기가 뭉게뭉게 피어나는 연출이 재생된다.</t>
  </si>
  <si>
    <t>참고 화면: 합성 연출 2단계 통 흔들흔들 + 연기</t>
  </si>
  <si>
    <t>꾸욱 + 펑 + 파티클 연출</t>
  </si>
  <si>
    <t>통 흔들기 연출 후, 꾸욱(누름) → 펑 + 주사위 파티클 연출이 순차 재생된다.</t>
  </si>
  <si>
    <t>참고 화면: 합성 연출 3~4단계 꾸욱/펑+파티클</t>
  </si>
  <si>
    <t>자동스킵 ON 시 연출 생략</t>
  </si>
  <si>
    <t>연출 자동 스킵 체크박스 ON 상태에서 다시 굴리기 시, 통 연출이 생략되고 결과 화면이 바로 출력된다.</t>
  </si>
  <si>
    <t>참고 화면: 2-1) 연출 자동 스킵 체크 시</t>
  </si>
  <si>
    <t>결과 처리</t>
  </si>
  <si>
    <t>다시 굴리기 완료 팝업</t>
  </si>
  <si>
    <t>다시 굴리기 연출 완료 후, '주사위 획득!' 결과 팝업이 출력된다.</t>
  </si>
  <si>
    <t>참고 화면: 다시 굴리기 - 결과 화면 주사위 획득!</t>
  </si>
  <si>
    <t>확인 버튼 터치 시 인벤토리 추가</t>
  </si>
  <si>
    <t>다시 굴리기 완료 팝업의 확인 버튼 터치 시, 획득한 주사위가 보유 주사위 인벤토리에 추가된다.</t>
  </si>
  <si>
    <t>참고 화면: 다시 굴리기 결과 - 해당 주사위 추가</t>
  </si>
  <si>
    <t>잔여 횟수 차감</t>
  </si>
  <si>
    <t>다시 굴리기 완료 시, 다시 굴리기 잔여 횟수가 1회 차감된다.</t>
  </si>
  <si>
    <t>참고 화면: 다시 굴리기 - 횟수 차감</t>
  </si>
  <si>
    <t>버튼 터치 시 토스트</t>
  </si>
  <si>
    <t>다시 굴리기 횟수가 모두 소진된 상태에서 버튼 터치 시, '이번 주는 다시 굴리기를 모두 사용했습니다.' 토스트 메시지가 출력된다.</t>
  </si>
  <si>
    <t>참고 화면: 2-1) 다시 굴리기 횟수 소진 시</t>
  </si>
  <si>
    <t>슬롯 장착은 가능</t>
  </si>
  <si>
    <t>다시 굴리기 횟수가 소진된 상태에서도, 슬롯에 주사위를 드래그하여 장착할 수는 있다.</t>
  </si>
  <si>
    <t>참고 화면: 2-1) 횟수 소진 시 - 빈칸에 넣을 수 있음</t>
  </si>
  <si>
    <t>눈 +1 합성</t>
  </si>
  <si>
    <t>슬롯 2칸</t>
  </si>
  <si>
    <t>동일 눈 가이드 반투명 표기</t>
  </si>
  <si>
    <t>눈 +1 합성 슬롯에 첫 주사위 등록 시, 동일한 눈을 등록해야 하는 빈칸에 반투명 가이드가 표기된다.</t>
  </si>
  <si>
    <t>참고 화면: 3. 동일한 주사위 2개 등록 - 동일한 눈 빈칸 반투명 표시</t>
  </si>
  <si>
    <t>합성하기 버튼 활성화</t>
  </si>
  <si>
    <t>눈 +1 합성 슬롯 2칸에 모두 주사위 장착 시, 합성하기 버튼이 활성화된다.</t>
  </si>
  <si>
    <t>참고 화면: 눈 +1 합성 - 슬롯 모두 채워야 활성화</t>
  </si>
  <si>
    <t>합성 결과</t>
  </si>
  <si>
    <t>반짝 이펙트 후 +1 주사위 획득</t>
  </si>
  <si>
    <t>동일 눈 2개로 눈 +1 합성 진행 시, 주사위 반짝 연출 후 눈 +1이 적용된 주사위가 획득된다.</t>
  </si>
  <si>
    <t>참고 화면: 3. 합성하기 → 주사위 반짝 → 완료 팝업</t>
  </si>
  <si>
    <t>재료 2개 소비</t>
  </si>
  <si>
    <t>눈 +1 합성 완료 시, 합성 재료로 사용된 주사위 2개가 보유 주사위에서 소비된다.</t>
  </si>
  <si>
    <t>참고 화면: 눈 +1 합성 - 재료 소비</t>
  </si>
  <si>
    <t>예외 케이스</t>
  </si>
  <si>
    <t>6눈 +1 시도 시 토스트</t>
  </si>
  <si>
    <t>6눈 주사위를 눈 +1 하기 슬롯에 드래그 시도 시, 토스트 메시지가 출력되고 주사위가 보관함으로 복귀된다.</t>
  </si>
  <si>
    <t>참고 화면: 5. 조건 미충족 - 6눈 주사위를 눈+1에 드래그</t>
  </si>
  <si>
    <t>특수 주사위 합성</t>
  </si>
  <si>
    <t>합계 10 이상 가이드 반투명 표기</t>
  </si>
  <si>
    <t>특수 주사위 합성 슬롯에 첫 주사위 등록 시, 합계 10 이상이 될 수 있는 빈칸에 'n 이상' 반투명 가이드가 표기된다.</t>
  </si>
  <si>
    <t>참고 화면: 4. 특수 주사위 합성 - n 이상 반투명 표시</t>
  </si>
  <si>
    <t>특수주사위 랜덤 획득</t>
  </si>
  <si>
    <t>두 주사위 합계가 10 이상인 상태에서 특수 주사위 합성 진행 시, 특수주사위가 랜덤하게 1개 획득된다.</t>
  </si>
  <si>
    <t>참고 화면: 4. 특수 주사위 합성 - 합계 10 이상</t>
  </si>
  <si>
    <t>특수 주사위 합성 완료 시, 합성 재료로 사용된 주사위 2개가 보유 주사위에서 소비된다.</t>
  </si>
  <si>
    <t>참고 화면: 특수 주사위 합성 - 재료 소비</t>
  </si>
  <si>
    <t>특수주사위 재료 사용 시 토스트</t>
  </si>
  <si>
    <t>특수주사위를 합성 재료로 사용 시도 시, '리롤은 가능합니다' 안내 토스트 메시지가 출력된다.</t>
  </si>
  <si>
    <t>참고 화면: 5. 조건 미충족 - 특수주사위를 합성재료로 사용</t>
  </si>
  <si>
    <t>공통 예외</t>
  </si>
  <si>
    <t>빈 슬롯 합성 시도</t>
  </si>
  <si>
    <t>합성 슬롯이 비어있는 상태에서 합성하기 버튼 터치 시, '합성할 주사위를 넣어주세요.' 토스트 메시지가 출력된다.</t>
  </si>
  <si>
    <t>참고 화면: 2-2. 주사위 미장착 상태 버튼 터치</t>
  </si>
  <si>
    <t>비활성 합성 버튼 토스트</t>
  </si>
  <si>
    <t>비활성화된 합성하기 버튼 터치 시, '합성할 주사위가 부족합니다.' 토스트 메시지가 출력된다.</t>
  </si>
  <si>
    <t>참고 화면: 5-③ 비활성화된 합성하기 눌렀을 때</t>
  </si>
  <si>
    <t>조건 미충족 드롭</t>
  </si>
  <si>
    <t>보관함 복귀 + 토스트</t>
  </si>
  <si>
    <t>맞지 않는 주사위를 합성 슬롯에 드롭 시, 주사위가 보관함으로 복귀되고 토스트 메시지가 출력된다.</t>
  </si>
  <si>
    <t>참고 화면: 5-④ 맞지 않는 주사위 드래그 시도</t>
  </si>
  <si>
    <t>미션창 이동 후 복귀</t>
  </si>
  <si>
    <t>슬롯 주사위 자동 회수</t>
  </si>
  <si>
    <t>합성 슬롯에 주사위 장착 상태에서 주사위 미션 탭으로 이동 후 복귀 시, 장착되어 있던 주사위가 모두 자동 회수된다.</t>
  </si>
  <si>
    <t>참고 화면: 2-3. 주사위 장착 상태로 미션창 이동 후 복귀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</si>
</sst>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COUNTIF(I10:I116,"Pass")</f>
      </c>
      <c r="K3" t="s">
        <v>4</v>
      </c>
      <c r="L3">
        <f>COUNTIF(I10:I116,"")</f>
      </c>
      <c r="M3" s="3" t="s">
        <v>3</v>
      </c>
      <c r="N3">
        <f>COUNTIF(J10:J116,"Pass")</f>
      </c>
    </row>
    <row r="4" spans="9:14" x14ac:dyDescent="0.25">
      <c r="I4" s="4" t="s">
        <v>5</v>
      </c>
      <c r="J4">
        <f>COUNTIF(I10:I116,"N/T")</f>
      </c>
      <c r="K4" t="s">
        <v>6</v>
      </c>
      <c r="L4">
        <f>COUNTA(I10:I116)-COUNTIF(I10:I116,"")</f>
      </c>
      <c r="M4" s="4" t="s">
        <v>5</v>
      </c>
      <c r="N4">
        <f>COUNTIF(J10:J116,"N/T")</f>
      </c>
    </row>
    <row r="5" spans="9:14" x14ac:dyDescent="0.25">
      <c r="I5" s="5" t="s">
        <v>7</v>
      </c>
      <c r="J5">
        <f>COUNTIF(I10:I116,"Fail")</f>
      </c>
      <c r="K5" t="s">
        <v>8</v>
      </c>
      <c r="L5">
        <v>107</v>
      </c>
      <c r="M5" s="5" t="s">
        <v>7</v>
      </c>
      <c r="N5">
        <f>COUNTIF(J10:J116,"Fail")</f>
      </c>
    </row>
    <row r="6" spans="9:14" x14ac:dyDescent="0.25">
      <c r="I6" s="6" t="s">
        <v>9</v>
      </c>
      <c r="J6">
        <f>COUNTIF(I10:I116,"Block")</f>
      </c>
      <c r="K6" t="s">
        <v>10</v>
      </c>
      <c r="L6" s="7">
        <f>IF(L5=0,0,L4/L5)</f>
      </c>
      <c r="M6" s="6" t="s">
        <v>9</v>
      </c>
      <c r="N6">
        <f>COUNTIF(J10:J116,"Block")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5" t="s">
        <v>31</v>
      </c>
      <c r="D12" s="11"/>
      <c r="E12" s="11"/>
      <c r="F12" s="11"/>
      <c r="G12" s="12" t="s">
        <v>32</v>
      </c>
      <c r="H12" s="13" t="s">
        <v>33</v>
      </c>
      <c r="I12" s="12"/>
      <c r="J12" s="12"/>
      <c r="K12" s="12"/>
      <c r="L12" s="12"/>
      <c r="M12" s="12"/>
      <c r="N12" s="14" t="s">
        <v>34</v>
      </c>
    </row>
    <row r="13" spans="2:14" x14ac:dyDescent="0.25">
      <c r="B13" s="9">
        <v>4</v>
      </c>
      <c r="C13" s="15" t="s">
        <v>31</v>
      </c>
      <c r="D13" s="11"/>
      <c r="E13" s="11"/>
      <c r="F13" s="11" t="s">
        <v>35</v>
      </c>
      <c r="G13" s="12" t="s">
        <v>36</v>
      </c>
      <c r="H13" s="13" t="s">
        <v>37</v>
      </c>
      <c r="I13" s="12"/>
      <c r="J13" s="12"/>
      <c r="K13" s="12"/>
      <c r="L13" s="12"/>
      <c r="M13" s="12"/>
      <c r="N13" s="14" t="s">
        <v>38</v>
      </c>
    </row>
    <row r="14" spans="2:14" x14ac:dyDescent="0.25">
      <c r="B14" s="9">
        <v>5</v>
      </c>
      <c r="C14" s="15" t="s">
        <v>31</v>
      </c>
      <c r="D14" s="11"/>
      <c r="E14" s="11"/>
      <c r="F14" s="11"/>
      <c r="G14" s="12" t="s">
        <v>39</v>
      </c>
      <c r="H14" s="13" t="s">
        <v>40</v>
      </c>
      <c r="I14" s="12"/>
      <c r="J14" s="12"/>
      <c r="K14" s="12"/>
      <c r="L14" s="12"/>
      <c r="M14" s="12"/>
      <c r="N14" s="14" t="s">
        <v>38</v>
      </c>
    </row>
    <row r="15" spans="2:14" x14ac:dyDescent="0.25">
      <c r="B15" s="9">
        <v>6</v>
      </c>
      <c r="C15" s="10" t="s">
        <v>22</v>
      </c>
      <c r="D15" s="11"/>
      <c r="E15" s="11" t="s">
        <v>41</v>
      </c>
      <c r="F15" s="11" t="s">
        <v>42</v>
      </c>
      <c r="G15" s="12" t="s">
        <v>43</v>
      </c>
      <c r="H15" s="13" t="s">
        <v>44</v>
      </c>
      <c r="I15" s="12"/>
      <c r="J15" s="12"/>
      <c r="K15" s="12"/>
      <c r="L15" s="12"/>
      <c r="M15" s="12"/>
      <c r="N15" s="14" t="s">
        <v>45</v>
      </c>
    </row>
    <row r="16" spans="2:14" x14ac:dyDescent="0.25">
      <c r="B16" s="9">
        <v>7</v>
      </c>
      <c r="C16" s="15" t="s">
        <v>31</v>
      </c>
      <c r="D16" s="11"/>
      <c r="E16" s="11"/>
      <c r="F16" s="11"/>
      <c r="G16" s="12" t="s">
        <v>46</v>
      </c>
      <c r="H16" s="13" t="s">
        <v>47</v>
      </c>
      <c r="I16" s="12"/>
      <c r="J16" s="12"/>
      <c r="K16" s="12"/>
      <c r="L16" s="12"/>
      <c r="M16" s="12"/>
      <c r="N16" s="14" t="s">
        <v>48</v>
      </c>
    </row>
    <row r="17" spans="2:14" x14ac:dyDescent="0.25">
      <c r="B17" s="9">
        <v>8</v>
      </c>
      <c r="C17" s="15" t="s">
        <v>31</v>
      </c>
      <c r="D17" s="11"/>
      <c r="E17" s="11"/>
      <c r="F17" s="11"/>
      <c r="G17" s="12" t="s">
        <v>49</v>
      </c>
      <c r="H17" s="13" t="s">
        <v>50</v>
      </c>
      <c r="I17" s="12"/>
      <c r="J17" s="12"/>
      <c r="K17" s="12"/>
      <c r="L17" s="12"/>
      <c r="M17" s="12"/>
      <c r="N17" s="14" t="s">
        <v>51</v>
      </c>
    </row>
    <row r="18" spans="2:14" x14ac:dyDescent="0.25">
      <c r="B18" s="9">
        <v>9</v>
      </c>
      <c r="C18" s="10" t="s">
        <v>22</v>
      </c>
      <c r="D18" s="11"/>
      <c r="E18" s="11"/>
      <c r="F18" s="12" t="s">
        <v>52</v>
      </c>
      <c r="G18" s="12" t="s">
        <v>53</v>
      </c>
      <c r="H18" s="13" t="s">
        <v>54</v>
      </c>
      <c r="I18" s="12"/>
      <c r="J18" s="12"/>
      <c r="K18" s="12"/>
      <c r="L18" s="12"/>
      <c r="M18" s="12"/>
      <c r="N18" s="14" t="s">
        <v>55</v>
      </c>
    </row>
    <row r="19" spans="2:14" x14ac:dyDescent="0.25">
      <c r="B19" s="9">
        <v>10</v>
      </c>
      <c r="C19" s="10" t="s">
        <v>22</v>
      </c>
      <c r="D19" s="11"/>
      <c r="E19" s="11" t="s">
        <v>56</v>
      </c>
      <c r="F19" s="11" t="s">
        <v>57</v>
      </c>
      <c r="G19" s="12" t="s">
        <v>58</v>
      </c>
      <c r="H19" s="13" t="s">
        <v>59</v>
      </c>
      <c r="I19" s="12"/>
      <c r="J19" s="12"/>
      <c r="K19" s="12"/>
      <c r="L19" s="12"/>
      <c r="M19" s="12"/>
      <c r="N19" s="14" t="s">
        <v>60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61</v>
      </c>
      <c r="H20" s="13" t="s">
        <v>62</v>
      </c>
      <c r="I20" s="12"/>
      <c r="J20" s="12"/>
      <c r="K20" s="12"/>
      <c r="L20" s="12"/>
      <c r="M20" s="12"/>
      <c r="N20" s="14" t="s">
        <v>63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64</v>
      </c>
      <c r="H21" s="13" t="s">
        <v>65</v>
      </c>
      <c r="I21" s="12"/>
      <c r="J21" s="12"/>
      <c r="K21" s="12"/>
      <c r="L21" s="12"/>
      <c r="M21" s="12"/>
      <c r="N21" s="14" t="s">
        <v>66</v>
      </c>
    </row>
    <row r="22" spans="2:14" x14ac:dyDescent="0.25">
      <c r="B22" s="9">
        <v>13</v>
      </c>
      <c r="C22" s="10" t="s">
        <v>22</v>
      </c>
      <c r="D22" s="11" t="s">
        <v>67</v>
      </c>
      <c r="E22" s="11" t="s">
        <v>68</v>
      </c>
      <c r="F22" s="11" t="s">
        <v>69</v>
      </c>
      <c r="G22" s="12" t="s">
        <v>70</v>
      </c>
      <c r="H22" s="13" t="s">
        <v>71</v>
      </c>
      <c r="I22" s="12"/>
      <c r="J22" s="12"/>
      <c r="K22" s="12"/>
      <c r="L22" s="12"/>
      <c r="M22" s="12"/>
      <c r="N22" s="14" t="s">
        <v>72</v>
      </c>
    </row>
    <row r="23" spans="2:14" x14ac:dyDescent="0.25">
      <c r="B23" s="9">
        <v>14</v>
      </c>
      <c r="C23" s="16" t="s">
        <v>73</v>
      </c>
      <c r="D23" s="11"/>
      <c r="E23" s="11"/>
      <c r="F23" s="11"/>
      <c r="G23" s="12" t="s">
        <v>74</v>
      </c>
      <c r="H23" s="13" t="s">
        <v>75</v>
      </c>
      <c r="I23" s="12"/>
      <c r="J23" s="12"/>
      <c r="K23" s="12"/>
      <c r="L23" s="12"/>
      <c r="M23" s="12"/>
      <c r="N23" s="14" t="s">
        <v>72</v>
      </c>
    </row>
    <row r="24" spans="2:14" x14ac:dyDescent="0.25">
      <c r="B24" s="9">
        <v>15</v>
      </c>
      <c r="C24" s="15" t="s">
        <v>31</v>
      </c>
      <c r="D24" s="11"/>
      <c r="E24" s="11"/>
      <c r="F24" s="11"/>
      <c r="G24" s="12" t="s">
        <v>76</v>
      </c>
      <c r="H24" s="13" t="s">
        <v>77</v>
      </c>
      <c r="I24" s="12"/>
      <c r="J24" s="12"/>
      <c r="K24" s="12"/>
      <c r="L24" s="12"/>
      <c r="M24" s="12"/>
      <c r="N24" s="14" t="s">
        <v>78</v>
      </c>
    </row>
    <row r="25" spans="2:14" x14ac:dyDescent="0.25">
      <c r="B25" s="9">
        <v>16</v>
      </c>
      <c r="C25" s="10" t="s">
        <v>22</v>
      </c>
      <c r="D25" s="11"/>
      <c r="E25" s="11"/>
      <c r="F25" s="11" t="s">
        <v>79</v>
      </c>
      <c r="G25" s="12" t="s">
        <v>80</v>
      </c>
      <c r="H25" s="13" t="s">
        <v>81</v>
      </c>
      <c r="I25" s="12"/>
      <c r="J25" s="12"/>
      <c r="K25" s="12"/>
      <c r="L25" s="12"/>
      <c r="M25" s="12"/>
      <c r="N25" s="14" t="s">
        <v>82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83</v>
      </c>
      <c r="H26" s="13" t="s">
        <v>84</v>
      </c>
      <c r="I26" s="12"/>
      <c r="J26" s="12"/>
      <c r="K26" s="12"/>
      <c r="L26" s="12"/>
      <c r="M26" s="12"/>
      <c r="N26" s="14" t="s">
        <v>85</v>
      </c>
    </row>
    <row r="27" spans="2:14" x14ac:dyDescent="0.25">
      <c r="B27" s="9">
        <v>18</v>
      </c>
      <c r="C27" s="10" t="s">
        <v>22</v>
      </c>
      <c r="D27" s="11"/>
      <c r="E27" s="11"/>
      <c r="F27" s="11"/>
      <c r="G27" s="12" t="s">
        <v>86</v>
      </c>
      <c r="H27" s="13" t="s">
        <v>87</v>
      </c>
      <c r="I27" s="12"/>
      <c r="J27" s="12"/>
      <c r="K27" s="12"/>
      <c r="L27" s="12"/>
      <c r="M27" s="12"/>
      <c r="N27" s="14" t="s">
        <v>88</v>
      </c>
    </row>
    <row r="28" spans="2:14" x14ac:dyDescent="0.25">
      <c r="B28" s="9">
        <v>19</v>
      </c>
      <c r="C28" s="10" t="s">
        <v>22</v>
      </c>
      <c r="D28" s="11"/>
      <c r="E28" s="11" t="s">
        <v>89</v>
      </c>
      <c r="F28" s="11" t="s">
        <v>90</v>
      </c>
      <c r="G28" s="12" t="s">
        <v>91</v>
      </c>
      <c r="H28" s="13" t="s">
        <v>92</v>
      </c>
      <c r="I28" s="12"/>
      <c r="J28" s="12"/>
      <c r="K28" s="12"/>
      <c r="L28" s="12"/>
      <c r="M28" s="12"/>
      <c r="N28" s="14" t="s">
        <v>93</v>
      </c>
    </row>
    <row r="29" spans="2:14" x14ac:dyDescent="0.25">
      <c r="B29" s="9">
        <v>20</v>
      </c>
      <c r="C29" s="16" t="s">
        <v>73</v>
      </c>
      <c r="D29" s="11"/>
      <c r="E29" s="11"/>
      <c r="F29" s="11"/>
      <c r="G29" s="12" t="s">
        <v>94</v>
      </c>
      <c r="H29" s="13" t="s">
        <v>95</v>
      </c>
      <c r="I29" s="12"/>
      <c r="J29" s="12"/>
      <c r="K29" s="12"/>
      <c r="L29" s="12"/>
      <c r="M29" s="12"/>
      <c r="N29" s="14" t="s">
        <v>96</v>
      </c>
    </row>
    <row r="30" spans="2:14" x14ac:dyDescent="0.25">
      <c r="B30" s="9">
        <v>21</v>
      </c>
      <c r="C30" s="10" t="s">
        <v>22</v>
      </c>
      <c r="D30" s="11"/>
      <c r="E30" s="11"/>
      <c r="F30" s="11" t="s">
        <v>97</v>
      </c>
      <c r="G30" s="12" t="s">
        <v>98</v>
      </c>
      <c r="H30" s="13" t="s">
        <v>99</v>
      </c>
      <c r="I30" s="12"/>
      <c r="J30" s="12"/>
      <c r="K30" s="12"/>
      <c r="L30" s="12"/>
      <c r="M30" s="12"/>
      <c r="N30" s="14" t="s">
        <v>100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101</v>
      </c>
      <c r="H31" s="13" t="s">
        <v>102</v>
      </c>
      <c r="I31" s="12"/>
      <c r="J31" s="12"/>
      <c r="K31" s="12"/>
      <c r="L31" s="12"/>
      <c r="M31" s="12"/>
      <c r="N31" s="14" t="s">
        <v>103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104</v>
      </c>
      <c r="H32" s="13" t="s">
        <v>105</v>
      </c>
      <c r="I32" s="12"/>
      <c r="J32" s="12"/>
      <c r="K32" s="12"/>
      <c r="L32" s="12"/>
      <c r="M32" s="12"/>
      <c r="N32" s="14" t="s">
        <v>106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107</v>
      </c>
      <c r="H33" s="13" t="s">
        <v>108</v>
      </c>
      <c r="I33" s="12"/>
      <c r="J33" s="12"/>
      <c r="K33" s="12"/>
      <c r="L33" s="12"/>
      <c r="M33" s="12"/>
      <c r="N33" s="14" t="s">
        <v>109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110</v>
      </c>
      <c r="H34" s="13" t="s">
        <v>111</v>
      </c>
      <c r="I34" s="12"/>
      <c r="J34" s="12"/>
      <c r="K34" s="12"/>
      <c r="L34" s="12"/>
      <c r="M34" s="12"/>
      <c r="N34" s="14" t="s">
        <v>112</v>
      </c>
    </row>
    <row r="35" spans="2:14" x14ac:dyDescent="0.25">
      <c r="B35" s="9">
        <v>26</v>
      </c>
      <c r="C35" s="16" t="s">
        <v>73</v>
      </c>
      <c r="D35" s="11"/>
      <c r="E35" s="11" t="s">
        <v>113</v>
      </c>
      <c r="F35" s="12" t="s">
        <v>114</v>
      </c>
      <c r="G35" s="12" t="s">
        <v>115</v>
      </c>
      <c r="H35" s="13" t="s">
        <v>116</v>
      </c>
      <c r="I35" s="12"/>
      <c r="J35" s="12"/>
      <c r="K35" s="12"/>
      <c r="L35" s="12"/>
      <c r="M35" s="12"/>
      <c r="N35" s="14" t="s">
        <v>117</v>
      </c>
    </row>
    <row r="36" spans="2:14" x14ac:dyDescent="0.25">
      <c r="B36" s="9">
        <v>27</v>
      </c>
      <c r="C36" s="16" t="s">
        <v>73</v>
      </c>
      <c r="D36" s="11"/>
      <c r="E36" s="11"/>
      <c r="F36" s="12" t="s">
        <v>118</v>
      </c>
      <c r="G36" s="12" t="s">
        <v>119</v>
      </c>
      <c r="H36" s="13" t="s">
        <v>120</v>
      </c>
      <c r="I36" s="12"/>
      <c r="J36" s="12"/>
      <c r="K36" s="12"/>
      <c r="L36" s="12"/>
      <c r="M36" s="12"/>
      <c r="N36" s="14" t="s">
        <v>121</v>
      </c>
    </row>
    <row r="37" spans="2:14" x14ac:dyDescent="0.25">
      <c r="B37" s="9">
        <v>28</v>
      </c>
      <c r="C37" s="15" t="s">
        <v>31</v>
      </c>
      <c r="D37" s="11"/>
      <c r="E37" s="11"/>
      <c r="F37" s="11" t="s">
        <v>114</v>
      </c>
      <c r="G37" s="12" t="s">
        <v>122</v>
      </c>
      <c r="H37" s="13" t="s">
        <v>123</v>
      </c>
      <c r="I37" s="12"/>
      <c r="J37" s="12"/>
      <c r="K37" s="12"/>
      <c r="L37" s="12"/>
      <c r="M37" s="12"/>
      <c r="N37" s="14" t="s">
        <v>124</v>
      </c>
    </row>
    <row r="38" spans="2:14" x14ac:dyDescent="0.25">
      <c r="B38" s="9">
        <v>29</v>
      </c>
      <c r="C38" s="15" t="s">
        <v>31</v>
      </c>
      <c r="D38" s="11"/>
      <c r="E38" s="11"/>
      <c r="F38" s="11"/>
      <c r="G38" s="12" t="s">
        <v>125</v>
      </c>
      <c r="H38" s="13" t="s">
        <v>126</v>
      </c>
      <c r="I38" s="12"/>
      <c r="J38" s="12"/>
      <c r="K38" s="12"/>
      <c r="L38" s="12"/>
      <c r="M38" s="12"/>
      <c r="N38" s="14" t="s">
        <v>127</v>
      </c>
    </row>
    <row r="39" spans="2:14" x14ac:dyDescent="0.25">
      <c r="B39" s="9">
        <v>30</v>
      </c>
      <c r="C39" s="15" t="s">
        <v>31</v>
      </c>
      <c r="D39" s="11"/>
      <c r="E39" s="11"/>
      <c r="F39" s="11"/>
      <c r="G39" s="12" t="s">
        <v>128</v>
      </c>
      <c r="H39" s="13" t="s">
        <v>129</v>
      </c>
      <c r="I39" s="12"/>
      <c r="J39" s="12"/>
      <c r="K39" s="12"/>
      <c r="L39" s="12"/>
      <c r="M39" s="12"/>
      <c r="N39" s="14" t="s">
        <v>130</v>
      </c>
    </row>
    <row r="40" spans="2:14" x14ac:dyDescent="0.25">
      <c r="B40" s="9">
        <v>31</v>
      </c>
      <c r="C40" s="10" t="s">
        <v>22</v>
      </c>
      <c r="D40" s="11" t="s">
        <v>131</v>
      </c>
      <c r="E40" s="11" t="s">
        <v>132</v>
      </c>
      <c r="F40" s="11" t="s">
        <v>133</v>
      </c>
      <c r="G40" s="12" t="s">
        <v>134</v>
      </c>
      <c r="H40" s="13" t="s">
        <v>135</v>
      </c>
      <c r="I40" s="12"/>
      <c r="J40" s="12"/>
      <c r="K40" s="12"/>
      <c r="L40" s="12"/>
      <c r="M40" s="12"/>
      <c r="N40" s="14" t="s">
        <v>136</v>
      </c>
    </row>
    <row r="41" spans="2:14" x14ac:dyDescent="0.25">
      <c r="B41" s="9">
        <v>32</v>
      </c>
      <c r="C41" s="10" t="s">
        <v>22</v>
      </c>
      <c r="D41" s="11"/>
      <c r="E41" s="11"/>
      <c r="F41" s="11"/>
      <c r="G41" s="12" t="s">
        <v>137</v>
      </c>
      <c r="H41" s="13" t="s">
        <v>138</v>
      </c>
      <c r="I41" s="12"/>
      <c r="J41" s="12"/>
      <c r="K41" s="12"/>
      <c r="L41" s="12"/>
      <c r="M41" s="12"/>
      <c r="N41" s="14" t="s">
        <v>139</v>
      </c>
    </row>
    <row r="42" spans="2:14" x14ac:dyDescent="0.25">
      <c r="B42" s="9">
        <v>33</v>
      </c>
      <c r="C42" s="10" t="s">
        <v>22</v>
      </c>
      <c r="D42" s="11"/>
      <c r="E42" s="11"/>
      <c r="F42" s="11"/>
      <c r="G42" s="12" t="s">
        <v>140</v>
      </c>
      <c r="H42" s="13" t="s">
        <v>141</v>
      </c>
      <c r="I42" s="12"/>
      <c r="J42" s="12"/>
      <c r="K42" s="12"/>
      <c r="L42" s="12"/>
      <c r="M42" s="12"/>
      <c r="N42" s="14" t="s">
        <v>142</v>
      </c>
    </row>
    <row r="43" spans="2:14" x14ac:dyDescent="0.25">
      <c r="B43" s="9">
        <v>34</v>
      </c>
      <c r="C43" s="10" t="s">
        <v>22</v>
      </c>
      <c r="D43" s="11"/>
      <c r="E43" s="11"/>
      <c r="F43" s="11" t="s">
        <v>143</v>
      </c>
      <c r="G43" s="12" t="s">
        <v>144</v>
      </c>
      <c r="H43" s="13" t="s">
        <v>145</v>
      </c>
      <c r="I43" s="12"/>
      <c r="J43" s="12"/>
      <c r="K43" s="12"/>
      <c r="L43" s="12"/>
      <c r="M43" s="12"/>
      <c r="N43" s="14" t="s">
        <v>146</v>
      </c>
    </row>
    <row r="44" spans="2:14" x14ac:dyDescent="0.25">
      <c r="B44" s="9">
        <v>35</v>
      </c>
      <c r="C44" s="10" t="s">
        <v>22</v>
      </c>
      <c r="D44" s="11"/>
      <c r="E44" s="11"/>
      <c r="F44" s="11"/>
      <c r="G44" s="12" t="s">
        <v>147</v>
      </c>
      <c r="H44" s="13" t="s">
        <v>148</v>
      </c>
      <c r="I44" s="12"/>
      <c r="J44" s="12"/>
      <c r="K44" s="12"/>
      <c r="L44" s="12"/>
      <c r="M44" s="12"/>
      <c r="N44" s="14" t="s">
        <v>149</v>
      </c>
    </row>
    <row r="45" spans="2:14" x14ac:dyDescent="0.25">
      <c r="B45" s="9">
        <v>36</v>
      </c>
      <c r="C45" s="15" t="s">
        <v>31</v>
      </c>
      <c r="D45" s="11"/>
      <c r="E45" s="11"/>
      <c r="F45" s="11"/>
      <c r="G45" s="12" t="s">
        <v>150</v>
      </c>
      <c r="H45" s="13" t="s">
        <v>151</v>
      </c>
      <c r="I45" s="12"/>
      <c r="J45" s="12"/>
      <c r="K45" s="12"/>
      <c r="L45" s="12"/>
      <c r="M45" s="12"/>
      <c r="N45" s="14" t="s">
        <v>152</v>
      </c>
    </row>
    <row r="46" spans="2:14" x14ac:dyDescent="0.25">
      <c r="B46" s="9">
        <v>37</v>
      </c>
      <c r="C46" s="10" t="s">
        <v>22</v>
      </c>
      <c r="D46" s="11"/>
      <c r="E46" s="11" t="s">
        <v>153</v>
      </c>
      <c r="F46" s="11" t="s">
        <v>154</v>
      </c>
      <c r="G46" s="12" t="s">
        <v>155</v>
      </c>
      <c r="H46" s="13" t="s">
        <v>156</v>
      </c>
      <c r="I46" s="12"/>
      <c r="J46" s="12"/>
      <c r="K46" s="12"/>
      <c r="L46" s="12"/>
      <c r="M46" s="12"/>
      <c r="N46" s="14" t="s">
        <v>157</v>
      </c>
    </row>
    <row r="47" spans="2:14" x14ac:dyDescent="0.25">
      <c r="B47" s="9">
        <v>38</v>
      </c>
      <c r="C47" s="15" t="s">
        <v>31</v>
      </c>
      <c r="D47" s="11"/>
      <c r="E47" s="11"/>
      <c r="F47" s="11"/>
      <c r="G47" s="12" t="s">
        <v>158</v>
      </c>
      <c r="H47" s="13" t="s">
        <v>159</v>
      </c>
      <c r="I47" s="12"/>
      <c r="J47" s="12"/>
      <c r="K47" s="12"/>
      <c r="L47" s="12"/>
      <c r="M47" s="12"/>
      <c r="N47" s="14" t="s">
        <v>160</v>
      </c>
    </row>
    <row r="48" spans="2:14" x14ac:dyDescent="0.25">
      <c r="B48" s="9">
        <v>39</v>
      </c>
      <c r="C48" s="15" t="s">
        <v>31</v>
      </c>
      <c r="D48" s="11"/>
      <c r="E48" s="11"/>
      <c r="F48" s="11"/>
      <c r="G48" s="12" t="s">
        <v>161</v>
      </c>
      <c r="H48" s="13" t="s">
        <v>162</v>
      </c>
      <c r="I48" s="12"/>
      <c r="J48" s="12"/>
      <c r="K48" s="12"/>
      <c r="L48" s="12"/>
      <c r="M48" s="12"/>
      <c r="N48" s="14" t="s">
        <v>163</v>
      </c>
    </row>
    <row r="49" spans="2:14" x14ac:dyDescent="0.25">
      <c r="B49" s="9">
        <v>40</v>
      </c>
      <c r="C49" s="15" t="s">
        <v>31</v>
      </c>
      <c r="D49" s="11"/>
      <c r="E49" s="11"/>
      <c r="F49" s="11"/>
      <c r="G49" s="12" t="s">
        <v>164</v>
      </c>
      <c r="H49" s="13" t="s">
        <v>165</v>
      </c>
      <c r="I49" s="12"/>
      <c r="J49" s="12"/>
      <c r="K49" s="12"/>
      <c r="L49" s="12"/>
      <c r="M49" s="12"/>
      <c r="N49" s="14" t="s">
        <v>166</v>
      </c>
    </row>
    <row r="50" spans="2:14" x14ac:dyDescent="0.25">
      <c r="B50" s="9">
        <v>41</v>
      </c>
      <c r="C50" s="10" t="s">
        <v>22</v>
      </c>
      <c r="D50" s="11"/>
      <c r="E50" s="11"/>
      <c r="F50" s="11" t="s">
        <v>167</v>
      </c>
      <c r="G50" s="12" t="s">
        <v>168</v>
      </c>
      <c r="H50" s="13" t="s">
        <v>169</v>
      </c>
      <c r="I50" s="12"/>
      <c r="J50" s="12"/>
      <c r="K50" s="12"/>
      <c r="L50" s="12"/>
      <c r="M50" s="12"/>
      <c r="N50" s="14" t="s">
        <v>170</v>
      </c>
    </row>
    <row r="51" spans="2:14" x14ac:dyDescent="0.25">
      <c r="B51" s="9">
        <v>42</v>
      </c>
      <c r="C51" s="15" t="s">
        <v>31</v>
      </c>
      <c r="D51" s="11"/>
      <c r="E51" s="11"/>
      <c r="F51" s="11"/>
      <c r="G51" s="12" t="s">
        <v>171</v>
      </c>
      <c r="H51" s="13" t="s">
        <v>172</v>
      </c>
      <c r="I51" s="12"/>
      <c r="J51" s="12"/>
      <c r="K51" s="12"/>
      <c r="L51" s="12"/>
      <c r="M51" s="12"/>
      <c r="N51" s="14" t="s">
        <v>170</v>
      </c>
    </row>
    <row r="52" spans="2:14" x14ac:dyDescent="0.25">
      <c r="B52" s="9">
        <v>43</v>
      </c>
      <c r="C52" s="10" t="s">
        <v>22</v>
      </c>
      <c r="D52" s="11"/>
      <c r="E52" s="11"/>
      <c r="F52" s="11" t="s">
        <v>173</v>
      </c>
      <c r="G52" s="12" t="s">
        <v>174</v>
      </c>
      <c r="H52" s="13" t="s">
        <v>175</v>
      </c>
      <c r="I52" s="12"/>
      <c r="J52" s="12"/>
      <c r="K52" s="12"/>
      <c r="L52" s="12"/>
      <c r="M52" s="12"/>
      <c r="N52" s="14" t="s">
        <v>176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177</v>
      </c>
      <c r="H53" s="13" t="s">
        <v>178</v>
      </c>
      <c r="I53" s="12"/>
      <c r="J53" s="12"/>
      <c r="K53" s="12"/>
      <c r="L53" s="12"/>
      <c r="M53" s="12"/>
      <c r="N53" s="14" t="s">
        <v>179</v>
      </c>
    </row>
    <row r="54" spans="2:14" x14ac:dyDescent="0.25">
      <c r="B54" s="9">
        <v>45</v>
      </c>
      <c r="C54" s="10" t="s">
        <v>22</v>
      </c>
      <c r="D54" s="11"/>
      <c r="E54" s="11" t="s">
        <v>180</v>
      </c>
      <c r="F54" s="11" t="s">
        <v>181</v>
      </c>
      <c r="G54" s="12" t="s">
        <v>182</v>
      </c>
      <c r="H54" s="13" t="s">
        <v>183</v>
      </c>
      <c r="I54" s="12"/>
      <c r="J54" s="12"/>
      <c r="K54" s="12"/>
      <c r="L54" s="12"/>
      <c r="M54" s="12"/>
      <c r="N54" s="14" t="s">
        <v>184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185</v>
      </c>
      <c r="H55" s="13" t="s">
        <v>186</v>
      </c>
      <c r="I55" s="12"/>
      <c r="J55" s="12"/>
      <c r="K55" s="12"/>
      <c r="L55" s="12"/>
      <c r="M55" s="12"/>
      <c r="N55" s="14" t="s">
        <v>187</v>
      </c>
    </row>
    <row r="56" spans="2:14" x14ac:dyDescent="0.25">
      <c r="B56" s="9">
        <v>47</v>
      </c>
      <c r="C56" s="10" t="s">
        <v>22</v>
      </c>
      <c r="D56" s="11"/>
      <c r="E56" s="11"/>
      <c r="F56" s="11" t="s">
        <v>188</v>
      </c>
      <c r="G56" s="12" t="s">
        <v>189</v>
      </c>
      <c r="H56" s="13" t="s">
        <v>190</v>
      </c>
      <c r="I56" s="12"/>
      <c r="J56" s="12"/>
      <c r="K56" s="12"/>
      <c r="L56" s="12"/>
      <c r="M56" s="12"/>
      <c r="N56" s="14" t="s">
        <v>191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192</v>
      </c>
      <c r="H57" s="13" t="s">
        <v>193</v>
      </c>
      <c r="I57" s="12"/>
      <c r="J57" s="12"/>
      <c r="K57" s="12"/>
      <c r="L57" s="12"/>
      <c r="M57" s="12"/>
      <c r="N57" s="14" t="s">
        <v>194</v>
      </c>
    </row>
    <row r="58" spans="2:14" x14ac:dyDescent="0.25">
      <c r="B58" s="9">
        <v>49</v>
      </c>
      <c r="C58" s="15" t="s">
        <v>31</v>
      </c>
      <c r="D58" s="11"/>
      <c r="E58" s="11"/>
      <c r="F58" s="11"/>
      <c r="G58" s="12" t="s">
        <v>195</v>
      </c>
      <c r="H58" s="13" t="s">
        <v>196</v>
      </c>
      <c r="I58" s="12"/>
      <c r="J58" s="12"/>
      <c r="K58" s="12"/>
      <c r="L58" s="12"/>
      <c r="M58" s="12"/>
      <c r="N58" s="14" t="s">
        <v>197</v>
      </c>
    </row>
    <row r="59" spans="2:14" x14ac:dyDescent="0.25">
      <c r="B59" s="9">
        <v>50</v>
      </c>
      <c r="C59" s="10" t="s">
        <v>22</v>
      </c>
      <c r="D59" s="11"/>
      <c r="E59" s="11"/>
      <c r="F59" s="11" t="s">
        <v>198</v>
      </c>
      <c r="G59" s="12" t="s">
        <v>199</v>
      </c>
      <c r="H59" s="13" t="s">
        <v>200</v>
      </c>
      <c r="I59" s="12"/>
      <c r="J59" s="12"/>
      <c r="K59" s="12"/>
      <c r="L59" s="12"/>
      <c r="M59" s="12"/>
      <c r="N59" s="14" t="s">
        <v>201</v>
      </c>
    </row>
    <row r="60" spans="2:14" x14ac:dyDescent="0.25">
      <c r="B60" s="9">
        <v>51</v>
      </c>
      <c r="C60" s="10" t="s">
        <v>22</v>
      </c>
      <c r="D60" s="11"/>
      <c r="E60" s="11"/>
      <c r="F60" s="11"/>
      <c r="G60" s="12" t="s">
        <v>202</v>
      </c>
      <c r="H60" s="13" t="s">
        <v>203</v>
      </c>
      <c r="I60" s="12"/>
      <c r="J60" s="12"/>
      <c r="K60" s="12"/>
      <c r="L60" s="12"/>
      <c r="M60" s="12"/>
      <c r="N60" s="14" t="s">
        <v>204</v>
      </c>
    </row>
    <row r="61" spans="2:14" x14ac:dyDescent="0.25">
      <c r="B61" s="9">
        <v>52</v>
      </c>
      <c r="C61" s="10" t="s">
        <v>22</v>
      </c>
      <c r="D61" s="11"/>
      <c r="E61" s="11"/>
      <c r="F61" s="11"/>
      <c r="G61" s="12" t="s">
        <v>205</v>
      </c>
      <c r="H61" s="13" t="s">
        <v>206</v>
      </c>
      <c r="I61" s="12"/>
      <c r="J61" s="12"/>
      <c r="K61" s="12"/>
      <c r="L61" s="12"/>
      <c r="M61" s="12"/>
      <c r="N61" s="14" t="s">
        <v>207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208</v>
      </c>
      <c r="H62" s="13" t="s">
        <v>209</v>
      </c>
      <c r="I62" s="12"/>
      <c r="J62" s="12"/>
      <c r="K62" s="12"/>
      <c r="L62" s="12"/>
      <c r="M62" s="12"/>
      <c r="N62" s="14" t="s">
        <v>210</v>
      </c>
    </row>
    <row r="63" spans="2:14" x14ac:dyDescent="0.25">
      <c r="B63" s="9">
        <v>54</v>
      </c>
      <c r="C63" s="15" t="s">
        <v>31</v>
      </c>
      <c r="D63" s="11"/>
      <c r="E63" s="11"/>
      <c r="F63" s="11" t="s">
        <v>211</v>
      </c>
      <c r="G63" s="12" t="s">
        <v>212</v>
      </c>
      <c r="H63" s="13" t="s">
        <v>213</v>
      </c>
      <c r="I63" s="12"/>
      <c r="J63" s="12"/>
      <c r="K63" s="12"/>
      <c r="L63" s="12"/>
      <c r="M63" s="12"/>
      <c r="N63" s="14" t="s">
        <v>214</v>
      </c>
    </row>
    <row r="64" spans="2:14" x14ac:dyDescent="0.25">
      <c r="B64" s="9">
        <v>55</v>
      </c>
      <c r="C64" s="15" t="s">
        <v>31</v>
      </c>
      <c r="D64" s="11"/>
      <c r="E64" s="11"/>
      <c r="F64" s="11"/>
      <c r="G64" s="12" t="s">
        <v>215</v>
      </c>
      <c r="H64" s="13" t="s">
        <v>216</v>
      </c>
      <c r="I64" s="12"/>
      <c r="J64" s="12"/>
      <c r="K64" s="12"/>
      <c r="L64" s="12"/>
      <c r="M64" s="12"/>
      <c r="N64" s="14" t="s">
        <v>217</v>
      </c>
    </row>
    <row r="65" spans="2:14" x14ac:dyDescent="0.25">
      <c r="B65" s="9">
        <v>56</v>
      </c>
      <c r="C65" s="10" t="s">
        <v>22</v>
      </c>
      <c r="D65" s="11"/>
      <c r="E65" s="11" t="s">
        <v>218</v>
      </c>
      <c r="F65" s="11" t="s">
        <v>219</v>
      </c>
      <c r="G65" s="12" t="s">
        <v>220</v>
      </c>
      <c r="H65" s="13" t="s">
        <v>221</v>
      </c>
      <c r="I65" s="12"/>
      <c r="J65" s="12"/>
      <c r="K65" s="12"/>
      <c r="L65" s="12"/>
      <c r="M65" s="12"/>
      <c r="N65" s="14" t="s">
        <v>222</v>
      </c>
    </row>
    <row r="66" spans="2:14" x14ac:dyDescent="0.25">
      <c r="B66" s="9">
        <v>57</v>
      </c>
      <c r="C66" s="15" t="s">
        <v>31</v>
      </c>
      <c r="D66" s="11"/>
      <c r="E66" s="11"/>
      <c r="F66" s="11"/>
      <c r="G66" s="12" t="s">
        <v>223</v>
      </c>
      <c r="H66" s="13" t="s">
        <v>224</v>
      </c>
      <c r="I66" s="12"/>
      <c r="J66" s="12"/>
      <c r="K66" s="12"/>
      <c r="L66" s="12"/>
      <c r="M66" s="12"/>
      <c r="N66" s="14" t="s">
        <v>225</v>
      </c>
    </row>
    <row r="67" spans="2:14" x14ac:dyDescent="0.25">
      <c r="B67" s="9">
        <v>58</v>
      </c>
      <c r="C67" s="16" t="s">
        <v>73</v>
      </c>
      <c r="D67" s="11"/>
      <c r="E67" s="11"/>
      <c r="F67" s="11" t="s">
        <v>226</v>
      </c>
      <c r="G67" s="12" t="s">
        <v>227</v>
      </c>
      <c r="H67" s="13" t="s">
        <v>228</v>
      </c>
      <c r="I67" s="12"/>
      <c r="J67" s="12"/>
      <c r="K67" s="12"/>
      <c r="L67" s="12"/>
      <c r="M67" s="12"/>
      <c r="N67" s="14" t="s">
        <v>229</v>
      </c>
    </row>
    <row r="68" spans="2:14" x14ac:dyDescent="0.25">
      <c r="B68" s="9">
        <v>59</v>
      </c>
      <c r="C68" s="16" t="s">
        <v>73</v>
      </c>
      <c r="D68" s="11"/>
      <c r="E68" s="11"/>
      <c r="F68" s="11"/>
      <c r="G68" s="12" t="s">
        <v>230</v>
      </c>
      <c r="H68" s="13" t="s">
        <v>231</v>
      </c>
      <c r="I68" s="12"/>
      <c r="J68" s="12"/>
      <c r="K68" s="12"/>
      <c r="L68" s="12"/>
      <c r="M68" s="12"/>
      <c r="N68" s="14" t="s">
        <v>232</v>
      </c>
    </row>
    <row r="69" spans="2:14" x14ac:dyDescent="0.25">
      <c r="B69" s="9">
        <v>60</v>
      </c>
      <c r="C69" s="10" t="s">
        <v>22</v>
      </c>
      <c r="D69" s="11"/>
      <c r="E69" s="11"/>
      <c r="F69" s="11" t="s">
        <v>233</v>
      </c>
      <c r="G69" s="12" t="s">
        <v>234</v>
      </c>
      <c r="H69" s="13" t="s">
        <v>235</v>
      </c>
      <c r="I69" s="12"/>
      <c r="J69" s="12"/>
      <c r="K69" s="12"/>
      <c r="L69" s="12"/>
      <c r="M69" s="12"/>
      <c r="N69" s="14" t="s">
        <v>236</v>
      </c>
    </row>
    <row r="70" spans="2:14" x14ac:dyDescent="0.25">
      <c r="B70" s="9">
        <v>61</v>
      </c>
      <c r="C70" s="16" t="s">
        <v>73</v>
      </c>
      <c r="D70" s="11"/>
      <c r="E70" s="11"/>
      <c r="F70" s="11"/>
      <c r="G70" s="12" t="s">
        <v>237</v>
      </c>
      <c r="H70" s="13" t="s">
        <v>238</v>
      </c>
      <c r="I70" s="12"/>
      <c r="J70" s="12"/>
      <c r="K70" s="12"/>
      <c r="L70" s="12"/>
      <c r="M70" s="12"/>
      <c r="N70" s="14" t="s">
        <v>239</v>
      </c>
    </row>
    <row r="71" spans="2:14" x14ac:dyDescent="0.25">
      <c r="B71" s="9">
        <v>62</v>
      </c>
      <c r="C71" s="16" t="s">
        <v>73</v>
      </c>
      <c r="D71" s="11"/>
      <c r="E71" s="11"/>
      <c r="F71" s="11"/>
      <c r="G71" s="12" t="s">
        <v>240</v>
      </c>
      <c r="H71" s="13" t="s">
        <v>241</v>
      </c>
      <c r="I71" s="12"/>
      <c r="J71" s="12"/>
      <c r="K71" s="12"/>
      <c r="L71" s="12"/>
      <c r="M71" s="12"/>
      <c r="N71" s="14" t="s">
        <v>242</v>
      </c>
    </row>
    <row r="72" spans="2:14" x14ac:dyDescent="0.25">
      <c r="B72" s="9">
        <v>63</v>
      </c>
      <c r="C72" s="16" t="s">
        <v>73</v>
      </c>
      <c r="D72" s="11"/>
      <c r="E72" s="11"/>
      <c r="F72" s="11"/>
      <c r="G72" s="12" t="s">
        <v>243</v>
      </c>
      <c r="H72" s="13" t="s">
        <v>244</v>
      </c>
      <c r="I72" s="12"/>
      <c r="J72" s="12"/>
      <c r="K72" s="12"/>
      <c r="L72" s="12"/>
      <c r="M72" s="12"/>
      <c r="N72" s="14" t="s">
        <v>245</v>
      </c>
    </row>
    <row r="73" spans="2:14" x14ac:dyDescent="0.25">
      <c r="B73" s="9">
        <v>64</v>
      </c>
      <c r="C73" s="10" t="s">
        <v>22</v>
      </c>
      <c r="D73" s="11"/>
      <c r="E73" s="11"/>
      <c r="F73" s="11"/>
      <c r="G73" s="12" t="s">
        <v>246</v>
      </c>
      <c r="H73" s="13" t="s">
        <v>247</v>
      </c>
      <c r="I73" s="12"/>
      <c r="J73" s="12"/>
      <c r="K73" s="12"/>
      <c r="L73" s="12"/>
      <c r="M73" s="12"/>
      <c r="N73" s="14" t="s">
        <v>248</v>
      </c>
    </row>
    <row r="74" spans="2:14" x14ac:dyDescent="0.25">
      <c r="B74" s="9">
        <v>65</v>
      </c>
      <c r="C74" s="10" t="s">
        <v>22</v>
      </c>
      <c r="D74" s="11"/>
      <c r="E74" s="11" t="s">
        <v>249</v>
      </c>
      <c r="F74" s="12" t="s">
        <v>250</v>
      </c>
      <c r="G74" s="12" t="s">
        <v>251</v>
      </c>
      <c r="H74" s="13" t="s">
        <v>252</v>
      </c>
      <c r="I74" s="12"/>
      <c r="J74" s="12"/>
      <c r="K74" s="12"/>
      <c r="L74" s="12"/>
      <c r="M74" s="12"/>
      <c r="N74" s="14" t="s">
        <v>253</v>
      </c>
    </row>
    <row r="75" spans="2:14" x14ac:dyDescent="0.25">
      <c r="B75" s="9">
        <v>66</v>
      </c>
      <c r="C75" s="10" t="s">
        <v>22</v>
      </c>
      <c r="D75" s="11"/>
      <c r="E75" s="11"/>
      <c r="F75" s="11" t="s">
        <v>254</v>
      </c>
      <c r="G75" s="12" t="s">
        <v>255</v>
      </c>
      <c r="H75" s="13" t="s">
        <v>256</v>
      </c>
      <c r="I75" s="12"/>
      <c r="J75" s="12"/>
      <c r="K75" s="12"/>
      <c r="L75" s="12"/>
      <c r="M75" s="12"/>
      <c r="N75" s="14" t="s">
        <v>257</v>
      </c>
    </row>
    <row r="76" spans="2:14" x14ac:dyDescent="0.25">
      <c r="B76" s="9">
        <v>67</v>
      </c>
      <c r="C76" s="10" t="s">
        <v>22</v>
      </c>
      <c r="D76" s="11"/>
      <c r="E76" s="11"/>
      <c r="F76" s="11"/>
      <c r="G76" s="12" t="s">
        <v>258</v>
      </c>
      <c r="H76" s="13" t="s">
        <v>259</v>
      </c>
      <c r="I76" s="12"/>
      <c r="J76" s="12"/>
      <c r="K76" s="12"/>
      <c r="L76" s="12"/>
      <c r="M76" s="12"/>
      <c r="N76" s="14" t="s">
        <v>260</v>
      </c>
    </row>
    <row r="77" spans="2:14" x14ac:dyDescent="0.25">
      <c r="B77" s="9">
        <v>68</v>
      </c>
      <c r="C77" s="15" t="s">
        <v>31</v>
      </c>
      <c r="D77" s="11"/>
      <c r="E77" s="11"/>
      <c r="F77" s="11"/>
      <c r="G77" s="12" t="s">
        <v>261</v>
      </c>
      <c r="H77" s="13" t="s">
        <v>262</v>
      </c>
      <c r="I77" s="12"/>
      <c r="J77" s="12"/>
      <c r="K77" s="12"/>
      <c r="L77" s="12"/>
      <c r="M77" s="12"/>
      <c r="N77" s="14" t="s">
        <v>263</v>
      </c>
    </row>
    <row r="78" spans="2:14" x14ac:dyDescent="0.25">
      <c r="B78" s="9">
        <v>69</v>
      </c>
      <c r="C78" s="15" t="s">
        <v>31</v>
      </c>
      <c r="D78" s="11"/>
      <c r="E78" s="11"/>
      <c r="F78" s="11" t="s">
        <v>264</v>
      </c>
      <c r="G78" s="12" t="s">
        <v>265</v>
      </c>
      <c r="H78" s="13" t="s">
        <v>266</v>
      </c>
      <c r="I78" s="12"/>
      <c r="J78" s="12"/>
      <c r="K78" s="12"/>
      <c r="L78" s="12"/>
      <c r="M78" s="12"/>
      <c r="N78" s="14" t="s">
        <v>267</v>
      </c>
    </row>
    <row r="79" spans="2:14" x14ac:dyDescent="0.25">
      <c r="B79" s="9">
        <v>70</v>
      </c>
      <c r="C79" s="15" t="s">
        <v>31</v>
      </c>
      <c r="D79" s="11"/>
      <c r="E79" s="11"/>
      <c r="F79" s="11"/>
      <c r="G79" s="12" t="s">
        <v>268</v>
      </c>
      <c r="H79" s="13" t="s">
        <v>269</v>
      </c>
      <c r="I79" s="12"/>
      <c r="J79" s="12"/>
      <c r="K79" s="12"/>
      <c r="L79" s="12"/>
      <c r="M79" s="12"/>
      <c r="N79" s="14" t="s">
        <v>270</v>
      </c>
    </row>
    <row r="80" spans="2:14" x14ac:dyDescent="0.25">
      <c r="B80" s="9">
        <v>71</v>
      </c>
      <c r="C80" s="15" t="s">
        <v>31</v>
      </c>
      <c r="D80" s="11"/>
      <c r="E80" s="11"/>
      <c r="F80" s="11"/>
      <c r="G80" s="12" t="s">
        <v>271</v>
      </c>
      <c r="H80" s="13" t="s">
        <v>272</v>
      </c>
      <c r="I80" s="12"/>
      <c r="J80" s="12"/>
      <c r="K80" s="12"/>
      <c r="L80" s="12"/>
      <c r="M80" s="12"/>
      <c r="N80" s="14" t="s">
        <v>273</v>
      </c>
    </row>
    <row r="81" spans="2:14" x14ac:dyDescent="0.25">
      <c r="B81" s="9">
        <v>72</v>
      </c>
      <c r="C81" s="15" t="s">
        <v>31</v>
      </c>
      <c r="D81" s="11"/>
      <c r="E81" s="11"/>
      <c r="F81" s="11"/>
      <c r="G81" s="12" t="s">
        <v>274</v>
      </c>
      <c r="H81" s="13" t="s">
        <v>275</v>
      </c>
      <c r="I81" s="12"/>
      <c r="J81" s="12"/>
      <c r="K81" s="12"/>
      <c r="L81" s="12"/>
      <c r="M81" s="12"/>
      <c r="N81" s="14" t="s">
        <v>276</v>
      </c>
    </row>
    <row r="82" spans="2:14" x14ac:dyDescent="0.25">
      <c r="B82" s="9">
        <v>73</v>
      </c>
      <c r="C82" s="10" t="s">
        <v>22</v>
      </c>
      <c r="D82" s="11"/>
      <c r="E82" s="12" t="s">
        <v>277</v>
      </c>
      <c r="F82" s="12" t="s">
        <v>278</v>
      </c>
      <c r="G82" s="12" t="s">
        <v>279</v>
      </c>
      <c r="H82" s="13" t="s">
        <v>280</v>
      </c>
      <c r="I82" s="12"/>
      <c r="J82" s="12"/>
      <c r="K82" s="12"/>
      <c r="L82" s="12"/>
      <c r="M82" s="12"/>
      <c r="N82" s="14" t="s">
        <v>281</v>
      </c>
    </row>
    <row r="83" spans="2:14" x14ac:dyDescent="0.25">
      <c r="B83" s="9">
        <v>74</v>
      </c>
      <c r="C83" s="16" t="s">
        <v>73</v>
      </c>
      <c r="D83" s="11"/>
      <c r="E83" s="11" t="s">
        <v>282</v>
      </c>
      <c r="F83" s="11" t="s">
        <v>283</v>
      </c>
      <c r="G83" s="12" t="s">
        <v>284</v>
      </c>
      <c r="H83" s="13" t="s">
        <v>285</v>
      </c>
      <c r="I83" s="12"/>
      <c r="J83" s="12"/>
      <c r="K83" s="12"/>
      <c r="L83" s="12"/>
      <c r="M83" s="12"/>
      <c r="N83" s="14" t="s">
        <v>286</v>
      </c>
    </row>
    <row r="84" spans="2:14" x14ac:dyDescent="0.25">
      <c r="B84" s="9">
        <v>75</v>
      </c>
      <c r="C84" s="15" t="s">
        <v>31</v>
      </c>
      <c r="D84" s="11"/>
      <c r="E84" s="11"/>
      <c r="F84" s="11"/>
      <c r="G84" s="12" t="s">
        <v>287</v>
      </c>
      <c r="H84" s="13" t="s">
        <v>288</v>
      </c>
      <c r="I84" s="12"/>
      <c r="J84" s="12"/>
      <c r="K84" s="12"/>
      <c r="L84" s="12"/>
      <c r="M84" s="12"/>
      <c r="N84" s="14" t="s">
        <v>289</v>
      </c>
    </row>
    <row r="85" spans="2:14" x14ac:dyDescent="0.25">
      <c r="B85" s="9">
        <v>76</v>
      </c>
      <c r="C85" s="10" t="s">
        <v>22</v>
      </c>
      <c r="D85" s="11"/>
      <c r="E85" s="11"/>
      <c r="F85" s="11"/>
      <c r="G85" s="12" t="s">
        <v>290</v>
      </c>
      <c r="H85" s="13" t="s">
        <v>291</v>
      </c>
      <c r="I85" s="12"/>
      <c r="J85" s="12"/>
      <c r="K85" s="12"/>
      <c r="L85" s="12"/>
      <c r="M85" s="12"/>
      <c r="N85" s="14" t="s">
        <v>292</v>
      </c>
    </row>
    <row r="86" spans="2:14" x14ac:dyDescent="0.25">
      <c r="B86" s="9">
        <v>77</v>
      </c>
      <c r="C86" s="10" t="s">
        <v>22</v>
      </c>
      <c r="D86" s="11"/>
      <c r="E86" s="11"/>
      <c r="F86" s="12" t="s">
        <v>293</v>
      </c>
      <c r="G86" s="12" t="s">
        <v>294</v>
      </c>
      <c r="H86" s="13" t="s">
        <v>295</v>
      </c>
      <c r="I86" s="12"/>
      <c r="J86" s="12"/>
      <c r="K86" s="12"/>
      <c r="L86" s="12"/>
      <c r="M86" s="12"/>
      <c r="N86" s="14" t="s">
        <v>296</v>
      </c>
    </row>
    <row r="87" spans="2:14" x14ac:dyDescent="0.25">
      <c r="B87" s="9">
        <v>78</v>
      </c>
      <c r="C87" s="10" t="s">
        <v>22</v>
      </c>
      <c r="D87" s="11" t="s">
        <v>297</v>
      </c>
      <c r="E87" s="11" t="s">
        <v>298</v>
      </c>
      <c r="F87" s="11" t="s">
        <v>299</v>
      </c>
      <c r="G87" s="12" t="s">
        <v>300</v>
      </c>
      <c r="H87" s="13" t="s">
        <v>301</v>
      </c>
      <c r="I87" s="12"/>
      <c r="J87" s="12"/>
      <c r="K87" s="12"/>
      <c r="L87" s="12"/>
      <c r="M87" s="12"/>
      <c r="N87" s="14" t="s">
        <v>302</v>
      </c>
    </row>
    <row r="88" spans="2:14" x14ac:dyDescent="0.25">
      <c r="B88" s="9">
        <v>79</v>
      </c>
      <c r="C88" s="10" t="s">
        <v>22</v>
      </c>
      <c r="D88" s="11"/>
      <c r="E88" s="11"/>
      <c r="F88" s="11"/>
      <c r="G88" s="12" t="s">
        <v>303</v>
      </c>
      <c r="H88" s="13" t="s">
        <v>304</v>
      </c>
      <c r="I88" s="12"/>
      <c r="J88" s="12"/>
      <c r="K88" s="12"/>
      <c r="L88" s="12"/>
      <c r="M88" s="12"/>
      <c r="N88" s="14" t="s">
        <v>305</v>
      </c>
    </row>
    <row r="89" spans="2:14" x14ac:dyDescent="0.25">
      <c r="B89" s="9">
        <v>80</v>
      </c>
      <c r="C89" s="10" t="s">
        <v>22</v>
      </c>
      <c r="D89" s="11"/>
      <c r="E89" s="11"/>
      <c r="F89" s="11"/>
      <c r="G89" s="12" t="s">
        <v>306</v>
      </c>
      <c r="H89" s="13" t="s">
        <v>307</v>
      </c>
      <c r="I89" s="12"/>
      <c r="J89" s="12"/>
      <c r="K89" s="12"/>
      <c r="L89" s="12"/>
      <c r="M89" s="12"/>
      <c r="N89" s="14" t="s">
        <v>308</v>
      </c>
    </row>
    <row r="90" spans="2:14" x14ac:dyDescent="0.25">
      <c r="B90" s="9">
        <v>81</v>
      </c>
      <c r="C90" s="10" t="s">
        <v>22</v>
      </c>
      <c r="D90" s="11"/>
      <c r="E90" s="11"/>
      <c r="F90" s="11" t="s">
        <v>309</v>
      </c>
      <c r="G90" s="12" t="s">
        <v>310</v>
      </c>
      <c r="H90" s="13" t="s">
        <v>311</v>
      </c>
      <c r="I90" s="12"/>
      <c r="J90" s="12"/>
      <c r="K90" s="12"/>
      <c r="L90" s="12"/>
      <c r="M90" s="12"/>
      <c r="N90" s="14" t="s">
        <v>312</v>
      </c>
    </row>
    <row r="91" spans="2:14" x14ac:dyDescent="0.25">
      <c r="B91" s="9">
        <v>82</v>
      </c>
      <c r="C91" s="15" t="s">
        <v>31</v>
      </c>
      <c r="D91" s="11"/>
      <c r="E91" s="11"/>
      <c r="F91" s="11"/>
      <c r="G91" s="12" t="s">
        <v>313</v>
      </c>
      <c r="H91" s="13" t="s">
        <v>314</v>
      </c>
      <c r="I91" s="12"/>
      <c r="J91" s="12"/>
      <c r="K91" s="12"/>
      <c r="L91" s="12"/>
      <c r="M91" s="12"/>
      <c r="N91" s="14" t="s">
        <v>315</v>
      </c>
    </row>
    <row r="92" spans="2:14" x14ac:dyDescent="0.25">
      <c r="B92" s="9">
        <v>83</v>
      </c>
      <c r="C92" s="15" t="s">
        <v>31</v>
      </c>
      <c r="D92" s="11"/>
      <c r="E92" s="11"/>
      <c r="F92" s="11"/>
      <c r="G92" s="12" t="s">
        <v>316</v>
      </c>
      <c r="H92" s="13" t="s">
        <v>317</v>
      </c>
      <c r="I92" s="12"/>
      <c r="J92" s="12"/>
      <c r="K92" s="12"/>
      <c r="L92" s="12"/>
      <c r="M92" s="12"/>
      <c r="N92" s="14" t="s">
        <v>318</v>
      </c>
    </row>
    <row r="93" spans="2:14" x14ac:dyDescent="0.25">
      <c r="B93" s="9">
        <v>84</v>
      </c>
      <c r="C93" s="10" t="s">
        <v>22</v>
      </c>
      <c r="D93" s="11"/>
      <c r="E93" s="11" t="s">
        <v>319</v>
      </c>
      <c r="F93" s="11" t="s">
        <v>320</v>
      </c>
      <c r="G93" s="12" t="s">
        <v>321</v>
      </c>
      <c r="H93" s="13" t="s">
        <v>322</v>
      </c>
      <c r="I93" s="12"/>
      <c r="J93" s="12"/>
      <c r="K93" s="12"/>
      <c r="L93" s="12"/>
      <c r="M93" s="12"/>
      <c r="N93" s="14" t="s">
        <v>323</v>
      </c>
    </row>
    <row r="94" spans="2:14" x14ac:dyDescent="0.25">
      <c r="B94" s="9">
        <v>85</v>
      </c>
      <c r="C94" s="10" t="s">
        <v>22</v>
      </c>
      <c r="D94" s="11"/>
      <c r="E94" s="11"/>
      <c r="F94" s="11"/>
      <c r="G94" s="12" t="s">
        <v>324</v>
      </c>
      <c r="H94" s="13" t="s">
        <v>325</v>
      </c>
      <c r="I94" s="12"/>
      <c r="J94" s="12"/>
      <c r="K94" s="12"/>
      <c r="L94" s="12"/>
      <c r="M94" s="12"/>
      <c r="N94" s="14" t="s">
        <v>326</v>
      </c>
    </row>
    <row r="95" spans="2:14" x14ac:dyDescent="0.25">
      <c r="B95" s="9">
        <v>86</v>
      </c>
      <c r="C95" s="15" t="s">
        <v>31</v>
      </c>
      <c r="D95" s="11"/>
      <c r="E95" s="11"/>
      <c r="F95" s="11" t="s">
        <v>327</v>
      </c>
      <c r="G95" s="12" t="s">
        <v>328</v>
      </c>
      <c r="H95" s="13" t="s">
        <v>329</v>
      </c>
      <c r="I95" s="12"/>
      <c r="J95" s="12"/>
      <c r="K95" s="12"/>
      <c r="L95" s="12"/>
      <c r="M95" s="12"/>
      <c r="N95" s="14" t="s">
        <v>330</v>
      </c>
    </row>
    <row r="96" spans="2:14" x14ac:dyDescent="0.25">
      <c r="B96" s="9">
        <v>87</v>
      </c>
      <c r="C96" s="15" t="s">
        <v>31</v>
      </c>
      <c r="D96" s="11"/>
      <c r="E96" s="11"/>
      <c r="F96" s="11"/>
      <c r="G96" s="12" t="s">
        <v>331</v>
      </c>
      <c r="H96" s="13" t="s">
        <v>332</v>
      </c>
      <c r="I96" s="12"/>
      <c r="J96" s="12"/>
      <c r="K96" s="12"/>
      <c r="L96" s="12"/>
      <c r="M96" s="12"/>
      <c r="N96" s="14" t="s">
        <v>333</v>
      </c>
    </row>
    <row r="97" spans="2:14" x14ac:dyDescent="0.25">
      <c r="B97" s="9">
        <v>88</v>
      </c>
      <c r="C97" s="15" t="s">
        <v>31</v>
      </c>
      <c r="D97" s="11"/>
      <c r="E97" s="11"/>
      <c r="F97" s="11"/>
      <c r="G97" s="12" t="s">
        <v>334</v>
      </c>
      <c r="H97" s="13" t="s">
        <v>335</v>
      </c>
      <c r="I97" s="12"/>
      <c r="J97" s="12"/>
      <c r="K97" s="12"/>
      <c r="L97" s="12"/>
      <c r="M97" s="12"/>
      <c r="N97" s="14" t="s">
        <v>336</v>
      </c>
    </row>
    <row r="98" spans="2:14" x14ac:dyDescent="0.25">
      <c r="B98" s="9">
        <v>89</v>
      </c>
      <c r="C98" s="10" t="s">
        <v>22</v>
      </c>
      <c r="D98" s="11"/>
      <c r="E98" s="11"/>
      <c r="F98" s="11"/>
      <c r="G98" s="12" t="s">
        <v>337</v>
      </c>
      <c r="H98" s="13" t="s">
        <v>338</v>
      </c>
      <c r="I98" s="12"/>
      <c r="J98" s="12"/>
      <c r="K98" s="12"/>
      <c r="L98" s="12"/>
      <c r="M98" s="12"/>
      <c r="N98" s="14" t="s">
        <v>339</v>
      </c>
    </row>
    <row r="99" spans="2:14" x14ac:dyDescent="0.25">
      <c r="B99" s="9">
        <v>90</v>
      </c>
      <c r="C99" s="10" t="s">
        <v>22</v>
      </c>
      <c r="D99" s="11"/>
      <c r="E99" s="11"/>
      <c r="F99" s="11" t="s">
        <v>340</v>
      </c>
      <c r="G99" s="12" t="s">
        <v>341</v>
      </c>
      <c r="H99" s="13" t="s">
        <v>342</v>
      </c>
      <c r="I99" s="12"/>
      <c r="J99" s="12"/>
      <c r="K99" s="12"/>
      <c r="L99" s="12"/>
      <c r="M99" s="12"/>
      <c r="N99" s="14" t="s">
        <v>343</v>
      </c>
    </row>
    <row r="100" spans="2:14" x14ac:dyDescent="0.25">
      <c r="B100" s="9">
        <v>91</v>
      </c>
      <c r="C100" s="16" t="s">
        <v>73</v>
      </c>
      <c r="D100" s="11"/>
      <c r="E100" s="11"/>
      <c r="F100" s="11"/>
      <c r="G100" s="12" t="s">
        <v>344</v>
      </c>
      <c r="H100" s="13" t="s">
        <v>345</v>
      </c>
      <c r="I100" s="12"/>
      <c r="J100" s="12"/>
      <c r="K100" s="12"/>
      <c r="L100" s="12"/>
      <c r="M100" s="12"/>
      <c r="N100" s="14" t="s">
        <v>346</v>
      </c>
    </row>
    <row r="101" spans="2:14" x14ac:dyDescent="0.25">
      <c r="B101" s="9">
        <v>92</v>
      </c>
      <c r="C101" s="16" t="s">
        <v>73</v>
      </c>
      <c r="D101" s="11"/>
      <c r="E101" s="11"/>
      <c r="F101" s="11"/>
      <c r="G101" s="12" t="s">
        <v>347</v>
      </c>
      <c r="H101" s="13" t="s">
        <v>348</v>
      </c>
      <c r="I101" s="12"/>
      <c r="J101" s="12"/>
      <c r="K101" s="12"/>
      <c r="L101" s="12"/>
      <c r="M101" s="12"/>
      <c r="N101" s="14" t="s">
        <v>349</v>
      </c>
    </row>
    <row r="102" spans="2:14" x14ac:dyDescent="0.25">
      <c r="B102" s="9">
        <v>93</v>
      </c>
      <c r="C102" s="10" t="s">
        <v>22</v>
      </c>
      <c r="D102" s="11"/>
      <c r="E102" s="11"/>
      <c r="F102" s="11" t="s">
        <v>293</v>
      </c>
      <c r="G102" s="12" t="s">
        <v>350</v>
      </c>
      <c r="H102" s="13" t="s">
        <v>351</v>
      </c>
      <c r="I102" s="12"/>
      <c r="J102" s="12"/>
      <c r="K102" s="12"/>
      <c r="L102" s="12"/>
      <c r="M102" s="12"/>
      <c r="N102" s="14" t="s">
        <v>352</v>
      </c>
    </row>
    <row r="103" spans="2:14" x14ac:dyDescent="0.25">
      <c r="B103" s="9">
        <v>94</v>
      </c>
      <c r="C103" s="15" t="s">
        <v>31</v>
      </c>
      <c r="D103" s="11"/>
      <c r="E103" s="11"/>
      <c r="F103" s="11"/>
      <c r="G103" s="12" t="s">
        <v>353</v>
      </c>
      <c r="H103" s="13" t="s">
        <v>354</v>
      </c>
      <c r="I103" s="12"/>
      <c r="J103" s="12"/>
      <c r="K103" s="12"/>
      <c r="L103" s="12"/>
      <c r="M103" s="12"/>
      <c r="N103" s="14" t="s">
        <v>355</v>
      </c>
    </row>
    <row r="104" spans="2:14" x14ac:dyDescent="0.25">
      <c r="B104" s="9">
        <v>95</v>
      </c>
      <c r="C104" s="10" t="s">
        <v>22</v>
      </c>
      <c r="D104" s="11"/>
      <c r="E104" s="11" t="s">
        <v>356</v>
      </c>
      <c r="F104" s="11" t="s">
        <v>357</v>
      </c>
      <c r="G104" s="12" t="s">
        <v>358</v>
      </c>
      <c r="H104" s="13" t="s">
        <v>359</v>
      </c>
      <c r="I104" s="12"/>
      <c r="J104" s="12"/>
      <c r="K104" s="12"/>
      <c r="L104" s="12"/>
      <c r="M104" s="12"/>
      <c r="N104" s="14" t="s">
        <v>360</v>
      </c>
    </row>
    <row r="105" spans="2:14" x14ac:dyDescent="0.25">
      <c r="B105" s="9">
        <v>96</v>
      </c>
      <c r="C105" s="10" t="s">
        <v>22</v>
      </c>
      <c r="D105" s="11"/>
      <c r="E105" s="11"/>
      <c r="F105" s="11"/>
      <c r="G105" s="12" t="s">
        <v>361</v>
      </c>
      <c r="H105" s="13" t="s">
        <v>362</v>
      </c>
      <c r="I105" s="12"/>
      <c r="J105" s="12"/>
      <c r="K105" s="12"/>
      <c r="L105" s="12"/>
      <c r="M105" s="12"/>
      <c r="N105" s="14" t="s">
        <v>363</v>
      </c>
    </row>
    <row r="106" spans="2:14" x14ac:dyDescent="0.25">
      <c r="B106" s="9">
        <v>97</v>
      </c>
      <c r="C106" s="16" t="s">
        <v>73</v>
      </c>
      <c r="D106" s="11"/>
      <c r="E106" s="11"/>
      <c r="F106" s="11" t="s">
        <v>364</v>
      </c>
      <c r="G106" s="12" t="s">
        <v>365</v>
      </c>
      <c r="H106" s="13" t="s">
        <v>366</v>
      </c>
      <c r="I106" s="12"/>
      <c r="J106" s="12"/>
      <c r="K106" s="12"/>
      <c r="L106" s="12"/>
      <c r="M106" s="12"/>
      <c r="N106" s="14" t="s">
        <v>367</v>
      </c>
    </row>
    <row r="107" spans="2:14" x14ac:dyDescent="0.25">
      <c r="B107" s="9">
        <v>98</v>
      </c>
      <c r="C107" s="16" t="s">
        <v>73</v>
      </c>
      <c r="D107" s="11"/>
      <c r="E107" s="11"/>
      <c r="F107" s="11"/>
      <c r="G107" s="12" t="s">
        <v>368</v>
      </c>
      <c r="H107" s="13" t="s">
        <v>369</v>
      </c>
      <c r="I107" s="12"/>
      <c r="J107" s="12"/>
      <c r="K107" s="12"/>
      <c r="L107" s="12"/>
      <c r="M107" s="12"/>
      <c r="N107" s="14" t="s">
        <v>370</v>
      </c>
    </row>
    <row r="108" spans="2:14" x14ac:dyDescent="0.25">
      <c r="B108" s="9">
        <v>99</v>
      </c>
      <c r="C108" s="10" t="s">
        <v>22</v>
      </c>
      <c r="D108" s="11"/>
      <c r="E108" s="11"/>
      <c r="F108" s="12" t="s">
        <v>371</v>
      </c>
      <c r="G108" s="12" t="s">
        <v>372</v>
      </c>
      <c r="H108" s="13" t="s">
        <v>373</v>
      </c>
      <c r="I108" s="12"/>
      <c r="J108" s="12"/>
      <c r="K108" s="12"/>
      <c r="L108" s="12"/>
      <c r="M108" s="12"/>
      <c r="N108" s="14" t="s">
        <v>374</v>
      </c>
    </row>
    <row r="109" spans="2:14" x14ac:dyDescent="0.25">
      <c r="B109" s="9">
        <v>100</v>
      </c>
      <c r="C109" s="10" t="s">
        <v>22</v>
      </c>
      <c r="D109" s="11"/>
      <c r="E109" s="11" t="s">
        <v>375</v>
      </c>
      <c r="F109" s="12" t="s">
        <v>357</v>
      </c>
      <c r="G109" s="12" t="s">
        <v>376</v>
      </c>
      <c r="H109" s="13" t="s">
        <v>377</v>
      </c>
      <c r="I109" s="12"/>
      <c r="J109" s="12"/>
      <c r="K109" s="12"/>
      <c r="L109" s="12"/>
      <c r="M109" s="12"/>
      <c r="N109" s="14" t="s">
        <v>378</v>
      </c>
    </row>
    <row r="110" spans="2:14" x14ac:dyDescent="0.25">
      <c r="B110" s="9">
        <v>101</v>
      </c>
      <c r="C110" s="16" t="s">
        <v>73</v>
      </c>
      <c r="D110" s="11"/>
      <c r="E110" s="11"/>
      <c r="F110" s="11" t="s">
        <v>364</v>
      </c>
      <c r="G110" s="12" t="s">
        <v>379</v>
      </c>
      <c r="H110" s="13" t="s">
        <v>380</v>
      </c>
      <c r="I110" s="12"/>
      <c r="J110" s="12"/>
      <c r="K110" s="12"/>
      <c r="L110" s="12"/>
      <c r="M110" s="12"/>
      <c r="N110" s="14" t="s">
        <v>381</v>
      </c>
    </row>
    <row r="111" spans="2:14" x14ac:dyDescent="0.25">
      <c r="B111" s="9">
        <v>102</v>
      </c>
      <c r="C111" s="16" t="s">
        <v>73</v>
      </c>
      <c r="D111" s="11"/>
      <c r="E111" s="11"/>
      <c r="F111" s="11"/>
      <c r="G111" s="12" t="s">
        <v>368</v>
      </c>
      <c r="H111" s="13" t="s">
        <v>382</v>
      </c>
      <c r="I111" s="12"/>
      <c r="J111" s="12"/>
      <c r="K111" s="12"/>
      <c r="L111" s="12"/>
      <c r="M111" s="12"/>
      <c r="N111" s="14" t="s">
        <v>383</v>
      </c>
    </row>
    <row r="112" spans="2:14" x14ac:dyDescent="0.25">
      <c r="B112" s="9">
        <v>103</v>
      </c>
      <c r="C112" s="10" t="s">
        <v>22</v>
      </c>
      <c r="D112" s="11"/>
      <c r="E112" s="11"/>
      <c r="F112" s="12" t="s">
        <v>371</v>
      </c>
      <c r="G112" s="12" t="s">
        <v>384</v>
      </c>
      <c r="H112" s="13" t="s">
        <v>385</v>
      </c>
      <c r="I112" s="12"/>
      <c r="J112" s="12"/>
      <c r="K112" s="12"/>
      <c r="L112" s="12"/>
      <c r="M112" s="12"/>
      <c r="N112" s="14" t="s">
        <v>386</v>
      </c>
    </row>
    <row r="113" spans="2:14" x14ac:dyDescent="0.25">
      <c r="B113" s="9">
        <v>104</v>
      </c>
      <c r="C113" s="10" t="s">
        <v>22</v>
      </c>
      <c r="D113" s="11"/>
      <c r="E113" s="11" t="s">
        <v>387</v>
      </c>
      <c r="F113" s="11" t="s">
        <v>388</v>
      </c>
      <c r="G113" s="12" t="s">
        <v>294</v>
      </c>
      <c r="H113" s="13" t="s">
        <v>389</v>
      </c>
      <c r="I113" s="12"/>
      <c r="J113" s="12"/>
      <c r="K113" s="12"/>
      <c r="L113" s="12"/>
      <c r="M113" s="12"/>
      <c r="N113" s="14" t="s">
        <v>390</v>
      </c>
    </row>
    <row r="114" spans="2:14" x14ac:dyDescent="0.25">
      <c r="B114" s="9">
        <v>105</v>
      </c>
      <c r="C114" s="10" t="s">
        <v>22</v>
      </c>
      <c r="D114" s="11"/>
      <c r="E114" s="11"/>
      <c r="F114" s="11"/>
      <c r="G114" s="12" t="s">
        <v>391</v>
      </c>
      <c r="H114" s="13" t="s">
        <v>392</v>
      </c>
      <c r="I114" s="12"/>
      <c r="J114" s="12"/>
      <c r="K114" s="12"/>
      <c r="L114" s="12"/>
      <c r="M114" s="12"/>
      <c r="N114" s="14" t="s">
        <v>393</v>
      </c>
    </row>
    <row r="115" spans="2:14" x14ac:dyDescent="0.25">
      <c r="B115" s="9">
        <v>106</v>
      </c>
      <c r="C115" s="10" t="s">
        <v>22</v>
      </c>
      <c r="D115" s="11"/>
      <c r="E115" s="11"/>
      <c r="F115" s="12" t="s">
        <v>394</v>
      </c>
      <c r="G115" s="12" t="s">
        <v>395</v>
      </c>
      <c r="H115" s="13" t="s">
        <v>396</v>
      </c>
      <c r="I115" s="12"/>
      <c r="J115" s="12"/>
      <c r="K115" s="12"/>
      <c r="L115" s="12"/>
      <c r="M115" s="12"/>
      <c r="N115" s="14" t="s">
        <v>397</v>
      </c>
    </row>
    <row r="116" spans="2:14" x14ac:dyDescent="0.25">
      <c r="B116" s="9">
        <v>107</v>
      </c>
      <c r="C116" s="10" t="s">
        <v>22</v>
      </c>
      <c r="D116" s="11"/>
      <c r="E116" s="11"/>
      <c r="F116" s="12" t="s">
        <v>398</v>
      </c>
      <c r="G116" s="12" t="s">
        <v>399</v>
      </c>
      <c r="H116" s="13" t="s">
        <v>400</v>
      </c>
      <c r="I116" s="12"/>
      <c r="J116" s="12"/>
      <c r="K116" s="12"/>
      <c r="L116" s="12"/>
      <c r="M116" s="12"/>
      <c r="N116" s="14" t="s">
        <v>401</v>
      </c>
    </row>
  </sheetData>
  <mergeCells count="55">
    <mergeCell ref="D10:D21"/>
    <mergeCell ref="E10:E14"/>
    <mergeCell ref="F10:F12"/>
    <mergeCell ref="F13:F14"/>
    <mergeCell ref="E15:E18"/>
    <mergeCell ref="F15:F17"/>
    <mergeCell ref="E19:E21"/>
    <mergeCell ref="F19:F21"/>
    <mergeCell ref="D22:D39"/>
    <mergeCell ref="E22:E27"/>
    <mergeCell ref="F22:F24"/>
    <mergeCell ref="F25:F27"/>
    <mergeCell ref="E28:E34"/>
    <mergeCell ref="F28:F29"/>
    <mergeCell ref="F30:F34"/>
    <mergeCell ref="E35:E39"/>
    <mergeCell ref="F37:F39"/>
    <mergeCell ref="D40:D86"/>
    <mergeCell ref="E40:E45"/>
    <mergeCell ref="F40:F42"/>
    <mergeCell ref="F43:F45"/>
    <mergeCell ref="E46:E53"/>
    <mergeCell ref="F46:F49"/>
    <mergeCell ref="F50:F51"/>
    <mergeCell ref="F52:F53"/>
    <mergeCell ref="E54:E64"/>
    <mergeCell ref="F54:F55"/>
    <mergeCell ref="F56:F58"/>
    <mergeCell ref="F59:F62"/>
    <mergeCell ref="F63:F64"/>
    <mergeCell ref="E65:E73"/>
    <mergeCell ref="F65:F66"/>
    <mergeCell ref="F67:F68"/>
    <mergeCell ref="F69:F73"/>
    <mergeCell ref="E74:E81"/>
    <mergeCell ref="F75:F77"/>
    <mergeCell ref="F78:F81"/>
    <mergeCell ref="E83:E86"/>
    <mergeCell ref="F83:F85"/>
    <mergeCell ref="D87:D116"/>
    <mergeCell ref="E87:E92"/>
    <mergeCell ref="F87:F89"/>
    <mergeCell ref="F90:F92"/>
    <mergeCell ref="E93:E103"/>
    <mergeCell ref="F93:F94"/>
    <mergeCell ref="F95:F98"/>
    <mergeCell ref="F99:F101"/>
    <mergeCell ref="F102:F103"/>
    <mergeCell ref="E104:E108"/>
    <mergeCell ref="F104:F105"/>
    <mergeCell ref="F106:F107"/>
    <mergeCell ref="E109:E112"/>
    <mergeCell ref="F110:F111"/>
    <mergeCell ref="E113:E116"/>
    <mergeCell ref="F113:F114"/>
  </mergeCells>
  <dataValidations count="1">
    <dataValidation type="list" allowBlank="1" showErrorMessage="1" errorTitle="잘못된 값" error="Pass, Fail, N/T, Block 중 하나를 선택하세요." sqref="I10:J116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랜덤 챌린지 끝없는 주사위 시즌 TC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2026-05-15T05:20:40Z</dcterms:created>
  <dcterms:modified xsi:type="dcterms:W3CDTF">2026-05-15T05:20:40Z</dcterms:modified>
</cp:coreProperties>
</file>