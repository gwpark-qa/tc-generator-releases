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어드벤처 스페셜 챕터 1 아웃게임" state="visible" r:id="rId4"/>
  </sheets>
  <calcPr calcId="171027"/>
</workbook>
</file>

<file path=xl/sharedStrings.xml><?xml version="1.0" encoding="utf-8"?>
<sst xmlns="http://schemas.openxmlformats.org/spreadsheetml/2006/main" count="536" uniqueCount="256">
  <si>
    <t>(C)어드벤처 스페셜 챕터 1 아웃게임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</si>
  <si>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</si>
  <si>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</si>
  <si>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</si>
  <si>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</si>
  <si>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</si>
  <si>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</si>
  <si>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</si>
  <si>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</si>
  <si>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</si>
  <si>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</si>
  <si>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</si>
  <si>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</si>
  <si>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</si>
  <si>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</si>
  <si>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</si>
  <si>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</si>
  <si>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</si>
  <si>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</si>
  <si>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</si>
  <si>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</si>
  <si>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</si>
  <si>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</si>
  <si>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모드리스트</t>
  </si>
  <si>
    <t>이미지 변경</t>
  </si>
  <si>
    <t>23.0 빌드에서 어드벤처 모드 모드리스트 진입 시, 밤하늘 버전의 모드리스트 배경 이미지가 출력된다</t>
  </si>
  <si>
    <t>섹션 2. 스페셜 어드벤처 모드 모드리스트 이미지 변경</t>
  </si>
  <si>
    <t>Normal</t>
  </si>
  <si>
    <t>23.0 빌드 이후 버전에서 어드벤처 모드 모드리스트 진입 시, 기본(낮 버전) 모드리스트 배경 이미지로 복귀되어 출력된다</t>
  </si>
  <si>
    <t>섹션 2. 23.0 빌드에만 적용 후 기본 이미지 사용</t>
  </si>
  <si>
    <t>23.0 빌드 모드리스트 화면에서 상단 '스토리' 텍스트, 챕터 진행 정보, '다음 보상까지' 포인트(0/3,000), '보상' 버튼, '주간 모험 포인트 초기화까지' 카운트다운이 출력된다</t>
  </si>
  <si>
    <t>섹션 2. 모드리스트 화면 구성 요소</t>
  </si>
  <si>
    <t>Critical</t>
  </si>
  <si>
    <t>챕터 선택화면</t>
  </si>
  <si>
    <t>탭 구분</t>
  </si>
  <si>
    <t>어드벤처 모드 진입 시, 챕터 선택화면 상단에 '메인' 탭과 '스페셜' 탭이 구분되어 출력된다</t>
  </si>
  <si>
    <t>섹션 5. 챕터 선택화면에 탭 구분 기능 추가</t>
  </si>
  <si>
    <t>'메인' 탭 선택 시, 기존 챕터 1~4 목록이 출력된다</t>
  </si>
  <si>
    <t>섹션 5. 탭 전환 시 화면 예시</t>
  </si>
  <si>
    <t>'스페셜' 탭 선택 시, 스페셜 챕터 목록(SPECIAL 1 — 달빛술사 쿠키 꿈세계)이 출력된다</t>
  </si>
  <si>
    <t>23.0 빌드 업데이트 이후 모드리스트를 통해 어드벤처 모드 진입 시, '스페셜' 에피소드 탭으로 자동 포커싱된다</t>
  </si>
  <si>
    <t>섹션 5. 23.0 빌드 업데이트 이후 스페셜 탭 포커싱</t>
  </si>
  <si>
    <t>스페셜 에피소드는 이전 챕터 클리어 등 해금 조건 없이 플레이할 수 있도록 잠금 상태 없이 출력된다</t>
  </si>
  <si>
    <t>섹션 5. 스페셜 에피소드 해금 조건 없음</t>
  </si>
  <si>
    <t>'메인' 탭과 '스페셜' 탭 간 반복 전환 시, 각 탭에 해당하는 챕터 목록이 올바르게 전환되어 출력된다</t>
  </si>
  <si>
    <t>섹션 5. 탭 전환 반복 동작</t>
  </si>
  <si>
    <t>챕터 선택 버튼 스냅</t>
  </si>
  <si>
    <t>챕터 선택화면에서 위아래로 스크롤 시, 챕터 버튼이 설정된 영역에 자동으로 스냅되어 정렬된다</t>
  </si>
  <si>
    <t>섹션 6. 챕터 선택 버튼에 스냅 기능 추가</t>
  </si>
  <si>
    <t>스냅된 챕터 버튼 위치에 따라 해당 챕터에 설정된 배경 이미지로 전환되어 출력된다</t>
  </si>
  <si>
    <t>섹션 6. 배경 이미지 전환</t>
  </si>
  <si>
    <t>스크롤 중 챕터 버튼이 스냅 영역 사이에 위치한 상태에서 스크롤을 놓을 시, 가장 가까운 스냅 영역으로 자동 이동된다</t>
  </si>
  <si>
    <t>섹션 6. 스냅 기능 동작</t>
  </si>
  <si>
    <t>챕터 버튼 스냅 시 배경 이미지 전환이 끊김 없이 부드럽게 전환된다</t>
  </si>
  <si>
    <t>섹션 6. 배경 화면 전환 연출</t>
  </si>
  <si>
    <t>'메인' 탭과 '스페셜' 탭 각각에서 챕터 버튼 스냅 기능이 동일하게 동작된다</t>
  </si>
  <si>
    <t>섹션 6. 탭별 스냅 기능</t>
  </si>
  <si>
    <t>배경 이미지</t>
  </si>
  <si>
    <t>스페셜 챕터 선택화면에서 밤하늘 버전의 전용 배경 이미지가 출력된다</t>
  </si>
  <si>
    <t>섹션 3. 스페셜 챕터 전용 선택화면 배경 이미지 제작</t>
  </si>
  <si>
    <t>메인 챕터 선택화면에서는 기존(낮 버전) 배경 이미지가 출력되고, 스페셜 챕터 배경 이미지와 구분된다</t>
  </si>
  <si>
    <t>섹션 3. 낮 배경 vs 밤 하늘 배경 비교</t>
  </si>
  <si>
    <t>챕터 해금 조건 제거</t>
  </si>
  <si>
    <t>스텔라리움 튜토리얼(tutorial id=900005) 완료 시, 모든 챕터가 해금되어 선택 가능한 상태로 출력된다</t>
  </si>
  <si>
    <t>섹션 4. 모든 챕터 해금 조건</t>
  </si>
  <si>
    <t>스텔라리움 튜토리얼(tutorial id=900005) 미완료 시, 챕터가 잠금 상태로 출력된다</t>
  </si>
  <si>
    <t>섹션 4. 스텔라리움 튜토리얼 미완료 시 잠금</t>
  </si>
  <si>
    <t>이전 챕터를 클리어하지 않은 상태에서도 다음 챕터를 선택할 수 있다</t>
  </si>
  <si>
    <t>섹션 4. 전 챕터 클리어 조건 제거</t>
  </si>
  <si>
    <t>스토리 스킵 안내 팝업</t>
  </si>
  <si>
    <t>이전 챕터의 스토��를 모두 보지 않은 상태에서 최초로 다음 챕터에 진입 시, '알림' 안내 팝업이 출력된다</t>
  </si>
  <si>
    <t>섹션 4. 스토리 스킵 안내 팝업</t>
  </si>
  <si>
    <t>안내 팝업에 별 모양 아이콘, 제목 '알림', 본문 '이전 스토리의 내용과 이어지는 장면이 포함되어 있습니다. 그래도 진입하시겠습니까?', '취소' 버튼, '확인' 버튼(체크 아이콘)이 출력된다</t>
  </si>
  <si>
    <t>섹션 4. 안내 팝업 UI 구성</t>
  </si>
  <si>
    <t>안내 팝업에서 '확인' 버튼 터치 시, 해당 챕터로 진입된다</t>
  </si>
  <si>
    <t>섹션 4. 확인 버튼 동작</t>
  </si>
  <si>
    <t>안내 팝업에서 '취소' 버튼 터치 시, 팝업이 닫히고 챕터 선택화면으로 복귀된다</t>
  </si>
  <si>
    <t>섹션 4. 취소 버튼 동작</t>
  </si>
  <si>
    <t>이전 챕터의 스토리를 모두 완료한 상태(특정 Map_Id 1회 이상 클리어)에서 다음 챕터 진입 시, 안내 팝업이 출력되지 않고 바로 진입된다</t>
  </si>
  <si>
    <t>섹션 4. 스토리 완료 상태에서 팝업 미출력</t>
  </si>
  <si>
    <t>안내 팝업을 통해 1회 진입한 챕터에 재진입 시, 안내 팝업이 다시 출력되지 않는다</t>
  </si>
  <si>
    <t>섹션 4. 최초 진입 시에만 팝업 출력</t>
  </si>
  <si>
    <t>스토리 탭 제거</t>
  </si>
  <si>
    <t>스페셜 챕터 선택 시, 우측 상단 UI에서 '스토리' 탭이 제거되고 '주간' 탭만 출력된다</t>
  </si>
  <si>
    <t>섹션 7. 스페셜 챕터에서만 스토리 탭 제거</t>
  </si>
  <si>
    <t>기존 1~4챕터 선택 시, '주간' 탭과 '스토리' 탭이 모두 출력된다</t>
  </si>
  <si>
    <t>섹션 7. 기존 챕터에서 스토리 탭 유지</t>
  </si>
  <si>
    <t>스페셜 챕터와 기존 챕터 간 전환 시, 스토리 탭 표시/미표시 상태가 해당 챕터 유형에 맞게 전환된다</t>
  </si>
  <si>
    <t>섹션 7. 탭 전환 시 스토리 탭 상태</t>
  </si>
  <si>
    <t>스페셜 챕터 로비</t>
  </si>
  <si>
    <t>로비 진입 및 기본 구성</t>
  </si>
  <si>
    <t>스페셜 챕터 로비 진입 시, 꿈세계/꿈열차 컨셉의 로비 화면이 출력된다</t>
  </si>
  <si>
    <t>섹션 12. 5챕터 로비 컨셉</t>
  </si>
  <si>
    <t>스페셜 챕터 로비에서 챕터명이 번역키($adventuremode.chapter.5.name)에 따라 출력된다</t>
  </si>
  <si>
    <t>섹션 12. 챕터명 번역키</t>
  </si>
  <si>
    <t>스페셜 챕터 로비에서 기존 시스템 NPC들이 전 챕터들과 동일한 동선에 배치되어 출력된다</t>
  </si>
  <si>
    <t>섹션 12. 기존 시스템 NPC 배치</t>
  </si>
  <si>
    <t>스페셜 챕터 로비에서 모든 시스템 NPC들이 해금된 상태로 출력된다</t>
  </si>
  <si>
    <t>섹션 12. 모든 시스템 NPC 해금 상태</t>
  </si>
  <si>
    <t>스페셜 챕터 로비에서 메인 스토리 NPC가 배치되지 않는다</t>
  </si>
  <si>
    <t>섹션 12. 아웃게임 스토리 없으므로 메인 스토리 NPC 없음</t>
  </si>
  <si>
    <t>스페셜 챕터 로비에서 출구 포탈 및 기차가 출력되지 않는다</t>
  </si>
  <si>
    <t>섹션 12. 용감한 쿠키 일행 스토리와 별개</t>
  </si>
  <si>
    <t>스페셜 챕터 로비에서 플레이 시작 지점(스타트 포인트)까지의 유저 동선이 짧게 구성되어 있다</t>
  </si>
  <si>
    <t>섹션 1. 동선 설계 방향성</t>
  </si>
  <si>
    <t>진행도별 배경 변경</t>
  </si>
  <si>
    <t>어드벤처 미클리어 상태에서 로비 진입 시, 기본 배경(배경 A)이 출력된다</t>
  </si>
  <si>
    <t>섹션 9. 기본 배경 = 배경 A</t>
  </si>
  <si>
    <t>어드벤처 roomid 100001을 1번 클리어(1회차) 후 로비 진입 시, 배경 B가 출력된다</t>
  </si>
  <si>
    <t>섹션 9. 1회차 클리어 → 배경 B</t>
  </si>
  <si>
    <t>어드벤처 roomid 100001을 2번 클리어(2회차) 후 로비 진입 시, 배경 C가 출력된다</t>
  </si>
  <si>
    <t>섹션 9. 2회차 클리어 → 배경 C</t>
  </si>
  <si>
    <t>어드벤처 roomid 100002를 1번 클리어(3회차) 후 로비 진입 시, 배경 A, B, C 중 랜덤하게 1종이 출력된다</t>
  </si>
  <si>
    <t>섹션 9. 3회차 클리어 → 랜덤 배경</t>
  </si>
  <si>
    <t>모든 스토리 완료 후 로비에 반복 진입 시, 매 진입마다 배경 A, B, C 중 랜덤하게 출력된다</t>
  </si>
  <si>
    <t>섹션 9. 진입할 때마다 랜덤 배경</t>
  </si>
  <si>
    <t>배경 전환 시, 이전 배경이 꺼지고 조건에 맞는 배경이 켜지는 방식으로 전환되어 시각적 이질감 없이 출력된다</t>
  </si>
  <si>
    <t>섹션 9. 배경 끄기/켜기 전환 방식</t>
  </si>
  <si>
    <t>배경 A, B, C 어느 배경이 출력되더라도 BGM은 동일한 1종만 재생된다</t>
  </si>
  <si>
    <t>섹션 9. BGM 1종만 출력</t>
  </si>
  <si>
    <t>챕터별로 로비 배경 색상(조명/톤)이 해당 챕터 설정에 맞게 다르게 적용되어 출력된다</t>
  </si>
  <si>
    <t>섹션 9. 챕터별 로비 배경 색 변경</t>
  </si>
  <si>
    <t>UI 접힘 기능</t>
  </si>
  <si>
    <t>로비 최초 진입 시, 모든 UI가 출력된다</t>
  </si>
  <si>
    <t>섹션 8. 로비 진입 시 모든 UI 출력</t>
  </si>
  <si>
    <t>유저가 조작하여 이동 시, 이벤트 버튼, 상점 버튼(구매 이벤트 및 패스 버튼 포함), 내 쿠키 버튼, 뽑기 버튼, 쿠키 교체 버튼이 접혀 들어가 숨겨진다</t>
  </si>
  <si>
    <t>섹션 8. 접혀 들어가는 UI 목록</t>
  </si>
  <si>
    <t>유저 이동 조작 중에도 타이틀 Top Info, 우측 HUD, 챕터 타이틀(챕터 교체 버튼), 플레이 버튼은 접히지 않고 계속 출력된다</t>
  </si>
  <si>
    <t>섹션 8. 접히지 않는 UI 목록</t>
  </si>
  <si>
    <t>이동을 마치고 멈춘 후 1~2초 경과 시, 숨겨졌던 UI가 다시 나타나 출력된다</t>
  </si>
  <si>
    <t>섹션 8. 이동 멈춘 후 1~2초 딜레이</t>
  </si>
  <si>
    <t>이동 중 UI가 숨겨진 상태에서 화면을 터치 시, 숨겨졌던 UI가 즉시 다시 나타나 출력된다</t>
  </si>
  <si>
    <t>섹션 8. 화면 터치 시 UI 복귀</t>
  </si>
  <si>
    <t>UI 접힘/펼침 전환 시, 부드러운 애니메이션으로 접혀 들어가고 나타나는 연출이 출력된다</t>
  </si>
  <si>
    <t>섹션 8. UI 접힘 연출</t>
  </si>
  <si>
    <t>이동 정지 후 UI가 복귀된 상태에서 다시 이동 조작 시, 접힘 대상 UI가 다시 숨겨진다</t>
  </si>
  <si>
    <t>섹션 8. 반복 이동 시 UI 접힘 재동작</t>
  </si>
  <si>
    <t>상점 버튼 접힘 시, 구매 이벤트 버튼 및 패스 버튼도 함께 접혀 들어간다</t>
  </si>
  <si>
    <t>섹션 8. 상점 버튼 + 구매 이벤트 및 패스 버튼</t>
  </si>
  <si>
    <t>UI 접힘 상태에서 이동 종료 전 빠르게 다시 이동을 시작 시, UI가 복귀되지 않고 접힌 상태를 유지한다</t>
  </si>
  <si>
    <t>섹션 8. 연속 이동 시 UI 접힘 유지</t>
  </si>
  <si>
    <t>다이얼로그 다시보기</t>
  </si>
  <si>
    <t>다이얼로그 화면 하단에 '대화 로그' 버튼이 출력된다</t>
  </si>
  <si>
    <t>섹션 10. 다이얼로그 다시보기 기능 추가</t>
  </si>
  <si>
    <t>다이얼로그 재생 중 '대화 로그' 버튼 터치 시, 스토리 회고 팝업이 출력된다</t>
  </si>
  <si>
    <t>섹션 10. 대화 로그 버튼 동작</t>
  </si>
  <si>
    <t>다이얼로그 자동 재생(AUTO) 중 '대화 로그' 버튼 터치 시, 자동 재생이 해제된다</t>
  </si>
  <si>
    <t>섹션 10. 자동 재생 중 터치 시 자동 재생 해제</t>
  </si>
  <si>
    <t>다이얼로그 자동 재생(AUTO) 중 '대화 로그' 버튼 터치 시, 자동 재생 해제 후 스토리 회고 팝업이 출력된다</t>
  </si>
  <si>
    <t>섹션 10. 자동 재생 해제 후 팝업 출력</t>
  </si>
  <si>
    <t>다이얼로그 화면 하단에 '대화 로그' 버튼, 'AUTO' 버튼, '&gt;&gt;' 버튼, 'SKIP' 버튼이 함께 배치되어 출력된다</t>
  </si>
  <si>
    <t>섹션 10. 다이얼로그 화면 하단 UI</t>
  </si>
  <si>
    <t>스토리 회고 팝업</t>
  </si>
  <si>
    <t>스토리 회고 팝업에 제목 '스토리 회고'가 출력된다</t>
  </si>
  <si>
    <t>섹션 10. 스토리 회고 팝업 제목</t>
  </si>
  <si>
    <t>스토리 회고 팝업에서 이미 지나간 다이얼로그의 화자명과 대사가 텍스트로 시간순 나열되어 출력된다</t>
  </si>
  <si>
    <t>섹션 10. 화자와 대사를 텍스트로만 출력</t>
  </si>
  <si>
    <t>스토리 회고 팝업 내 대화 목록이 스크롤 가능한 리스트로 출력된다</t>
  </si>
  <si>
    <t>섹션 10. 스크롤 가능한 리스트</t>
  </si>
  <si>
    <t>스토리 회고 팝업을 닫은 후 다이얼로그가 중단된 시점부터 이어서 진행된다</t>
  </si>
  <si>
    <t>섹션 10. 팝업 닫기 후 다이얼로그 이어서 진행</t>
  </si>
  <si>
    <t>공용 공간 상호작용</t>
  </si>
  <si>
    <t>꿈세계 주민들</t>
  </si>
  <si>
    <t>로비 공용 공간에 꿈세계 주민 NPC 2종(잠자는 주민, 창 밖을 구경하는 주민)이 배치되어 출력된다</t>
  </si>
  <si>
    <t>섹션 13. 꿈세계 주민들</t>
  </si>
  <si>
    <t>꿈세계 주민 NPC들에게 말풍선 대사가 출력된다</t>
  </si>
  <si>
    <t>섹션 13. 말풍선 대사</t>
  </si>
  <si>
    <t>잠자는 꿈세계 주민과 상호작용 시, 뒤척거리다가 잠깐 잠에서 깨어나 안대를 들어올리는 애니메이션이 출력된다</t>
  </si>
  <si>
    <t>섹션 13. 잠자는 주민 상호작용 애니</t>
  </si>
  <si>
    <t>창 밖을 구경하는 꿈세계 주민과 상호작용 시, 흥미롭게 창 밖을 보며 신나하는 애니메이션이 출력된다</t>
  </si>
  <si>
    <t>섹션 13. 창 밖 구경 주민 상호작용 애니</t>
  </si>
  <si>
    <t>꿈세계 주민 NPC들이 대기 상태에서 대기(idle) 애니메이션이 출력된다</t>
  </si>
  <si>
    <t>섹션 13. 상호작용 없이 idle만</t>
  </si>
  <si>
    <t>주인공들의 객실</t>
  </si>
  <si>
    <t>객실 문 해금</t>
  </si>
  <si>
    <t>1회차 클리어(6층까지 1회 클리어) 미달성 상태에서 객실 문과 상호작용 시, 잠금 상태 모놀로그가 출력된다</t>
  </si>
  <si>
    <t>섹션 14. 조건 달성 전 잠금 상태</t>
  </si>
  <si>
    <t>1회차 클리어(6층까지 1회 클리어) 미달성 상태에서 객실 문에 상호작용 가능 이펙트가 출력되지 않는다</t>
  </si>
  <si>
    <t>섹션 14. 조건 미달성 시 이펙트 없음</t>
  </si>
  <si>
    <t>1회차 클리어(6층까지 1회 클리어) 달성 후 아직 상호작용하지 않은 경우, 객실 문에 상호 작용 가능 이펙트가 출력된다</t>
  </si>
  <si>
    <t>섹션 14. 조건 달성 후 이펙트 출력</t>
  </si>
  <si>
    <t>조건 달성 후 잠겨 있는 객실 문과 상호작용 시, 문이 열리는 애니메이션이 출력되고 열려있는 상태로 유지된다</t>
  </si>
  <si>
    <t>섹션 14. 상호작용 시 문 열림</t>
  </si>
  <si>
    <t>객실 문이 열린 이후에는 상호작용이 불가하며, 열린 상태가 영구 유지된다</t>
  </si>
  <si>
    <t>섹션 14. 열린 상태 유지 / 상호작용 불가</t>
  </si>
  <si>
    <t>객실 문 해금 후 로비를 나갔다가 재진입 시, 객실 문이 열린 상태로 유지되어 출력된다</t>
  </si>
  <si>
    <t>섹션 14. 해금 상태 영구 유지 확인</t>
  </si>
  <si>
    <t>NPC 배치</t>
  </si>
  <si>
    <t>주인공들의 객실 해금 후, 객실 내에 꼬마 멜랑크림 쿠키, 밀키웨이맛 쿠키, 스타더스트 쿠키가 배치되어 출력된다</t>
  </si>
  <si>
    <t>섹션 14. 배치되는 NPC 목록</t>
  </si>
  <si>
    <t>객실 미해금 상태에서는 꼬마 멜랑크림 쿠키, 밀키웨이맛 쿠키, 스타더스트 쿠키가 출력되지 않는다</t>
  </si>
  <si>
    <t>섹션 14. 해금 전 NPC 미출력</t>
  </si>
  <si>
    <t>악몽이 든 상자</t>
  </si>
  <si>
    <t>주인공들의 객실에 악몽이 든 상자 오브젝트가 배치되어 출력된다</t>
  </si>
  <si>
    <t>섹션 13. 악몽이 든 상자</t>
  </si>
  <si>
    <t>악몽이 든 상자에 말풍선 대사가 출력된다</t>
  </si>
  <si>
    <t>악몽이 든 상자와 상호작용 시, 상자에서 악몽이 빼꼼히 나와서 눈치를 보다가 들어가는 애니메이션이 출력된다</t>
  </si>
  <si>
    <t>섹션 13. 악몽이 든 상자 상호작용 애니</t>
  </si>
  <si>
    <t>저주받은 책</t>
  </si>
  <si>
    <t>주인공들의 객실에 저주받은 책 오브젝트가 배치되어 출력된다</t>
  </si>
  <si>
    <t>섹션 13. 저주받은 책</t>
  </si>
  <si>
    <t>저주받은 책에 말풍선 대사가 출력된다</t>
  </si>
  <si>
    <t>저주받은 책에 어두운 연기 이펙트가 출력된다</t>
  </si>
  <si>
    <t>섹션 13. 어두운 연기 이펙트</t>
  </si>
  <si>
    <t>저주받은 책과 상호작용 시, 모놀로그가 출력된다</t>
  </si>
  <si>
    <t>섹션 13. 상호작용 시 모놀로그 출력</t>
  </si>
  <si>
    <t>달빛술사 쿠키의 숨겨진 공간</t>
  </si>
  <si>
    <t>오르골</t>
  </si>
  <si>
    <t>스타트 포인트 근처에 오르골 오브젝트가 배치되어 출력된다</t>
  </si>
  <si>
    <t>섹션 13. 오르골(포탈처럼 사용)</t>
  </si>
  <si>
    <t>활성화된 오르골과 상호작용 시, 달빛술사 쿠키 전용 공간으로 진입된다</t>
  </si>
  <si>
    <t>섹션 13. 오르골 상호작용 시 전용 공간 진입</t>
  </si>
  <si>
    <t>오르골이 한번 활성화된 이후에는 활성화 상태의 애니메이션이 유지되어 출력된다</t>
  </si>
  <si>
    <t>섹션 13. 한번 활성화되면 활성화 애니 유지</t>
  </si>
  <si>
    <t>오르골 비활성화 상태에서는 노란 별 형태로, 활성화 상태에서는 은색 별 형태로 출력된다</t>
  </si>
  <si>
    <t>섹션 15. 오르골 비활성화/활성화 비주얼</t>
  </si>
  <si>
    <t>포탈 해금</t>
  </si>
  <si>
    <t>3회차 클리어(8층까지 1회 클리어) 미달성 상태에서 빛이나는 창문과 상호작용 시, 비활성화 상태가 출력되고 활성화 조건을 알려주는 모놀로그가 출력된다</t>
  </si>
  <si>
    <t>섹션 15. 조건 미달성 시 비활성화 상태</t>
  </si>
  <si>
    <t>3회차 클리어(8층까지 1회 클리어) 미달성 상태에서 포탈에 이펙트가 출력되지 않는다</t>
  </si>
  <si>
    <t>섹션 15. 조건 미달성 시 이펙트 없음</t>
  </si>
  <si>
    <t>3회차 클리어(8층까지 1회 클리어) 달성 후 아직 상호작용하지 않은 경우, 포탈에 활성화 가능 이펙트가 출력된다</t>
  </si>
  <si>
    <t>섹션 15. 조건 달성 후 활성화 가능 이펙트</t>
  </si>
  <si>
    <t>활성화 가능 이펙트가 출력된 포탈과 상호작용 시, 활성화 가능 이펙트가 사라지고 활성화 상태로 전환된다</t>
  </si>
  <si>
    <t>섹션 15. 상호작용 시 활성화 전환</t>
  </si>
  <si>
    <t>포탈이 한번 활성화된 이후에는 영구적으로 활성화 상태가 유지된다</t>
  </si>
  <si>
    <t>섹션 15. 한번 활성화 시 영구 유지</t>
  </si>
  <si>
    <t>포탈 활성화 후 로비를 나갔다가 재진입 시, 포탈이 활성화 상태로 유지되어 출력된다</t>
  </si>
  <si>
    <t>섹션 15. 재진입 시 활성화 영구 유지 확인</t>
  </si>
  <si>
    <t>포탈 비활성화 상태에서 창문이 달빛이 비치는 고딕풍으로, 활성화 상태에서 보라색 빛과 나비 이펙트가 나타나는 창문으로 출력된다</t>
  </si>
  <si>
    <t>섹션 15. 비활성화/활성화 비주얼 비교</t>
  </si>
  <si>
    <t>달빛술사 쿠키의 숨겨진 공간에 달빛술사 쿠키 NPC가 배치되어 출력된다</t>
  </si>
  <si>
    <t>섹션 15. 배치되는 NPC — 달빛술사 쿠키</t>
  </si>
  <si>
    <t>달빛술사 쿠키의 숨겨진 공간 내에 상호작용 요소 2개가 배치되어 출력된다</t>
  </si>
  <si>
    <t>섹션 15. 상호작용 요소 2개</t>
  </si>
  <si>
    <t>달빛술사 쿠키의 숨겨진 공간이 달빛술사만의 꿈세계 공간 컨셉에 맞는 비주얼로 출력된다</t>
  </si>
  <si>
    <t>섹션 15. 숨겨진 공간 컨셉</t>
  </si>
  <si>
    <t>포탈 이동 연출</t>
  </si>
  <si>
    <t>오르골(포탈)과 상호작용 시, 달빛술사 쿠키 전용 공간으로 씬 전환이 완료된다</t>
  </si>
  <si>
    <t>섹션 11. 달빛술사 쿠키 전용 공간 씬 전환</t>
  </si>
  <si>
    <t>포탈 상호작용 시, 포탈에 들어가는 듯한 트랜지션 연출이 출력된다</t>
  </si>
  <si>
    <t>섹션 11. 트랜지션 연출 (포탈 진입 연출로 변경)</t>
  </si>
  <si>
    <t>포탈 이동 시, 화면 전환이 아닌 이동하는 과정이 보이는 방식으로 연출이 출력된다</t>
  </si>
  <si>
    <t>섹션 11. 이동 과정이 보이는 방식</t>
  </si>
  <si>
    <t>포탈 이동 트랜지션 연출 중 달빛술사 문양 마법진 및 별 형태 이펙트가 출력된다</t>
  </si>
  <si>
    <t>섹션 11. 달빛술사 문양 마법진 → 별 형태 이동 이펙트</t>
  </si>
  <si>
    <t>달빛술사 전용 공간에서 포탈을 통해 기존 로비로 복귀할 수 있다</t>
  </si>
  <si>
    <t>섹션 15. 포탈 양방향 이동</t>
  </si>
  <si>
    <t>포탈 이동 중 씬 전환이 끊김이나 로딩 지연 없이 완료된다</t>
  </si>
  <si>
    <t>섹션 11. 씬 전환 안정성</t>
  </si>
  <si>
    <t>배경 전환 조건(클리어 횟수)과 무관하게 배경 변경 시에도 BGM이 끊기지 않고 동일한 1종이 연속 재생된다</t>
  </si>
  <si>
    <t>섹션 9. BGM 1종 고정 + 배경 전환 시 연속 재생</t>
  </si>
  <si>
    <t>스페셜 탭에서 스페셜 챕터 선택 시, 해당 챕터의 진행도(0/3,000)와 남은 시간, 스타 게이지(0/500)가 출력된다</t>
  </si>
  <si>
    <t>이미지 1. 챕터 선택화면 구성 요소</t>
  </si>
  <si>
    <t>챕터 선택화면 상단에 어드벤처 모드 타이틀, 뒤로가기 버튼, 재화 표시 영역이 출력된다</t>
  </si>
  <si>
    <t>이미지 1. 화면 구성 요소 — 상단 헤더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</si>
</sst>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13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COUNTIF(I10:I113,"Pass")</f>
      </c>
      <c r="K3" t="s">
        <v>4</v>
      </c>
      <c r="L3">
        <f>COUNTIF(I10:I113,"")</f>
      </c>
      <c r="M3" s="3" t="s">
        <v>3</v>
      </c>
      <c r="N3">
        <f>COUNTIF(J10:J113,"Pass")</f>
      </c>
    </row>
    <row r="4" spans="9:14" x14ac:dyDescent="0.25">
      <c r="I4" s="4" t="s">
        <v>5</v>
      </c>
      <c r="J4">
        <f>COUNTIF(I10:I113,"N/T")</f>
      </c>
      <c r="K4" t="s">
        <v>6</v>
      </c>
      <c r="L4">
        <f>COUNTA(I10:I113)-COUNTIF(I10:I113,"")</f>
      </c>
      <c r="M4" s="4" t="s">
        <v>5</v>
      </c>
      <c r="N4">
        <f>COUNTIF(J10:J113,"N/T")</f>
      </c>
    </row>
    <row r="5" spans="9:14" x14ac:dyDescent="0.25">
      <c r="I5" s="5" t="s">
        <v>7</v>
      </c>
      <c r="J5">
        <f>COUNTIF(I10:I113,"Fail")</f>
      </c>
      <c r="K5" t="s">
        <v>8</v>
      </c>
      <c r="L5">
        <v>104</v>
      </c>
      <c r="M5" s="5" t="s">
        <v>7</v>
      </c>
      <c r="N5">
        <f>COUNTIF(J10:J113,"Fail")</f>
      </c>
    </row>
    <row r="6" spans="9:14" x14ac:dyDescent="0.25">
      <c r="I6" s="6" t="s">
        <v>9</v>
      </c>
      <c r="J6">
        <f>COUNTIF(I10:I113,"Block")</f>
      </c>
      <c r="K6" t="s">
        <v>10</v>
      </c>
      <c r="L6" s="7">
        <f>IF(L5=0,0,L4/L5)</f>
      </c>
      <c r="M6" s="6" t="s">
        <v>9</v>
      </c>
      <c r="N6">
        <f>COUNTIF(J10:J113,"Block")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2" t="s">
        <v>11</v>
      </c>
      <c r="G10" s="12" t="s">
        <v>11</v>
      </c>
      <c r="H10" s="13" t="s">
        <v>25</v>
      </c>
      <c r="I10" s="12"/>
      <c r="J10" s="12"/>
      <c r="K10" s="12"/>
      <c r="L10" s="12"/>
      <c r="M10" s="12"/>
      <c r="N10" s="14" t="s">
        <v>26</v>
      </c>
    </row>
    <row r="11" spans="2:14" x14ac:dyDescent="0.25">
      <c r="B11" s="9">
        <v>2</v>
      </c>
      <c r="C11" s="15" t="s">
        <v>27</v>
      </c>
      <c r="D11" s="11"/>
      <c r="E11" s="11"/>
      <c r="F11" s="12" t="s">
        <v>11</v>
      </c>
      <c r="G11" s="12" t="s">
        <v>11</v>
      </c>
      <c r="H11" s="13" t="s">
        <v>28</v>
      </c>
      <c r="I11" s="12"/>
      <c r="J11" s="12"/>
      <c r="K11" s="12"/>
      <c r="L11" s="12"/>
      <c r="M11" s="12"/>
      <c r="N11" s="14" t="s">
        <v>29</v>
      </c>
    </row>
    <row r="12" spans="2:14" x14ac:dyDescent="0.25">
      <c r="B12" s="9">
        <v>3</v>
      </c>
      <c r="C12" s="15" t="s">
        <v>27</v>
      </c>
      <c r="D12" s="11"/>
      <c r="E12" s="11"/>
      <c r="F12" s="12" t="s">
        <v>11</v>
      </c>
      <c r="G12" s="12" t="s">
        <v>11</v>
      </c>
      <c r="H12" s="13" t="s">
        <v>30</v>
      </c>
      <c r="I12" s="12"/>
      <c r="J12" s="12"/>
      <c r="K12" s="12"/>
      <c r="L12" s="12"/>
      <c r="M12" s="12"/>
      <c r="N12" s="14" t="s">
        <v>31</v>
      </c>
    </row>
    <row r="13" spans="2:14" x14ac:dyDescent="0.25">
      <c r="B13" s="9">
        <v>4</v>
      </c>
      <c r="C13" s="16" t="s">
        <v>32</v>
      </c>
      <c r="D13" s="11" t="s">
        <v>33</v>
      </c>
      <c r="E13" s="11" t="s">
        <v>34</v>
      </c>
      <c r="F13" s="12" t="s">
        <v>11</v>
      </c>
      <c r="G13" s="12" t="s">
        <v>11</v>
      </c>
      <c r="H13" s="13" t="s">
        <v>35</v>
      </c>
      <c r="I13" s="12"/>
      <c r="J13" s="12"/>
      <c r="K13" s="12"/>
      <c r="L13" s="12"/>
      <c r="M13" s="12"/>
      <c r="N13" s="14" t="s">
        <v>36</v>
      </c>
    </row>
    <row r="14" spans="2:14" x14ac:dyDescent="0.25">
      <c r="B14" s="9">
        <v>5</v>
      </c>
      <c r="C14" s="10" t="s">
        <v>22</v>
      </c>
      <c r="D14" s="11"/>
      <c r="E14" s="11"/>
      <c r="F14" s="12" t="s">
        <v>11</v>
      </c>
      <c r="G14" s="12" t="s">
        <v>11</v>
      </c>
      <c r="H14" s="13" t="s">
        <v>37</v>
      </c>
      <c r="I14" s="12"/>
      <c r="J14" s="12"/>
      <c r="K14" s="12"/>
      <c r="L14" s="12"/>
      <c r="M14" s="12"/>
      <c r="N14" s="14" t="s">
        <v>38</v>
      </c>
    </row>
    <row r="15" spans="2:14" x14ac:dyDescent="0.25">
      <c r="B15" s="9">
        <v>6</v>
      </c>
      <c r="C15" s="10" t="s">
        <v>22</v>
      </c>
      <c r="D15" s="11"/>
      <c r="E15" s="11"/>
      <c r="F15" s="12" t="s">
        <v>11</v>
      </c>
      <c r="G15" s="12" t="s">
        <v>11</v>
      </c>
      <c r="H15" s="13" t="s">
        <v>39</v>
      </c>
      <c r="I15" s="12"/>
      <c r="J15" s="12"/>
      <c r="K15" s="12"/>
      <c r="L15" s="12"/>
      <c r="M15" s="12"/>
      <c r="N15" s="14" t="s">
        <v>38</v>
      </c>
    </row>
    <row r="16" spans="2:14" x14ac:dyDescent="0.25">
      <c r="B16" s="9">
        <v>7</v>
      </c>
      <c r="C16" s="10" t="s">
        <v>22</v>
      </c>
      <c r="D16" s="11"/>
      <c r="E16" s="11"/>
      <c r="F16" s="12" t="s">
        <v>11</v>
      </c>
      <c r="G16" s="12" t="s">
        <v>11</v>
      </c>
      <c r="H16" s="13" t="s">
        <v>40</v>
      </c>
      <c r="I16" s="12"/>
      <c r="J16" s="12"/>
      <c r="K16" s="12"/>
      <c r="L16" s="12"/>
      <c r="M16" s="12"/>
      <c r="N16" s="14" t="s">
        <v>41</v>
      </c>
    </row>
    <row r="17" spans="2:14" x14ac:dyDescent="0.25">
      <c r="B17" s="9">
        <v>8</v>
      </c>
      <c r="C17" s="15" t="s">
        <v>27</v>
      </c>
      <c r="D17" s="11"/>
      <c r="E17" s="11"/>
      <c r="F17" s="12" t="s">
        <v>11</v>
      </c>
      <c r="G17" s="12" t="s">
        <v>11</v>
      </c>
      <c r="H17" s="13" t="s">
        <v>42</v>
      </c>
      <c r="I17" s="12"/>
      <c r="J17" s="12"/>
      <c r="K17" s="12"/>
      <c r="L17" s="12"/>
      <c r="M17" s="12"/>
      <c r="N17" s="14" t="s">
        <v>43</v>
      </c>
    </row>
    <row r="18" spans="2:14" x14ac:dyDescent="0.25">
      <c r="B18" s="9">
        <v>9</v>
      </c>
      <c r="C18" s="15" t="s">
        <v>27</v>
      </c>
      <c r="D18" s="11"/>
      <c r="E18" s="11"/>
      <c r="F18" s="12" t="s">
        <v>11</v>
      </c>
      <c r="G18" s="12" t="s">
        <v>11</v>
      </c>
      <c r="H18" s="13" t="s">
        <v>44</v>
      </c>
      <c r="I18" s="12"/>
      <c r="J18" s="12"/>
      <c r="K18" s="12"/>
      <c r="L18" s="12"/>
      <c r="M18" s="12"/>
      <c r="N18" s="14" t="s">
        <v>45</v>
      </c>
    </row>
    <row r="19" spans="2:14" x14ac:dyDescent="0.25">
      <c r="B19" s="9">
        <v>10</v>
      </c>
      <c r="C19" s="10" t="s">
        <v>22</v>
      </c>
      <c r="D19" s="11"/>
      <c r="E19" s="11" t="s">
        <v>46</v>
      </c>
      <c r="F19" s="12" t="s">
        <v>11</v>
      </c>
      <c r="G19" s="12" t="s">
        <v>11</v>
      </c>
      <c r="H19" s="13" t="s">
        <v>47</v>
      </c>
      <c r="I19" s="12"/>
      <c r="J19" s="12"/>
      <c r="K19" s="12"/>
      <c r="L19" s="12"/>
      <c r="M19" s="12"/>
      <c r="N19" s="14" t="s">
        <v>48</v>
      </c>
    </row>
    <row r="20" spans="2:14" x14ac:dyDescent="0.25">
      <c r="B20" s="9">
        <v>11</v>
      </c>
      <c r="C20" s="10" t="s">
        <v>22</v>
      </c>
      <c r="D20" s="11"/>
      <c r="E20" s="11"/>
      <c r="F20" s="12" t="s">
        <v>11</v>
      </c>
      <c r="G20" s="12" t="s">
        <v>11</v>
      </c>
      <c r="H20" s="13" t="s">
        <v>49</v>
      </c>
      <c r="I20" s="12"/>
      <c r="J20" s="12"/>
      <c r="K20" s="12"/>
      <c r="L20" s="12"/>
      <c r="M20" s="12"/>
      <c r="N20" s="14" t="s">
        <v>50</v>
      </c>
    </row>
    <row r="21" spans="2:14" x14ac:dyDescent="0.25">
      <c r="B21" s="9">
        <v>12</v>
      </c>
      <c r="C21" s="15" t="s">
        <v>27</v>
      </c>
      <c r="D21" s="11"/>
      <c r="E21" s="11"/>
      <c r="F21" s="12" t="s">
        <v>11</v>
      </c>
      <c r="G21" s="12" t="s">
        <v>11</v>
      </c>
      <c r="H21" s="13" t="s">
        <v>51</v>
      </c>
      <c r="I21" s="12"/>
      <c r="J21" s="12"/>
      <c r="K21" s="12"/>
      <c r="L21" s="12"/>
      <c r="M21" s="12"/>
      <c r="N21" s="14" t="s">
        <v>52</v>
      </c>
    </row>
    <row r="22" spans="2:14" x14ac:dyDescent="0.25">
      <c r="B22" s="9">
        <v>13</v>
      </c>
      <c r="C22" s="15" t="s">
        <v>27</v>
      </c>
      <c r="D22" s="11"/>
      <c r="E22" s="11"/>
      <c r="F22" s="12" t="s">
        <v>11</v>
      </c>
      <c r="G22" s="12" t="s">
        <v>11</v>
      </c>
      <c r="H22" s="13" t="s">
        <v>53</v>
      </c>
      <c r="I22" s="12"/>
      <c r="J22" s="12"/>
      <c r="K22" s="12"/>
      <c r="L22" s="12"/>
      <c r="M22" s="12"/>
      <c r="N22" s="14" t="s">
        <v>54</v>
      </c>
    </row>
    <row r="23" spans="2:14" x14ac:dyDescent="0.25">
      <c r="B23" s="9">
        <v>14</v>
      </c>
      <c r="C23" s="15" t="s">
        <v>27</v>
      </c>
      <c r="D23" s="11"/>
      <c r="E23" s="11"/>
      <c r="F23" s="12" t="s">
        <v>11</v>
      </c>
      <c r="G23" s="12" t="s">
        <v>11</v>
      </c>
      <c r="H23" s="13" t="s">
        <v>55</v>
      </c>
      <c r="I23" s="12"/>
      <c r="J23" s="12"/>
      <c r="K23" s="12"/>
      <c r="L23" s="12"/>
      <c r="M23" s="12"/>
      <c r="N23" s="14" t="s">
        <v>56</v>
      </c>
    </row>
    <row r="24" spans="2:14" x14ac:dyDescent="0.25">
      <c r="B24" s="9">
        <v>15</v>
      </c>
      <c r="C24" s="10" t="s">
        <v>22</v>
      </c>
      <c r="D24" s="11"/>
      <c r="E24" s="11" t="s">
        <v>57</v>
      </c>
      <c r="F24" s="12" t="s">
        <v>11</v>
      </c>
      <c r="G24" s="12" t="s">
        <v>11</v>
      </c>
      <c r="H24" s="13" t="s">
        <v>58</v>
      </c>
      <c r="I24" s="12"/>
      <c r="J24" s="12"/>
      <c r="K24" s="12"/>
      <c r="L24" s="12"/>
      <c r="M24" s="12"/>
      <c r="N24" s="14" t="s">
        <v>59</v>
      </c>
    </row>
    <row r="25" spans="2:14" x14ac:dyDescent="0.25">
      <c r="B25" s="9">
        <v>16</v>
      </c>
      <c r="C25" s="15" t="s">
        <v>27</v>
      </c>
      <c r="D25" s="11"/>
      <c r="E25" s="11"/>
      <c r="F25" s="12" t="s">
        <v>11</v>
      </c>
      <c r="G25" s="12" t="s">
        <v>11</v>
      </c>
      <c r="H25" s="13" t="s">
        <v>60</v>
      </c>
      <c r="I25" s="12"/>
      <c r="J25" s="12"/>
      <c r="K25" s="12"/>
      <c r="L25" s="12"/>
      <c r="M25" s="12"/>
      <c r="N25" s="14" t="s">
        <v>61</v>
      </c>
    </row>
    <row r="26" spans="2:14" x14ac:dyDescent="0.25">
      <c r="B26" s="9">
        <v>17</v>
      </c>
      <c r="C26" s="16" t="s">
        <v>32</v>
      </c>
      <c r="D26" s="11"/>
      <c r="E26" s="11" t="s">
        <v>62</v>
      </c>
      <c r="F26" s="12" t="s">
        <v>11</v>
      </c>
      <c r="G26" s="12" t="s">
        <v>11</v>
      </c>
      <c r="H26" s="13" t="s">
        <v>63</v>
      </c>
      <c r="I26" s="12"/>
      <c r="J26" s="12"/>
      <c r="K26" s="12"/>
      <c r="L26" s="12"/>
      <c r="M26" s="12"/>
      <c r="N26" s="14" t="s">
        <v>64</v>
      </c>
    </row>
    <row r="27" spans="2:14" x14ac:dyDescent="0.25">
      <c r="B27" s="9">
        <v>18</v>
      </c>
      <c r="C27" s="16" t="s">
        <v>32</v>
      </c>
      <c r="D27" s="11"/>
      <c r="E27" s="11"/>
      <c r="F27" s="12" t="s">
        <v>11</v>
      </c>
      <c r="G27" s="12" t="s">
        <v>11</v>
      </c>
      <c r="H27" s="13" t="s">
        <v>65</v>
      </c>
      <c r="I27" s="12"/>
      <c r="J27" s="12"/>
      <c r="K27" s="12"/>
      <c r="L27" s="12"/>
      <c r="M27" s="12"/>
      <c r="N27" s="14" t="s">
        <v>66</v>
      </c>
    </row>
    <row r="28" spans="2:14" x14ac:dyDescent="0.25">
      <c r="B28" s="9">
        <v>19</v>
      </c>
      <c r="C28" s="10" t="s">
        <v>22</v>
      </c>
      <c r="D28" s="11"/>
      <c r="E28" s="11"/>
      <c r="F28" s="12" t="s">
        <v>11</v>
      </c>
      <c r="G28" s="12" t="s">
        <v>11</v>
      </c>
      <c r="H28" s="13" t="s">
        <v>67</v>
      </c>
      <c r="I28" s="12"/>
      <c r="J28" s="12"/>
      <c r="K28" s="12"/>
      <c r="L28" s="12"/>
      <c r="M28" s="12"/>
      <c r="N28" s="14" t="s">
        <v>68</v>
      </c>
    </row>
    <row r="29" spans="2:14" x14ac:dyDescent="0.25">
      <c r="B29" s="9">
        <v>20</v>
      </c>
      <c r="C29" s="16" t="s">
        <v>32</v>
      </c>
      <c r="D29" s="11"/>
      <c r="E29" s="11"/>
      <c r="F29" s="11" t="s">
        <v>69</v>
      </c>
      <c r="G29" s="12" t="s">
        <v>11</v>
      </c>
      <c r="H29" s="13" t="s">
        <v>70</v>
      </c>
      <c r="I29" s="12"/>
      <c r="J29" s="12"/>
      <c r="K29" s="12"/>
      <c r="L29" s="12"/>
      <c r="M29" s="12"/>
      <c r="N29" s="14" t="s">
        <v>71</v>
      </c>
    </row>
    <row r="30" spans="2:14" x14ac:dyDescent="0.25">
      <c r="B30" s="9">
        <v>21</v>
      </c>
      <c r="C30" s="10" t="s">
        <v>22</v>
      </c>
      <c r="D30" s="11"/>
      <c r="E30" s="11"/>
      <c r="F30" s="11"/>
      <c r="G30" s="12" t="s">
        <v>11</v>
      </c>
      <c r="H30" s="13" t="s">
        <v>72</v>
      </c>
      <c r="I30" s="12"/>
      <c r="J30" s="12"/>
      <c r="K30" s="12"/>
      <c r="L30" s="12"/>
      <c r="M30" s="12"/>
      <c r="N30" s="14" t="s">
        <v>73</v>
      </c>
    </row>
    <row r="31" spans="2:14" x14ac:dyDescent="0.25">
      <c r="B31" s="9">
        <v>22</v>
      </c>
      <c r="C31" s="10" t="s">
        <v>22</v>
      </c>
      <c r="D31" s="11"/>
      <c r="E31" s="11"/>
      <c r="F31" s="11"/>
      <c r="G31" s="12" t="s">
        <v>11</v>
      </c>
      <c r="H31" s="13" t="s">
        <v>74</v>
      </c>
      <c r="I31" s="12"/>
      <c r="J31" s="12"/>
      <c r="K31" s="12"/>
      <c r="L31" s="12"/>
      <c r="M31" s="12"/>
      <c r="N31" s="14" t="s">
        <v>75</v>
      </c>
    </row>
    <row r="32" spans="2:14" x14ac:dyDescent="0.25">
      <c r="B32" s="9">
        <v>23</v>
      </c>
      <c r="C32" s="10" t="s">
        <v>22</v>
      </c>
      <c r="D32" s="11"/>
      <c r="E32" s="11"/>
      <c r="F32" s="11"/>
      <c r="G32" s="12" t="s">
        <v>11</v>
      </c>
      <c r="H32" s="13" t="s">
        <v>76</v>
      </c>
      <c r="I32" s="12"/>
      <c r="J32" s="12"/>
      <c r="K32" s="12"/>
      <c r="L32" s="12"/>
      <c r="M32" s="12"/>
      <c r="N32" s="14" t="s">
        <v>77</v>
      </c>
    </row>
    <row r="33" spans="2:14" x14ac:dyDescent="0.25">
      <c r="B33" s="9">
        <v>24</v>
      </c>
      <c r="C33" s="15" t="s">
        <v>27</v>
      </c>
      <c r="D33" s="11"/>
      <c r="E33" s="11"/>
      <c r="F33" s="11"/>
      <c r="G33" s="12" t="s">
        <v>11</v>
      </c>
      <c r="H33" s="13" t="s">
        <v>78</v>
      </c>
      <c r="I33" s="12"/>
      <c r="J33" s="12"/>
      <c r="K33" s="12"/>
      <c r="L33" s="12"/>
      <c r="M33" s="12"/>
      <c r="N33" s="14" t="s">
        <v>79</v>
      </c>
    </row>
    <row r="34" spans="2:14" x14ac:dyDescent="0.25">
      <c r="B34" s="9">
        <v>25</v>
      </c>
      <c r="C34" s="15" t="s">
        <v>27</v>
      </c>
      <c r="D34" s="11"/>
      <c r="E34" s="11"/>
      <c r="F34" s="11"/>
      <c r="G34" s="12" t="s">
        <v>11</v>
      </c>
      <c r="H34" s="13" t="s">
        <v>80</v>
      </c>
      <c r="I34" s="12"/>
      <c r="J34" s="12"/>
      <c r="K34" s="12"/>
      <c r="L34" s="12"/>
      <c r="M34" s="12"/>
      <c r="N34" s="14" t="s">
        <v>81</v>
      </c>
    </row>
    <row r="35" spans="2:14" x14ac:dyDescent="0.25">
      <c r="B35" s="9">
        <v>26</v>
      </c>
      <c r="C35" s="10" t="s">
        <v>22</v>
      </c>
      <c r="D35" s="11"/>
      <c r="E35" s="11" t="s">
        <v>82</v>
      </c>
      <c r="F35" s="12" t="s">
        <v>11</v>
      </c>
      <c r="G35" s="12" t="s">
        <v>11</v>
      </c>
      <c r="H35" s="13" t="s">
        <v>83</v>
      </c>
      <c r="I35" s="12"/>
      <c r="J35" s="12"/>
      <c r="K35" s="12"/>
      <c r="L35" s="12"/>
      <c r="M35" s="12"/>
      <c r="N35" s="14" t="s">
        <v>84</v>
      </c>
    </row>
    <row r="36" spans="2:14" x14ac:dyDescent="0.25">
      <c r="B36" s="9">
        <v>27</v>
      </c>
      <c r="C36" s="10" t="s">
        <v>22</v>
      </c>
      <c r="D36" s="11"/>
      <c r="E36" s="11"/>
      <c r="F36" s="12" t="s">
        <v>11</v>
      </c>
      <c r="G36" s="12" t="s">
        <v>11</v>
      </c>
      <c r="H36" s="13" t="s">
        <v>85</v>
      </c>
      <c r="I36" s="12"/>
      <c r="J36" s="12"/>
      <c r="K36" s="12"/>
      <c r="L36" s="12"/>
      <c r="M36" s="12"/>
      <c r="N36" s="14" t="s">
        <v>86</v>
      </c>
    </row>
    <row r="37" spans="2:14" x14ac:dyDescent="0.25">
      <c r="B37" s="9">
        <v>28</v>
      </c>
      <c r="C37" s="15" t="s">
        <v>27</v>
      </c>
      <c r="D37" s="11"/>
      <c r="E37" s="11"/>
      <c r="F37" s="12" t="s">
        <v>11</v>
      </c>
      <c r="G37" s="12" t="s">
        <v>11</v>
      </c>
      <c r="H37" s="13" t="s">
        <v>87</v>
      </c>
      <c r="I37" s="12"/>
      <c r="J37" s="12"/>
      <c r="K37" s="12"/>
      <c r="L37" s="12"/>
      <c r="M37" s="12"/>
      <c r="N37" s="14" t="s">
        <v>88</v>
      </c>
    </row>
    <row r="38" spans="2:14" x14ac:dyDescent="0.25">
      <c r="B38" s="9">
        <v>29</v>
      </c>
      <c r="C38" s="10" t="s">
        <v>22</v>
      </c>
      <c r="D38" s="11" t="s">
        <v>89</v>
      </c>
      <c r="E38" s="11" t="s">
        <v>90</v>
      </c>
      <c r="F38" s="12" t="s">
        <v>11</v>
      </c>
      <c r="G38" s="12" t="s">
        <v>11</v>
      </c>
      <c r="H38" s="13" t="s">
        <v>91</v>
      </c>
      <c r="I38" s="12"/>
      <c r="J38" s="12"/>
      <c r="K38" s="12"/>
      <c r="L38" s="12"/>
      <c r="M38" s="12"/>
      <c r="N38" s="14" t="s">
        <v>92</v>
      </c>
    </row>
    <row r="39" spans="2:14" x14ac:dyDescent="0.25">
      <c r="B39" s="9">
        <v>30</v>
      </c>
      <c r="C39" s="10" t="s">
        <v>22</v>
      </c>
      <c r="D39" s="11"/>
      <c r="E39" s="11"/>
      <c r="F39" s="12" t="s">
        <v>11</v>
      </c>
      <c r="G39" s="12" t="s">
        <v>11</v>
      </c>
      <c r="H39" s="13" t="s">
        <v>93</v>
      </c>
      <c r="I39" s="12"/>
      <c r="J39" s="12"/>
      <c r="K39" s="12"/>
      <c r="L39" s="12"/>
      <c r="M39" s="12"/>
      <c r="N39" s="14" t="s">
        <v>94</v>
      </c>
    </row>
    <row r="40" spans="2:14" x14ac:dyDescent="0.25">
      <c r="B40" s="9">
        <v>31</v>
      </c>
      <c r="C40" s="10" t="s">
        <v>22</v>
      </c>
      <c r="D40" s="11"/>
      <c r="E40" s="11"/>
      <c r="F40" s="12" t="s">
        <v>11</v>
      </c>
      <c r="G40" s="12" t="s">
        <v>11</v>
      </c>
      <c r="H40" s="13" t="s">
        <v>95</v>
      </c>
      <c r="I40" s="12"/>
      <c r="J40" s="12"/>
      <c r="K40" s="12"/>
      <c r="L40" s="12"/>
      <c r="M40" s="12"/>
      <c r="N40" s="14" t="s">
        <v>96</v>
      </c>
    </row>
    <row r="41" spans="2:14" x14ac:dyDescent="0.25">
      <c r="B41" s="9">
        <v>32</v>
      </c>
      <c r="C41" s="10" t="s">
        <v>22</v>
      </c>
      <c r="D41" s="11"/>
      <c r="E41" s="11"/>
      <c r="F41" s="12" t="s">
        <v>11</v>
      </c>
      <c r="G41" s="12" t="s">
        <v>11</v>
      </c>
      <c r="H41" s="13" t="s">
        <v>97</v>
      </c>
      <c r="I41" s="12"/>
      <c r="J41" s="12"/>
      <c r="K41" s="12"/>
      <c r="L41" s="12"/>
      <c r="M41" s="12"/>
      <c r="N41" s="14" t="s">
        <v>98</v>
      </c>
    </row>
    <row r="42" spans="2:14" x14ac:dyDescent="0.25">
      <c r="B42" s="9">
        <v>33</v>
      </c>
      <c r="C42" s="15" t="s">
        <v>27</v>
      </c>
      <c r="D42" s="11"/>
      <c r="E42" s="11"/>
      <c r="F42" s="12" t="s">
        <v>11</v>
      </c>
      <c r="G42" s="12" t="s">
        <v>11</v>
      </c>
      <c r="H42" s="13" t="s">
        <v>99</v>
      </c>
      <c r="I42" s="12"/>
      <c r="J42" s="12"/>
      <c r="K42" s="12"/>
      <c r="L42" s="12"/>
      <c r="M42" s="12"/>
      <c r="N42" s="14" t="s">
        <v>100</v>
      </c>
    </row>
    <row r="43" spans="2:14" x14ac:dyDescent="0.25">
      <c r="B43" s="9">
        <v>34</v>
      </c>
      <c r="C43" s="15" t="s">
        <v>27</v>
      </c>
      <c r="D43" s="11"/>
      <c r="E43" s="11"/>
      <c r="F43" s="12" t="s">
        <v>11</v>
      </c>
      <c r="G43" s="12" t="s">
        <v>11</v>
      </c>
      <c r="H43" s="13" t="s">
        <v>101</v>
      </c>
      <c r="I43" s="12"/>
      <c r="J43" s="12"/>
      <c r="K43" s="12"/>
      <c r="L43" s="12"/>
      <c r="M43" s="12"/>
      <c r="N43" s="14" t="s">
        <v>102</v>
      </c>
    </row>
    <row r="44" spans="2:14" x14ac:dyDescent="0.25">
      <c r="B44" s="9">
        <v>35</v>
      </c>
      <c r="C44" s="15" t="s">
        <v>27</v>
      </c>
      <c r="D44" s="11"/>
      <c r="E44" s="11"/>
      <c r="F44" s="12" t="s">
        <v>11</v>
      </c>
      <c r="G44" s="12" t="s">
        <v>11</v>
      </c>
      <c r="H44" s="13" t="s">
        <v>103</v>
      </c>
      <c r="I44" s="12"/>
      <c r="J44" s="12"/>
      <c r="K44" s="12"/>
      <c r="L44" s="12"/>
      <c r="M44" s="12"/>
      <c r="N44" s="14" t="s">
        <v>104</v>
      </c>
    </row>
    <row r="45" spans="2:14" x14ac:dyDescent="0.25">
      <c r="B45" s="9">
        <v>36</v>
      </c>
      <c r="C45" s="10" t="s">
        <v>22</v>
      </c>
      <c r="D45" s="11"/>
      <c r="E45" s="11" t="s">
        <v>105</v>
      </c>
      <c r="F45" s="12" t="s">
        <v>11</v>
      </c>
      <c r="G45" s="12" t="s">
        <v>11</v>
      </c>
      <c r="H45" s="13" t="s">
        <v>106</v>
      </c>
      <c r="I45" s="12"/>
      <c r="J45" s="12"/>
      <c r="K45" s="12"/>
      <c r="L45" s="12"/>
      <c r="M45" s="12"/>
      <c r="N45" s="14" t="s">
        <v>107</v>
      </c>
    </row>
    <row r="46" spans="2:14" x14ac:dyDescent="0.25">
      <c r="B46" s="9">
        <v>37</v>
      </c>
      <c r="C46" s="10" t="s">
        <v>22</v>
      </c>
      <c r="D46" s="11"/>
      <c r="E46" s="11"/>
      <c r="F46" s="12" t="s">
        <v>11</v>
      </c>
      <c r="G46" s="12" t="s">
        <v>11</v>
      </c>
      <c r="H46" s="13" t="s">
        <v>108</v>
      </c>
      <c r="I46" s="12"/>
      <c r="J46" s="12"/>
      <c r="K46" s="12"/>
      <c r="L46" s="12"/>
      <c r="M46" s="12"/>
      <c r="N46" s="14" t="s">
        <v>109</v>
      </c>
    </row>
    <row r="47" spans="2:14" x14ac:dyDescent="0.25">
      <c r="B47" s="9">
        <v>38</v>
      </c>
      <c r="C47" s="10" t="s">
        <v>22</v>
      </c>
      <c r="D47" s="11"/>
      <c r="E47" s="11"/>
      <c r="F47" s="12" t="s">
        <v>11</v>
      </c>
      <c r="G47" s="12" t="s">
        <v>11</v>
      </c>
      <c r="H47" s="13" t="s">
        <v>110</v>
      </c>
      <c r="I47" s="12"/>
      <c r="J47" s="12"/>
      <c r="K47" s="12"/>
      <c r="L47" s="12"/>
      <c r="M47" s="12"/>
      <c r="N47" s="14" t="s">
        <v>111</v>
      </c>
    </row>
    <row r="48" spans="2:14" x14ac:dyDescent="0.25">
      <c r="B48" s="9">
        <v>39</v>
      </c>
      <c r="C48" s="10" t="s">
        <v>22</v>
      </c>
      <c r="D48" s="11"/>
      <c r="E48" s="11"/>
      <c r="F48" s="12" t="s">
        <v>11</v>
      </c>
      <c r="G48" s="12" t="s">
        <v>11</v>
      </c>
      <c r="H48" s="13" t="s">
        <v>112</v>
      </c>
      <c r="I48" s="12"/>
      <c r="J48" s="12"/>
      <c r="K48" s="12"/>
      <c r="L48" s="12"/>
      <c r="M48" s="12"/>
      <c r="N48" s="14" t="s">
        <v>113</v>
      </c>
    </row>
    <row r="49" spans="2:14" x14ac:dyDescent="0.25">
      <c r="B49" s="9">
        <v>40</v>
      </c>
      <c r="C49" s="15" t="s">
        <v>27</v>
      </c>
      <c r="D49" s="11"/>
      <c r="E49" s="11"/>
      <c r="F49" s="12" t="s">
        <v>11</v>
      </c>
      <c r="G49" s="12" t="s">
        <v>11</v>
      </c>
      <c r="H49" s="13" t="s">
        <v>114</v>
      </c>
      <c r="I49" s="12"/>
      <c r="J49" s="12"/>
      <c r="K49" s="12"/>
      <c r="L49" s="12"/>
      <c r="M49" s="12"/>
      <c r="N49" s="14" t="s">
        <v>115</v>
      </c>
    </row>
    <row r="50" spans="2:14" x14ac:dyDescent="0.25">
      <c r="B50" s="9">
        <v>41</v>
      </c>
      <c r="C50" s="15" t="s">
        <v>27</v>
      </c>
      <c r="D50" s="11"/>
      <c r="E50" s="11"/>
      <c r="F50" s="12" t="s">
        <v>11</v>
      </c>
      <c r="G50" s="12" t="s">
        <v>11</v>
      </c>
      <c r="H50" s="13" t="s">
        <v>116</v>
      </c>
      <c r="I50" s="12"/>
      <c r="J50" s="12"/>
      <c r="K50" s="12"/>
      <c r="L50" s="12"/>
      <c r="M50" s="12"/>
      <c r="N50" s="14" t="s">
        <v>117</v>
      </c>
    </row>
    <row r="51" spans="2:14" x14ac:dyDescent="0.25">
      <c r="B51" s="9">
        <v>42</v>
      </c>
      <c r="C51" s="15" t="s">
        <v>27</v>
      </c>
      <c r="D51" s="11"/>
      <c r="E51" s="11"/>
      <c r="F51" s="12" t="s">
        <v>11</v>
      </c>
      <c r="G51" s="12" t="s">
        <v>11</v>
      </c>
      <c r="H51" s="13" t="s">
        <v>118</v>
      </c>
      <c r="I51" s="12"/>
      <c r="J51" s="12"/>
      <c r="K51" s="12"/>
      <c r="L51" s="12"/>
      <c r="M51" s="12"/>
      <c r="N51" s="14" t="s">
        <v>119</v>
      </c>
    </row>
    <row r="52" spans="2:14" x14ac:dyDescent="0.25">
      <c r="B52" s="9">
        <v>43</v>
      </c>
      <c r="C52" s="15" t="s">
        <v>27</v>
      </c>
      <c r="D52" s="11"/>
      <c r="E52" s="11"/>
      <c r="F52" s="12" t="s">
        <v>11</v>
      </c>
      <c r="G52" s="12" t="s">
        <v>11</v>
      </c>
      <c r="H52" s="13" t="s">
        <v>120</v>
      </c>
      <c r="I52" s="12"/>
      <c r="J52" s="12"/>
      <c r="K52" s="12"/>
      <c r="L52" s="12"/>
      <c r="M52" s="12"/>
      <c r="N52" s="14" t="s">
        <v>121</v>
      </c>
    </row>
    <row r="53" spans="2:14" x14ac:dyDescent="0.25">
      <c r="B53" s="9">
        <v>44</v>
      </c>
      <c r="C53" s="10" t="s">
        <v>22</v>
      </c>
      <c r="D53" s="11"/>
      <c r="E53" s="11" t="s">
        <v>122</v>
      </c>
      <c r="F53" s="12" t="s">
        <v>11</v>
      </c>
      <c r="G53" s="12" t="s">
        <v>11</v>
      </c>
      <c r="H53" s="13" t="s">
        <v>123</v>
      </c>
      <c r="I53" s="12"/>
      <c r="J53" s="12"/>
      <c r="K53" s="12"/>
      <c r="L53" s="12"/>
      <c r="M53" s="12"/>
      <c r="N53" s="14" t="s">
        <v>124</v>
      </c>
    </row>
    <row r="54" spans="2:14" x14ac:dyDescent="0.25">
      <c r="B54" s="9">
        <v>45</v>
      </c>
      <c r="C54" s="10" t="s">
        <v>22</v>
      </c>
      <c r="D54" s="11"/>
      <c r="E54" s="11"/>
      <c r="F54" s="12" t="s">
        <v>11</v>
      </c>
      <c r="G54" s="12" t="s">
        <v>11</v>
      </c>
      <c r="H54" s="13" t="s">
        <v>125</v>
      </c>
      <c r="I54" s="12"/>
      <c r="J54" s="12"/>
      <c r="K54" s="12"/>
      <c r="L54" s="12"/>
      <c r="M54" s="12"/>
      <c r="N54" s="14" t="s">
        <v>126</v>
      </c>
    </row>
    <row r="55" spans="2:14" x14ac:dyDescent="0.25">
      <c r="B55" s="9">
        <v>46</v>
      </c>
      <c r="C55" s="10" t="s">
        <v>22</v>
      </c>
      <c r="D55" s="11"/>
      <c r="E55" s="11"/>
      <c r="F55" s="12" t="s">
        <v>11</v>
      </c>
      <c r="G55" s="12" t="s">
        <v>11</v>
      </c>
      <c r="H55" s="13" t="s">
        <v>127</v>
      </c>
      <c r="I55" s="12"/>
      <c r="J55" s="12"/>
      <c r="K55" s="12"/>
      <c r="L55" s="12"/>
      <c r="M55" s="12"/>
      <c r="N55" s="14" t="s">
        <v>128</v>
      </c>
    </row>
    <row r="56" spans="2:14" x14ac:dyDescent="0.25">
      <c r="B56" s="9">
        <v>47</v>
      </c>
      <c r="C56" s="10" t="s">
        <v>22</v>
      </c>
      <c r="D56" s="11"/>
      <c r="E56" s="11"/>
      <c r="F56" s="12" t="s">
        <v>11</v>
      </c>
      <c r="G56" s="12" t="s">
        <v>11</v>
      </c>
      <c r="H56" s="13" t="s">
        <v>129</v>
      </c>
      <c r="I56" s="12"/>
      <c r="J56" s="12"/>
      <c r="K56" s="12"/>
      <c r="L56" s="12"/>
      <c r="M56" s="12"/>
      <c r="N56" s="14" t="s">
        <v>130</v>
      </c>
    </row>
    <row r="57" spans="2:14" x14ac:dyDescent="0.25">
      <c r="B57" s="9">
        <v>48</v>
      </c>
      <c r="C57" s="10" t="s">
        <v>22</v>
      </c>
      <c r="D57" s="11"/>
      <c r="E57" s="11"/>
      <c r="F57" s="12" t="s">
        <v>11</v>
      </c>
      <c r="G57" s="12" t="s">
        <v>11</v>
      </c>
      <c r="H57" s="13" t="s">
        <v>131</v>
      </c>
      <c r="I57" s="12"/>
      <c r="J57" s="12"/>
      <c r="K57" s="12"/>
      <c r="L57" s="12"/>
      <c r="M57" s="12"/>
      <c r="N57" s="14" t="s">
        <v>132</v>
      </c>
    </row>
    <row r="58" spans="2:14" x14ac:dyDescent="0.25">
      <c r="B58" s="9">
        <v>49</v>
      </c>
      <c r="C58" s="15" t="s">
        <v>27</v>
      </c>
      <c r="D58" s="11"/>
      <c r="E58" s="11"/>
      <c r="F58" s="12" t="s">
        <v>11</v>
      </c>
      <c r="G58" s="12" t="s">
        <v>11</v>
      </c>
      <c r="H58" s="13" t="s">
        <v>133</v>
      </c>
      <c r="I58" s="12"/>
      <c r="J58" s="12"/>
      <c r="K58" s="12"/>
      <c r="L58" s="12"/>
      <c r="M58" s="12"/>
      <c r="N58" s="14" t="s">
        <v>134</v>
      </c>
    </row>
    <row r="59" spans="2:14" x14ac:dyDescent="0.25">
      <c r="B59" s="9">
        <v>50</v>
      </c>
      <c r="C59" s="15" t="s">
        <v>27</v>
      </c>
      <c r="D59" s="11"/>
      <c r="E59" s="11"/>
      <c r="F59" s="12" t="s">
        <v>11</v>
      </c>
      <c r="G59" s="12" t="s">
        <v>11</v>
      </c>
      <c r="H59" s="13" t="s">
        <v>135</v>
      </c>
      <c r="I59" s="12"/>
      <c r="J59" s="12"/>
      <c r="K59" s="12"/>
      <c r="L59" s="12"/>
      <c r="M59" s="12"/>
      <c r="N59" s="14" t="s">
        <v>136</v>
      </c>
    </row>
    <row r="60" spans="2:14" x14ac:dyDescent="0.25">
      <c r="B60" s="9">
        <v>51</v>
      </c>
      <c r="C60" s="15" t="s">
        <v>27</v>
      </c>
      <c r="D60" s="11"/>
      <c r="E60" s="11"/>
      <c r="F60" s="12" t="s">
        <v>11</v>
      </c>
      <c r="G60" s="12" t="s">
        <v>11</v>
      </c>
      <c r="H60" s="13" t="s">
        <v>137</v>
      </c>
      <c r="I60" s="12"/>
      <c r="J60" s="12"/>
      <c r="K60" s="12"/>
      <c r="L60" s="12"/>
      <c r="M60" s="12"/>
      <c r="N60" s="14" t="s">
        <v>138</v>
      </c>
    </row>
    <row r="61" spans="2:14" x14ac:dyDescent="0.25">
      <c r="B61" s="9">
        <v>52</v>
      </c>
      <c r="C61" s="15" t="s">
        <v>27</v>
      </c>
      <c r="D61" s="11"/>
      <c r="E61" s="11"/>
      <c r="F61" s="12" t="s">
        <v>11</v>
      </c>
      <c r="G61" s="12" t="s">
        <v>11</v>
      </c>
      <c r="H61" s="13" t="s">
        <v>139</v>
      </c>
      <c r="I61" s="12"/>
      <c r="J61" s="12"/>
      <c r="K61" s="12"/>
      <c r="L61" s="12"/>
      <c r="M61" s="12"/>
      <c r="N61" s="14" t="s">
        <v>140</v>
      </c>
    </row>
    <row r="62" spans="2:14" x14ac:dyDescent="0.25">
      <c r="B62" s="9">
        <v>53</v>
      </c>
      <c r="C62" s="10" t="s">
        <v>22</v>
      </c>
      <c r="D62" s="11"/>
      <c r="E62" s="11" t="s">
        <v>141</v>
      </c>
      <c r="F62" s="12" t="s">
        <v>11</v>
      </c>
      <c r="G62" s="12" t="s">
        <v>11</v>
      </c>
      <c r="H62" s="13" t="s">
        <v>142</v>
      </c>
      <c r="I62" s="12"/>
      <c r="J62" s="12"/>
      <c r="K62" s="12"/>
      <c r="L62" s="12"/>
      <c r="M62" s="12"/>
      <c r="N62" s="14" t="s">
        <v>143</v>
      </c>
    </row>
    <row r="63" spans="2:14" x14ac:dyDescent="0.25">
      <c r="B63" s="9">
        <v>54</v>
      </c>
      <c r="C63" s="10" t="s">
        <v>22</v>
      </c>
      <c r="D63" s="11"/>
      <c r="E63" s="11"/>
      <c r="F63" s="12" t="s">
        <v>11</v>
      </c>
      <c r="G63" s="12" t="s">
        <v>11</v>
      </c>
      <c r="H63" s="13" t="s">
        <v>144</v>
      </c>
      <c r="I63" s="12"/>
      <c r="J63" s="12"/>
      <c r="K63" s="12"/>
      <c r="L63" s="12"/>
      <c r="M63" s="12"/>
      <c r="N63" s="14" t="s">
        <v>145</v>
      </c>
    </row>
    <row r="64" spans="2:14" x14ac:dyDescent="0.25">
      <c r="B64" s="9">
        <v>55</v>
      </c>
      <c r="C64" s="10" t="s">
        <v>22</v>
      </c>
      <c r="D64" s="11"/>
      <c r="E64" s="11"/>
      <c r="F64" s="12" t="s">
        <v>11</v>
      </c>
      <c r="G64" s="12" t="s">
        <v>11</v>
      </c>
      <c r="H64" s="13" t="s">
        <v>146</v>
      </c>
      <c r="I64" s="12"/>
      <c r="J64" s="12"/>
      <c r="K64" s="12"/>
      <c r="L64" s="12"/>
      <c r="M64" s="12"/>
      <c r="N64" s="14" t="s">
        <v>147</v>
      </c>
    </row>
    <row r="65" spans="2:14" x14ac:dyDescent="0.25">
      <c r="B65" s="9">
        <v>56</v>
      </c>
      <c r="C65" s="10" t="s">
        <v>22</v>
      </c>
      <c r="D65" s="11"/>
      <c r="E65" s="11"/>
      <c r="F65" s="12" t="s">
        <v>11</v>
      </c>
      <c r="G65" s="12" t="s">
        <v>11</v>
      </c>
      <c r="H65" s="13" t="s">
        <v>148</v>
      </c>
      <c r="I65" s="12"/>
      <c r="J65" s="12"/>
      <c r="K65" s="12"/>
      <c r="L65" s="12"/>
      <c r="M65" s="12"/>
      <c r="N65" s="14" t="s">
        <v>149</v>
      </c>
    </row>
    <row r="66" spans="2:14" x14ac:dyDescent="0.25">
      <c r="B66" s="9">
        <v>57</v>
      </c>
      <c r="C66" s="15" t="s">
        <v>27</v>
      </c>
      <c r="D66" s="11"/>
      <c r="E66" s="11"/>
      <c r="F66" s="12" t="s">
        <v>11</v>
      </c>
      <c r="G66" s="12" t="s">
        <v>11</v>
      </c>
      <c r="H66" s="13" t="s">
        <v>150</v>
      </c>
      <c r="I66" s="12"/>
      <c r="J66" s="12"/>
      <c r="K66" s="12"/>
      <c r="L66" s="12"/>
      <c r="M66" s="12"/>
      <c r="N66" s="14" t="s">
        <v>151</v>
      </c>
    </row>
    <row r="67" spans="2:14" x14ac:dyDescent="0.25">
      <c r="B67" s="9">
        <v>58</v>
      </c>
      <c r="C67" s="10" t="s">
        <v>22</v>
      </c>
      <c r="D67" s="11"/>
      <c r="E67" s="11"/>
      <c r="F67" s="11" t="s">
        <v>152</v>
      </c>
      <c r="G67" s="12" t="s">
        <v>11</v>
      </c>
      <c r="H67" s="13" t="s">
        <v>153</v>
      </c>
      <c r="I67" s="12"/>
      <c r="J67" s="12"/>
      <c r="K67" s="12"/>
      <c r="L67" s="12"/>
      <c r="M67" s="12"/>
      <c r="N67" s="14" t="s">
        <v>154</v>
      </c>
    </row>
    <row r="68" spans="2:14" x14ac:dyDescent="0.25">
      <c r="B68" s="9">
        <v>59</v>
      </c>
      <c r="C68" s="10" t="s">
        <v>22</v>
      </c>
      <c r="D68" s="11"/>
      <c r="E68" s="11"/>
      <c r="F68" s="11"/>
      <c r="G68" s="12" t="s">
        <v>11</v>
      </c>
      <c r="H68" s="13" t="s">
        <v>155</v>
      </c>
      <c r="I68" s="12"/>
      <c r="J68" s="12"/>
      <c r="K68" s="12"/>
      <c r="L68" s="12"/>
      <c r="M68" s="12"/>
      <c r="N68" s="14" t="s">
        <v>156</v>
      </c>
    </row>
    <row r="69" spans="2:14" x14ac:dyDescent="0.25">
      <c r="B69" s="9">
        <v>60</v>
      </c>
      <c r="C69" s="15" t="s">
        <v>27</v>
      </c>
      <c r="D69" s="11"/>
      <c r="E69" s="11"/>
      <c r="F69" s="11"/>
      <c r="G69" s="12" t="s">
        <v>11</v>
      </c>
      <c r="H69" s="13" t="s">
        <v>157</v>
      </c>
      <c r="I69" s="12"/>
      <c r="J69" s="12"/>
      <c r="K69" s="12"/>
      <c r="L69" s="12"/>
      <c r="M69" s="12"/>
      <c r="N69" s="14" t="s">
        <v>158</v>
      </c>
    </row>
    <row r="70" spans="2:14" x14ac:dyDescent="0.25">
      <c r="B70" s="9">
        <v>61</v>
      </c>
      <c r="C70" s="15" t="s">
        <v>27</v>
      </c>
      <c r="D70" s="11"/>
      <c r="E70" s="11"/>
      <c r="F70" s="11"/>
      <c r="G70" s="12" t="s">
        <v>11</v>
      </c>
      <c r="H70" s="13" t="s">
        <v>159</v>
      </c>
      <c r="I70" s="12"/>
      <c r="J70" s="12"/>
      <c r="K70" s="12"/>
      <c r="L70" s="12"/>
      <c r="M70" s="12"/>
      <c r="N70" s="14" t="s">
        <v>160</v>
      </c>
    </row>
    <row r="71" spans="2:14" x14ac:dyDescent="0.25">
      <c r="B71" s="9">
        <v>62</v>
      </c>
      <c r="C71" s="10" t="s">
        <v>22</v>
      </c>
      <c r="D71" s="11"/>
      <c r="E71" s="11" t="s">
        <v>161</v>
      </c>
      <c r="F71" s="11" t="s">
        <v>162</v>
      </c>
      <c r="G71" s="12" t="s">
        <v>11</v>
      </c>
      <c r="H71" s="13" t="s">
        <v>163</v>
      </c>
      <c r="I71" s="12"/>
      <c r="J71" s="12"/>
      <c r="K71" s="12"/>
      <c r="L71" s="12"/>
      <c r="M71" s="12"/>
      <c r="N71" s="14" t="s">
        <v>164</v>
      </c>
    </row>
    <row r="72" spans="2:14" x14ac:dyDescent="0.25">
      <c r="B72" s="9">
        <v>63</v>
      </c>
      <c r="C72" s="15" t="s">
        <v>27</v>
      </c>
      <c r="D72" s="11"/>
      <c r="E72" s="11"/>
      <c r="F72" s="11"/>
      <c r="G72" s="12" t="s">
        <v>11</v>
      </c>
      <c r="H72" s="13" t="s">
        <v>165</v>
      </c>
      <c r="I72" s="12"/>
      <c r="J72" s="12"/>
      <c r="K72" s="12"/>
      <c r="L72" s="12"/>
      <c r="M72" s="12"/>
      <c r="N72" s="14" t="s">
        <v>166</v>
      </c>
    </row>
    <row r="73" spans="2:14" x14ac:dyDescent="0.25">
      <c r="B73" s="9">
        <v>64</v>
      </c>
      <c r="C73" s="15" t="s">
        <v>27</v>
      </c>
      <c r="D73" s="11"/>
      <c r="E73" s="11"/>
      <c r="F73" s="11"/>
      <c r="G73" s="12" t="s">
        <v>11</v>
      </c>
      <c r="H73" s="13" t="s">
        <v>167</v>
      </c>
      <c r="I73" s="12"/>
      <c r="J73" s="12"/>
      <c r="K73" s="12"/>
      <c r="L73" s="12"/>
      <c r="M73" s="12"/>
      <c r="N73" s="14" t="s">
        <v>168</v>
      </c>
    </row>
    <row r="74" spans="2:14" x14ac:dyDescent="0.25">
      <c r="B74" s="9">
        <v>65</v>
      </c>
      <c r="C74" s="15" t="s">
        <v>27</v>
      </c>
      <c r="D74" s="11"/>
      <c r="E74" s="11"/>
      <c r="F74" s="11"/>
      <c r="G74" s="12" t="s">
        <v>11</v>
      </c>
      <c r="H74" s="13" t="s">
        <v>169</v>
      </c>
      <c r="I74" s="12"/>
      <c r="J74" s="12"/>
      <c r="K74" s="12"/>
      <c r="L74" s="12"/>
      <c r="M74" s="12"/>
      <c r="N74" s="14" t="s">
        <v>170</v>
      </c>
    </row>
    <row r="75" spans="2:14" x14ac:dyDescent="0.25">
      <c r="B75" s="9">
        <v>66</v>
      </c>
      <c r="C75" s="15" t="s">
        <v>27</v>
      </c>
      <c r="D75" s="11"/>
      <c r="E75" s="11"/>
      <c r="F75" s="11"/>
      <c r="G75" s="12" t="s">
        <v>11</v>
      </c>
      <c r="H75" s="13" t="s">
        <v>171</v>
      </c>
      <c r="I75" s="12"/>
      <c r="J75" s="12"/>
      <c r="K75" s="12"/>
      <c r="L75" s="12"/>
      <c r="M75" s="12"/>
      <c r="N75" s="14" t="s">
        <v>172</v>
      </c>
    </row>
    <row r="76" spans="2:14" x14ac:dyDescent="0.25">
      <c r="B76" s="9">
        <v>67</v>
      </c>
      <c r="C76" s="16" t="s">
        <v>32</v>
      </c>
      <c r="D76" s="11"/>
      <c r="E76" s="11" t="s">
        <v>173</v>
      </c>
      <c r="F76" s="11" t="s">
        <v>174</v>
      </c>
      <c r="G76" s="12" t="s">
        <v>11</v>
      </c>
      <c r="H76" s="13" t="s">
        <v>175</v>
      </c>
      <c r="I76" s="12"/>
      <c r="J76" s="12"/>
      <c r="K76" s="12"/>
      <c r="L76" s="12"/>
      <c r="M76" s="12"/>
      <c r="N76" s="14" t="s">
        <v>176</v>
      </c>
    </row>
    <row r="77" spans="2:14" x14ac:dyDescent="0.25">
      <c r="B77" s="9">
        <v>68</v>
      </c>
      <c r="C77" s="10" t="s">
        <v>22</v>
      </c>
      <c r="D77" s="11"/>
      <c r="E77" s="11"/>
      <c r="F77" s="11"/>
      <c r="G77" s="12" t="s">
        <v>11</v>
      </c>
      <c r="H77" s="13" t="s">
        <v>177</v>
      </c>
      <c r="I77" s="12"/>
      <c r="J77" s="12"/>
      <c r="K77" s="12"/>
      <c r="L77" s="12"/>
      <c r="M77" s="12"/>
      <c r="N77" s="14" t="s">
        <v>178</v>
      </c>
    </row>
    <row r="78" spans="2:14" x14ac:dyDescent="0.25">
      <c r="B78" s="9">
        <v>69</v>
      </c>
      <c r="C78" s="16" t="s">
        <v>32</v>
      </c>
      <c r="D78" s="11"/>
      <c r="E78" s="11"/>
      <c r="F78" s="11"/>
      <c r="G78" s="12" t="s">
        <v>11</v>
      </c>
      <c r="H78" s="13" t="s">
        <v>179</v>
      </c>
      <c r="I78" s="12"/>
      <c r="J78" s="12"/>
      <c r="K78" s="12"/>
      <c r="L78" s="12"/>
      <c r="M78" s="12"/>
      <c r="N78" s="14" t="s">
        <v>180</v>
      </c>
    </row>
    <row r="79" spans="2:14" x14ac:dyDescent="0.25">
      <c r="B79" s="9">
        <v>70</v>
      </c>
      <c r="C79" s="16" t="s">
        <v>32</v>
      </c>
      <c r="D79" s="11"/>
      <c r="E79" s="11"/>
      <c r="F79" s="11"/>
      <c r="G79" s="12" t="s">
        <v>11</v>
      </c>
      <c r="H79" s="13" t="s">
        <v>181</v>
      </c>
      <c r="I79" s="12"/>
      <c r="J79" s="12"/>
      <c r="K79" s="12"/>
      <c r="L79" s="12"/>
      <c r="M79" s="12"/>
      <c r="N79" s="14" t="s">
        <v>182</v>
      </c>
    </row>
    <row r="80" spans="2:14" x14ac:dyDescent="0.25">
      <c r="B80" s="9">
        <v>71</v>
      </c>
      <c r="C80" s="10" t="s">
        <v>22</v>
      </c>
      <c r="D80" s="11"/>
      <c r="E80" s="11"/>
      <c r="F80" s="11"/>
      <c r="G80" s="12" t="s">
        <v>11</v>
      </c>
      <c r="H80" s="13" t="s">
        <v>183</v>
      </c>
      <c r="I80" s="12"/>
      <c r="J80" s="12"/>
      <c r="K80" s="12"/>
      <c r="L80" s="12"/>
      <c r="M80" s="12"/>
      <c r="N80" s="14" t="s">
        <v>184</v>
      </c>
    </row>
    <row r="81" spans="2:14" x14ac:dyDescent="0.25">
      <c r="B81" s="9">
        <v>72</v>
      </c>
      <c r="C81" s="10" t="s">
        <v>22</v>
      </c>
      <c r="D81" s="11"/>
      <c r="E81" s="11"/>
      <c r="F81" s="11"/>
      <c r="G81" s="12" t="s">
        <v>11</v>
      </c>
      <c r="H81" s="13" t="s">
        <v>185</v>
      </c>
      <c r="I81" s="12"/>
      <c r="J81" s="12"/>
      <c r="K81" s="12"/>
      <c r="L81" s="12"/>
      <c r="M81" s="12"/>
      <c r="N81" s="14" t="s">
        <v>186</v>
      </c>
    </row>
    <row r="82" spans="2:14" x14ac:dyDescent="0.25">
      <c r="B82" s="9">
        <v>73</v>
      </c>
      <c r="C82" s="10" t="s">
        <v>22</v>
      </c>
      <c r="D82" s="11"/>
      <c r="E82" s="11"/>
      <c r="F82" s="11" t="s">
        <v>187</v>
      </c>
      <c r="G82" s="12" t="s">
        <v>11</v>
      </c>
      <c r="H82" s="13" t="s">
        <v>188</v>
      </c>
      <c r="I82" s="12"/>
      <c r="J82" s="12"/>
      <c r="K82" s="12"/>
      <c r="L82" s="12"/>
      <c r="M82" s="12"/>
      <c r="N82" s="14" t="s">
        <v>189</v>
      </c>
    </row>
    <row r="83" spans="2:14" x14ac:dyDescent="0.25">
      <c r="B83" s="9">
        <v>74</v>
      </c>
      <c r="C83" s="15" t="s">
        <v>27</v>
      </c>
      <c r="D83" s="11"/>
      <c r="E83" s="11"/>
      <c r="F83" s="11"/>
      <c r="G83" s="12" t="s">
        <v>11</v>
      </c>
      <c r="H83" s="13" t="s">
        <v>190</v>
      </c>
      <c r="I83" s="12"/>
      <c r="J83" s="12"/>
      <c r="K83" s="12"/>
      <c r="L83" s="12"/>
      <c r="M83" s="12"/>
      <c r="N83" s="14" t="s">
        <v>191</v>
      </c>
    </row>
    <row r="84" spans="2:14" x14ac:dyDescent="0.25">
      <c r="B84" s="9">
        <v>75</v>
      </c>
      <c r="C84" s="10" t="s">
        <v>22</v>
      </c>
      <c r="D84" s="11"/>
      <c r="E84" s="11"/>
      <c r="F84" s="11" t="s">
        <v>192</v>
      </c>
      <c r="G84" s="12" t="s">
        <v>11</v>
      </c>
      <c r="H84" s="13" t="s">
        <v>193</v>
      </c>
      <c r="I84" s="12"/>
      <c r="J84" s="12"/>
      <c r="K84" s="12"/>
      <c r="L84" s="12"/>
      <c r="M84" s="12"/>
      <c r="N84" s="14" t="s">
        <v>194</v>
      </c>
    </row>
    <row r="85" spans="2:14" x14ac:dyDescent="0.25">
      <c r="B85" s="9">
        <v>76</v>
      </c>
      <c r="C85" s="15" t="s">
        <v>27</v>
      </c>
      <c r="D85" s="11"/>
      <c r="E85" s="11"/>
      <c r="F85" s="11"/>
      <c r="G85" s="12" t="s">
        <v>11</v>
      </c>
      <c r="H85" s="13" t="s">
        <v>195</v>
      </c>
      <c r="I85" s="12"/>
      <c r="J85" s="12"/>
      <c r="K85" s="12"/>
      <c r="L85" s="12"/>
      <c r="M85" s="12"/>
      <c r="N85" s="14" t="s">
        <v>166</v>
      </c>
    </row>
    <row r="86" spans="2:14" x14ac:dyDescent="0.25">
      <c r="B86" s="9">
        <v>77</v>
      </c>
      <c r="C86" s="15" t="s">
        <v>27</v>
      </c>
      <c r="D86" s="11"/>
      <c r="E86" s="11"/>
      <c r="F86" s="11"/>
      <c r="G86" s="12" t="s">
        <v>11</v>
      </c>
      <c r="H86" s="13" t="s">
        <v>196</v>
      </c>
      <c r="I86" s="12"/>
      <c r="J86" s="12"/>
      <c r="K86" s="12"/>
      <c r="L86" s="12"/>
      <c r="M86" s="12"/>
      <c r="N86" s="14" t="s">
        <v>197</v>
      </c>
    </row>
    <row r="87" spans="2:14" x14ac:dyDescent="0.25">
      <c r="B87" s="9">
        <v>78</v>
      </c>
      <c r="C87" s="10" t="s">
        <v>22</v>
      </c>
      <c r="D87" s="11"/>
      <c r="E87" s="11"/>
      <c r="F87" s="11" t="s">
        <v>198</v>
      </c>
      <c r="G87" s="12" t="s">
        <v>11</v>
      </c>
      <c r="H87" s="13" t="s">
        <v>199</v>
      </c>
      <c r="I87" s="12"/>
      <c r="J87" s="12"/>
      <c r="K87" s="12"/>
      <c r="L87" s="12"/>
      <c r="M87" s="12"/>
      <c r="N87" s="14" t="s">
        <v>200</v>
      </c>
    </row>
    <row r="88" spans="2:14" x14ac:dyDescent="0.25">
      <c r="B88" s="9">
        <v>79</v>
      </c>
      <c r="C88" s="15" t="s">
        <v>27</v>
      </c>
      <c r="D88" s="11"/>
      <c r="E88" s="11"/>
      <c r="F88" s="11"/>
      <c r="G88" s="12" t="s">
        <v>11</v>
      </c>
      <c r="H88" s="13" t="s">
        <v>201</v>
      </c>
      <c r="I88" s="12"/>
      <c r="J88" s="12"/>
      <c r="K88" s="12"/>
      <c r="L88" s="12"/>
      <c r="M88" s="12"/>
      <c r="N88" s="14" t="s">
        <v>166</v>
      </c>
    </row>
    <row r="89" spans="2:14" x14ac:dyDescent="0.25">
      <c r="B89" s="9">
        <v>80</v>
      </c>
      <c r="C89" s="15" t="s">
        <v>27</v>
      </c>
      <c r="D89" s="11"/>
      <c r="E89" s="11"/>
      <c r="F89" s="11"/>
      <c r="G89" s="12" t="s">
        <v>11</v>
      </c>
      <c r="H89" s="13" t="s">
        <v>202</v>
      </c>
      <c r="I89" s="12"/>
      <c r="J89" s="12"/>
      <c r="K89" s="12"/>
      <c r="L89" s="12"/>
      <c r="M89" s="12"/>
      <c r="N89" s="14" t="s">
        <v>203</v>
      </c>
    </row>
    <row r="90" spans="2:14" x14ac:dyDescent="0.25">
      <c r="B90" s="9">
        <v>81</v>
      </c>
      <c r="C90" s="10" t="s">
        <v>22</v>
      </c>
      <c r="D90" s="11"/>
      <c r="E90" s="11"/>
      <c r="F90" s="11"/>
      <c r="G90" s="12" t="s">
        <v>11</v>
      </c>
      <c r="H90" s="13" t="s">
        <v>204</v>
      </c>
      <c r="I90" s="12"/>
      <c r="J90" s="12"/>
      <c r="K90" s="12"/>
      <c r="L90" s="12"/>
      <c r="M90" s="12"/>
      <c r="N90" s="14" t="s">
        <v>205</v>
      </c>
    </row>
    <row r="91" spans="2:14" x14ac:dyDescent="0.25">
      <c r="B91" s="9">
        <v>82</v>
      </c>
      <c r="C91" s="16" t="s">
        <v>32</v>
      </c>
      <c r="D91" s="11"/>
      <c r="E91" s="11" t="s">
        <v>206</v>
      </c>
      <c r="F91" s="11" t="s">
        <v>207</v>
      </c>
      <c r="G91" s="12" t="s">
        <v>11</v>
      </c>
      <c r="H91" s="13" t="s">
        <v>208</v>
      </c>
      <c r="I91" s="12"/>
      <c r="J91" s="12"/>
      <c r="K91" s="12"/>
      <c r="L91" s="12"/>
      <c r="M91" s="12"/>
      <c r="N91" s="14" t="s">
        <v>209</v>
      </c>
    </row>
    <row r="92" spans="2:14" x14ac:dyDescent="0.25">
      <c r="B92" s="9">
        <v>83</v>
      </c>
      <c r="C92" s="16" t="s">
        <v>32</v>
      </c>
      <c r="D92" s="11"/>
      <c r="E92" s="11"/>
      <c r="F92" s="11"/>
      <c r="G92" s="12" t="s">
        <v>11</v>
      </c>
      <c r="H92" s="13" t="s">
        <v>210</v>
      </c>
      <c r="I92" s="12"/>
      <c r="J92" s="12"/>
      <c r="K92" s="12"/>
      <c r="L92" s="12"/>
      <c r="M92" s="12"/>
      <c r="N92" s="14" t="s">
        <v>211</v>
      </c>
    </row>
    <row r="93" spans="2:14" x14ac:dyDescent="0.25">
      <c r="B93" s="9">
        <v>84</v>
      </c>
      <c r="C93" s="15" t="s">
        <v>27</v>
      </c>
      <c r="D93" s="11"/>
      <c r="E93" s="11"/>
      <c r="F93" s="11"/>
      <c r="G93" s="12" t="s">
        <v>11</v>
      </c>
      <c r="H93" s="13" t="s">
        <v>212</v>
      </c>
      <c r="I93" s="12"/>
      <c r="J93" s="12"/>
      <c r="K93" s="12"/>
      <c r="L93" s="12"/>
      <c r="M93" s="12"/>
      <c r="N93" s="14" t="s">
        <v>213</v>
      </c>
    </row>
    <row r="94" spans="2:14" x14ac:dyDescent="0.25">
      <c r="B94" s="9">
        <v>85</v>
      </c>
      <c r="C94" s="15" t="s">
        <v>27</v>
      </c>
      <c r="D94" s="11"/>
      <c r="E94" s="11"/>
      <c r="F94" s="11"/>
      <c r="G94" s="12" t="s">
        <v>11</v>
      </c>
      <c r="H94" s="13" t="s">
        <v>214</v>
      </c>
      <c r="I94" s="12"/>
      <c r="J94" s="12"/>
      <c r="K94" s="12"/>
      <c r="L94" s="12"/>
      <c r="M94" s="12"/>
      <c r="N94" s="14" t="s">
        <v>215</v>
      </c>
    </row>
    <row r="95" spans="2:14" x14ac:dyDescent="0.25">
      <c r="B95" s="9">
        <v>86</v>
      </c>
      <c r="C95" s="10" t="s">
        <v>22</v>
      </c>
      <c r="D95" s="11"/>
      <c r="E95" s="11"/>
      <c r="F95" s="11" t="s">
        <v>216</v>
      </c>
      <c r="G95" s="12" t="s">
        <v>11</v>
      </c>
      <c r="H95" s="13" t="s">
        <v>217</v>
      </c>
      <c r="I95" s="12"/>
      <c r="J95" s="12"/>
      <c r="K95" s="12"/>
      <c r="L95" s="12"/>
      <c r="M95" s="12"/>
      <c r="N95" s="14" t="s">
        <v>218</v>
      </c>
    </row>
    <row r="96" spans="2:14" x14ac:dyDescent="0.25">
      <c r="B96" s="9">
        <v>87</v>
      </c>
      <c r="C96" s="10" t="s">
        <v>22</v>
      </c>
      <c r="D96" s="11"/>
      <c r="E96" s="11"/>
      <c r="F96" s="11"/>
      <c r="G96" s="12" t="s">
        <v>11</v>
      </c>
      <c r="H96" s="13" t="s">
        <v>219</v>
      </c>
      <c r="I96" s="12"/>
      <c r="J96" s="12"/>
      <c r="K96" s="12"/>
      <c r="L96" s="12"/>
      <c r="M96" s="12"/>
      <c r="N96" s="14" t="s">
        <v>220</v>
      </c>
    </row>
    <row r="97" spans="2:14" x14ac:dyDescent="0.25">
      <c r="B97" s="9">
        <v>88</v>
      </c>
      <c r="C97" s="16" t="s">
        <v>32</v>
      </c>
      <c r="D97" s="11"/>
      <c r="E97" s="11"/>
      <c r="F97" s="11"/>
      <c r="G97" s="12" t="s">
        <v>11</v>
      </c>
      <c r="H97" s="13" t="s">
        <v>221</v>
      </c>
      <c r="I97" s="12"/>
      <c r="J97" s="12"/>
      <c r="K97" s="12"/>
      <c r="L97" s="12"/>
      <c r="M97" s="12"/>
      <c r="N97" s="14" t="s">
        <v>222</v>
      </c>
    </row>
    <row r="98" spans="2:14" x14ac:dyDescent="0.25">
      <c r="B98" s="9">
        <v>89</v>
      </c>
      <c r="C98" s="16" t="s">
        <v>32</v>
      </c>
      <c r="D98" s="11"/>
      <c r="E98" s="11"/>
      <c r="F98" s="11"/>
      <c r="G98" s="12" t="s">
        <v>11</v>
      </c>
      <c r="H98" s="13" t="s">
        <v>223</v>
      </c>
      <c r="I98" s="12"/>
      <c r="J98" s="12"/>
      <c r="K98" s="12"/>
      <c r="L98" s="12"/>
      <c r="M98" s="12"/>
      <c r="N98" s="14" t="s">
        <v>224</v>
      </c>
    </row>
    <row r="99" spans="2:14" x14ac:dyDescent="0.25">
      <c r="B99" s="9">
        <v>90</v>
      </c>
      <c r="C99" s="10" t="s">
        <v>22</v>
      </c>
      <c r="D99" s="11"/>
      <c r="E99" s="11"/>
      <c r="F99" s="11"/>
      <c r="G99" s="12" t="s">
        <v>11</v>
      </c>
      <c r="H99" s="13" t="s">
        <v>225</v>
      </c>
      <c r="I99" s="12"/>
      <c r="J99" s="12"/>
      <c r="K99" s="12"/>
      <c r="L99" s="12"/>
      <c r="M99" s="12"/>
      <c r="N99" s="14" t="s">
        <v>226</v>
      </c>
    </row>
    <row r="100" spans="2:14" x14ac:dyDescent="0.25">
      <c r="B100" s="9">
        <v>91</v>
      </c>
      <c r="C100" s="10" t="s">
        <v>22</v>
      </c>
      <c r="D100" s="11"/>
      <c r="E100" s="11"/>
      <c r="F100" s="11"/>
      <c r="G100" s="12" t="s">
        <v>11</v>
      </c>
      <c r="H100" s="13" t="s">
        <v>227</v>
      </c>
      <c r="I100" s="12"/>
      <c r="J100" s="12"/>
      <c r="K100" s="12"/>
      <c r="L100" s="12"/>
      <c r="M100" s="12"/>
      <c r="N100" s="14" t="s">
        <v>228</v>
      </c>
    </row>
    <row r="101" spans="2:14" x14ac:dyDescent="0.25">
      <c r="B101" s="9">
        <v>92</v>
      </c>
      <c r="C101" s="15" t="s">
        <v>27</v>
      </c>
      <c r="D101" s="11"/>
      <c r="E101" s="11"/>
      <c r="F101" s="11"/>
      <c r="G101" s="12" t="s">
        <v>11</v>
      </c>
      <c r="H101" s="13" t="s">
        <v>229</v>
      </c>
      <c r="I101" s="12"/>
      <c r="J101" s="12"/>
      <c r="K101" s="12"/>
      <c r="L101" s="12"/>
      <c r="M101" s="12"/>
      <c r="N101" s="14" t="s">
        <v>230</v>
      </c>
    </row>
    <row r="102" spans="2:14" x14ac:dyDescent="0.25">
      <c r="B102" s="9">
        <v>93</v>
      </c>
      <c r="C102" s="10" t="s">
        <v>22</v>
      </c>
      <c r="D102" s="11"/>
      <c r="E102" s="11"/>
      <c r="F102" s="11" t="s">
        <v>187</v>
      </c>
      <c r="G102" s="12" t="s">
        <v>11</v>
      </c>
      <c r="H102" s="13" t="s">
        <v>231</v>
      </c>
      <c r="I102" s="12"/>
      <c r="J102" s="12"/>
      <c r="K102" s="12"/>
      <c r="L102" s="12"/>
      <c r="M102" s="12"/>
      <c r="N102" s="14" t="s">
        <v>232</v>
      </c>
    </row>
    <row r="103" spans="2:14" x14ac:dyDescent="0.25">
      <c r="B103" s="9">
        <v>94</v>
      </c>
      <c r="C103" s="10" t="s">
        <v>22</v>
      </c>
      <c r="D103" s="11"/>
      <c r="E103" s="11"/>
      <c r="F103" s="11"/>
      <c r="G103" s="12" t="s">
        <v>11</v>
      </c>
      <c r="H103" s="13" t="s">
        <v>233</v>
      </c>
      <c r="I103" s="12"/>
      <c r="J103" s="12"/>
      <c r="K103" s="12"/>
      <c r="L103" s="12"/>
      <c r="M103" s="12"/>
      <c r="N103" s="14" t="s">
        <v>234</v>
      </c>
    </row>
    <row r="104" spans="2:14" x14ac:dyDescent="0.25">
      <c r="B104" s="9">
        <v>95</v>
      </c>
      <c r="C104" s="15" t="s">
        <v>27</v>
      </c>
      <c r="D104" s="11"/>
      <c r="E104" s="11"/>
      <c r="F104" s="11"/>
      <c r="G104" s="12" t="s">
        <v>11</v>
      </c>
      <c r="H104" s="13" t="s">
        <v>235</v>
      </c>
      <c r="I104" s="12"/>
      <c r="J104" s="12"/>
      <c r="K104" s="12"/>
      <c r="L104" s="12"/>
      <c r="M104" s="12"/>
      <c r="N104" s="14" t="s">
        <v>236</v>
      </c>
    </row>
    <row r="105" spans="2:14" x14ac:dyDescent="0.25">
      <c r="B105" s="9">
        <v>96</v>
      </c>
      <c r="C105" s="16" t="s">
        <v>32</v>
      </c>
      <c r="D105" s="11"/>
      <c r="E105" s="11" t="s">
        <v>237</v>
      </c>
      <c r="F105" s="12" t="s">
        <v>11</v>
      </c>
      <c r="G105" s="12" t="s">
        <v>11</v>
      </c>
      <c r="H105" s="13" t="s">
        <v>238</v>
      </c>
      <c r="I105" s="12"/>
      <c r="J105" s="12"/>
      <c r="K105" s="12"/>
      <c r="L105" s="12"/>
      <c r="M105" s="12"/>
      <c r="N105" s="14" t="s">
        <v>239</v>
      </c>
    </row>
    <row r="106" spans="2:14" x14ac:dyDescent="0.25">
      <c r="B106" s="9">
        <v>97</v>
      </c>
      <c r="C106" s="10" t="s">
        <v>22</v>
      </c>
      <c r="D106" s="11"/>
      <c r="E106" s="11"/>
      <c r="F106" s="12" t="s">
        <v>11</v>
      </c>
      <c r="G106" s="12" t="s">
        <v>11</v>
      </c>
      <c r="H106" s="13" t="s">
        <v>240</v>
      </c>
      <c r="I106" s="12"/>
      <c r="J106" s="12"/>
      <c r="K106" s="12"/>
      <c r="L106" s="12"/>
      <c r="M106" s="12"/>
      <c r="N106" s="14" t="s">
        <v>241</v>
      </c>
    </row>
    <row r="107" spans="2:14" x14ac:dyDescent="0.25">
      <c r="B107" s="9">
        <v>98</v>
      </c>
      <c r="C107" s="10" t="s">
        <v>22</v>
      </c>
      <c r="D107" s="11"/>
      <c r="E107" s="11"/>
      <c r="F107" s="12" t="s">
        <v>11</v>
      </c>
      <c r="G107" s="12" t="s">
        <v>11</v>
      </c>
      <c r="H107" s="13" t="s">
        <v>242</v>
      </c>
      <c r="I107" s="12"/>
      <c r="J107" s="12"/>
      <c r="K107" s="12"/>
      <c r="L107" s="12"/>
      <c r="M107" s="12"/>
      <c r="N107" s="14" t="s">
        <v>243</v>
      </c>
    </row>
    <row r="108" spans="2:14" x14ac:dyDescent="0.25">
      <c r="B108" s="9">
        <v>99</v>
      </c>
      <c r="C108" s="15" t="s">
        <v>27</v>
      </c>
      <c r="D108" s="11"/>
      <c r="E108" s="11"/>
      <c r="F108" s="12" t="s">
        <v>11</v>
      </c>
      <c r="G108" s="12" t="s">
        <v>11</v>
      </c>
      <c r="H108" s="13" t="s">
        <v>244</v>
      </c>
      <c r="I108" s="12"/>
      <c r="J108" s="12"/>
      <c r="K108" s="12"/>
      <c r="L108" s="12"/>
      <c r="M108" s="12"/>
      <c r="N108" s="14" t="s">
        <v>245</v>
      </c>
    </row>
    <row r="109" spans="2:14" x14ac:dyDescent="0.25">
      <c r="B109" s="9">
        <v>100</v>
      </c>
      <c r="C109" s="10" t="s">
        <v>22</v>
      </c>
      <c r="D109" s="11"/>
      <c r="E109" s="11"/>
      <c r="F109" s="12" t="s">
        <v>11</v>
      </c>
      <c r="G109" s="12" t="s">
        <v>11</v>
      </c>
      <c r="H109" s="13" t="s">
        <v>246</v>
      </c>
      <c r="I109" s="12"/>
      <c r="J109" s="12"/>
      <c r="K109" s="12"/>
      <c r="L109" s="12"/>
      <c r="M109" s="12"/>
      <c r="N109" s="14" t="s">
        <v>247</v>
      </c>
    </row>
    <row r="110" spans="2:14" x14ac:dyDescent="0.25">
      <c r="B110" s="9">
        <v>101</v>
      </c>
      <c r="C110" s="15" t="s">
        <v>27</v>
      </c>
      <c r="D110" s="11"/>
      <c r="E110" s="11"/>
      <c r="F110" s="12" t="s">
        <v>11</v>
      </c>
      <c r="G110" s="12" t="s">
        <v>11</v>
      </c>
      <c r="H110" s="13" t="s">
        <v>248</v>
      </c>
      <c r="I110" s="12"/>
      <c r="J110" s="12"/>
      <c r="K110" s="12"/>
      <c r="L110" s="12"/>
      <c r="M110" s="12"/>
      <c r="N110" s="14" t="s">
        <v>249</v>
      </c>
    </row>
    <row r="111" spans="2:14" x14ac:dyDescent="0.25">
      <c r="B111" s="9">
        <v>102</v>
      </c>
      <c r="C111" s="10" t="s">
        <v>22</v>
      </c>
      <c r="D111" s="11"/>
      <c r="E111" s="12" t="s">
        <v>105</v>
      </c>
      <c r="F111" s="12" t="s">
        <v>11</v>
      </c>
      <c r="G111" s="12" t="s">
        <v>11</v>
      </c>
      <c r="H111" s="13" t="s">
        <v>250</v>
      </c>
      <c r="I111" s="12"/>
      <c r="J111" s="12"/>
      <c r="K111" s="12"/>
      <c r="L111" s="12"/>
      <c r="M111" s="12"/>
      <c r="N111" s="14" t="s">
        <v>251</v>
      </c>
    </row>
    <row r="112" spans="2:14" x14ac:dyDescent="0.25">
      <c r="B112" s="9">
        <v>103</v>
      </c>
      <c r="C112" s="10" t="s">
        <v>22</v>
      </c>
      <c r="D112" s="11" t="s">
        <v>33</v>
      </c>
      <c r="E112" s="12" t="s">
        <v>34</v>
      </c>
      <c r="F112" s="12" t="s">
        <v>11</v>
      </c>
      <c r="G112" s="12" t="s">
        <v>11</v>
      </c>
      <c r="H112" s="13" t="s">
        <v>252</v>
      </c>
      <c r="I112" s="12"/>
      <c r="J112" s="12"/>
      <c r="K112" s="12"/>
      <c r="L112" s="12"/>
      <c r="M112" s="12"/>
      <c r="N112" s="14" t="s">
        <v>253</v>
      </c>
    </row>
    <row r="113" spans="2:14" x14ac:dyDescent="0.25">
      <c r="B113" s="9">
        <v>104</v>
      </c>
      <c r="C113" s="15" t="s">
        <v>27</v>
      </c>
      <c r="D113" s="11"/>
      <c r="E113" s="12" t="s">
        <v>46</v>
      </c>
      <c r="F113" s="12" t="s">
        <v>11</v>
      </c>
      <c r="G113" s="12" t="s">
        <v>11</v>
      </c>
      <c r="H113" s="13" t="s">
        <v>254</v>
      </c>
      <c r="I113" s="12"/>
      <c r="J113" s="12"/>
      <c r="K113" s="12"/>
      <c r="L113" s="12"/>
      <c r="M113" s="12"/>
      <c r="N113" s="14" t="s">
        <v>255</v>
      </c>
    </row>
  </sheetData>
  <mergeCells count="28">
    <mergeCell ref="D10:D12"/>
    <mergeCell ref="E10:E12"/>
    <mergeCell ref="D13:D37"/>
    <mergeCell ref="E13:E18"/>
    <mergeCell ref="E19:E23"/>
    <mergeCell ref="E24:E25"/>
    <mergeCell ref="E26:E34"/>
    <mergeCell ref="F29:F34"/>
    <mergeCell ref="E35:E37"/>
    <mergeCell ref="D38:D111"/>
    <mergeCell ref="E38:E44"/>
    <mergeCell ref="E45:E52"/>
    <mergeCell ref="E53:E61"/>
    <mergeCell ref="E62:E70"/>
    <mergeCell ref="F67:F70"/>
    <mergeCell ref="E71:E75"/>
    <mergeCell ref="F71:F75"/>
    <mergeCell ref="E76:E90"/>
    <mergeCell ref="F76:F81"/>
    <mergeCell ref="F82:F83"/>
    <mergeCell ref="F84:F86"/>
    <mergeCell ref="F87:F90"/>
    <mergeCell ref="E91:E104"/>
    <mergeCell ref="F91:F94"/>
    <mergeCell ref="F95:F101"/>
    <mergeCell ref="F102:F104"/>
    <mergeCell ref="E105:E110"/>
    <mergeCell ref="D112:D113"/>
  </mergeCells>
  <dataValidations count="1">
    <dataValidation type="list" allowBlank="1" showErrorMessage="1" errorTitle="잘못된 값" error="Pass, Fail, N/T, Block 중 하나를 선택하세요." sqref="I10:J113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어드벤처 스페셜 챕터 1 아웃게임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2026-05-20T02:39:46Z</dcterms:created>
  <dcterms:modified xsi:type="dcterms:W3CDTF">2026-05-20T02:39:46Z</dcterms:modified>
</cp:coreProperties>
</file>