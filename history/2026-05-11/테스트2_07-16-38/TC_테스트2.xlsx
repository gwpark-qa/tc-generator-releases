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테스트2" state="visible" r:id="rId4"/>
  </sheets>
  <calcPr calcId="171027"/>
</workbook>
</file>

<file path=xl/sharedStrings.xml><?xml version="1.0" encoding="utf-8"?>
<sst xmlns="http://schemas.openxmlformats.org/spreadsheetml/2006/main" count="550" uniqueCount="321">
  <si>
    <t>(C)테스트2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</si>
  <si>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</si>
  <si>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</si>
  <si>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</si>
  <si>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</si>
  <si>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</si>
  <si>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</si>
  <si>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</si>
  <si>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</si>
  <si>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</si>
  <si>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</si>
  <si>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</si>
  <si>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</si>
  <si>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</si>
  <si>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</si>
  <si>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</si>
  <si>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</si>
  <si>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</si>
  <si>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</si>
  <si>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</si>
  <si>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</si>
  <si>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</si>
  <si>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Critical</t>
  </si>
  <si>
    <t>레이드 모드 진입 화면</t>
  </si>
  <si>
    <t>화면 진입</t>
  </si>
  <si>
    <t>진입 플로우</t>
  </si>
  <si>
    <t>화면 전환</t>
  </si>
  <si>
    <t>메인 로비에서 햄버거 메뉴 &gt; 레이드 모드 카드 선택 시, 레이드 모드 진입 화면으로 전환된다.</t>
  </si>
  <si>
    <t>참고 화면: 레이드 모드 진입 화면 (흐름 2단계)</t>
  </si>
  <si>
    <t>Normal</t>
  </si>
  <si>
    <t>상단 영역</t>
  </si>
  <si>
    <t>화면명 표시</t>
  </si>
  <si>
    <t>타이틀 출력</t>
  </si>
  <si>
    <t>레이드 모드 진입 화면 좌측 상단에 '상시 / 이벤트' 화면명이 출력된다.</t>
  </si>
  <si>
    <t>Major</t>
  </si>
  <si>
    <t>뒤로가기 버튼</t>
  </si>
  <si>
    <t>화면 복귀</t>
  </si>
  <si>
    <t>상단의 뒤로가기(&lt;) 버튼 터치 시, 이전 화면(메인 로비)으로 복귀된다.</t>
  </si>
  <si>
    <t>상시/이벤트 토글 탭</t>
  </si>
  <si>
    <t>탭 전환</t>
  </si>
  <si>
    <t>상단의 '상시' 또는 '이벤트' 탭 터치 시, 선택한 탭에 해당하는 콘텐츠 카테고리 리스트로 전환된다.</t>
  </si>
  <si>
    <t>좌측 카테고리 패널</t>
  </si>
  <si>
    <t>카테고리 리스트 표시</t>
  </si>
  <si>
    <t>리스트 출력</t>
  </si>
  <si>
    <t>좌측 카테고리 패널에 불타는 곳 레이드, 성장 던전, 탑의 균열, 어비스 던전 등의 카테고리 리스트가 출력된다.</t>
  </si>
  <si>
    <t>카테고리 선택</t>
  </si>
  <si>
    <t>메인 영역 갱신</t>
  </si>
  <si>
    <t>좌측 카테고리 리스트의 항목 터치 시, 우측 메인 영역에 선택된 카테고리의 보스 정보가 갱신되어 표시된다.</t>
  </si>
  <si>
    <t>보스 정보 표시 영역</t>
  </si>
  <si>
    <t>보스 포트레이트</t>
  </si>
  <si>
    <t>이미지 출력</t>
  </si>
  <si>
    <t>메인 영역에 등장하는 보스의 포트레이트 이미지가 출력된다.</t>
  </si>
  <si>
    <t>참고 화면: 레이드 모드 진입 화면 (흐름 2단계) Description ②</t>
  </si>
  <si>
    <t>보스 명칭/이름</t>
  </si>
  <si>
    <t>텍스트 출력</t>
  </si>
  <si>
    <t>메인 영역에 등장하는 보스의 명명과 보스 이름이 출력된다.</t>
  </si>
  <si>
    <t>보스 등장 배경</t>
  </si>
  <si>
    <t>메인 영역에 보스 등장 스테이지 배경 이미지가 출력된다.</t>
  </si>
  <si>
    <t>드랍 도움 정보</t>
  </si>
  <si>
    <t>슈퍼에픽 세트 출력</t>
  </si>
  <si>
    <t>보스 정보 영역에 해당 보스에서 드랍되는 최대 3종의 슈퍼에픽 등급 세트 아이콘이 출력된다.</t>
  </si>
  <si>
    <t>인기 태그 표시</t>
  </si>
  <si>
    <t>드랍 도움 정보의 슈퍼에픽 세트 중 데이터 테이블에서 인기로 지정된 아이템에 '인기' 태그가 표시된다.</t>
  </si>
  <si>
    <t>좌우 슬라이드 동작</t>
  </si>
  <si>
    <t>표시 아이콘이 노출 가능 개수보다 많은 경우, 좌우 슬라이드 동작으로 추가 아이템을 확인할 수 있다.</t>
  </si>
  <si>
    <t>보스 진입 카드 리스트</t>
  </si>
  <si>
    <t>잠금 상태 표시</t>
  </si>
  <si>
    <t>잠금 아이콘 출력</t>
  </si>
  <si>
    <t>해금되지 않은 보스 카드에 잠금 아이콘이 표시된다.</t>
  </si>
  <si>
    <t>잔여 입장 횟수</t>
  </si>
  <si>
    <t>카운트 출력</t>
  </si>
  <si>
    <t>보스 카드에 잔여 입장 횟수(예: 200/300)가 출력된다.</t>
  </si>
  <si>
    <t>입장하기 버튼</t>
  </si>
  <si>
    <t>레이드 로비 화면 전환</t>
  </si>
  <si>
    <t>보스 카드 우측의 '입장하기' 버튼 터치 시, 선택한 보스의 레이드 모드 로비 화면으로 전환된다.</t>
  </si>
  <si>
    <t>레이드 모드 로비</t>
  </si>
  <si>
    <t>화면 구성</t>
  </si>
  <si>
    <t>레이드 모드 로비 화면 좌측 상단에 '레이드 모드' 화면명이 출력된다.</t>
  </si>
  <si>
    <t>참고 화면: 레이드 모드 로비 (흐름 3단계)</t>
  </si>
  <si>
    <t>로비 화면 좌측 상단의 뒤로가기(&lt;) 버튼 터치 시, 레이드 모드 진입 화면으로 복귀된다.</t>
  </si>
  <si>
    <t>싱글/멀티 전환 토글</t>
  </si>
  <si>
    <t>Default 상태</t>
  </si>
  <si>
    <t>싱글 모드 표시</t>
  </si>
  <si>
    <t>최초 레이드 모드 로비 진입 시, 싱글/멀티 토글 버튼이 'Default: 싱글' 상태로 표시된다.</t>
  </si>
  <si>
    <t>참고 화면: 레이드 모드 로비 Description ①</t>
  </si>
  <si>
    <t>싱글 선택</t>
  </si>
  <si>
    <t>싱글 화면 UI 반영</t>
  </si>
  <si>
    <t>토글 버튼에서 싱글 모드 선택 시, 1인 캐릭터 + 보스 등장 형태의 싱글 모드 화면 UI가 반영된다.</t>
  </si>
  <si>
    <t>멀티 선택</t>
  </si>
  <si>
    <t>멀티 화면 UI 반영</t>
  </si>
  <si>
    <t>토글 버튼에서 멀티 모드 선택 시, 2인 멀티 플레이용 멤버 슬롯 및 채팅창이 노출되는 멀티 모드 화면 UI가 반영된다.</t>
  </si>
  <si>
    <t>참고 화면: 레이드 모드 로비 - 멀티인 경우</t>
  </si>
  <si>
    <t>로비 화면에 enemy_group의 name과 boss_sub_description을 참조한 보스 명칭과 이름이 출력된다.</t>
  </si>
  <si>
    <t>참고 화면: 레이드 모드 로비 Description ②</t>
  </si>
  <si>
    <t>로비 화면 인게임 필드에 해당 보스의 포트레이트가 출력된다.</t>
  </si>
  <si>
    <t>보스 등장 정보</t>
  </si>
  <si>
    <t>에셋 출력</t>
  </si>
  <si>
    <t>로비 화면에 enemy_group의 asset_reference를 참조한 보스 등장 정보가 출력된다.</t>
  </si>
  <si>
    <t>드랍 도움 정보 버튼</t>
  </si>
  <si>
    <t>보스 정보 팝업 출력</t>
  </si>
  <si>
    <t>보스 정보 영역의 드랍 도움 정보 버튼 터치 시, 해당 보스의 상세 정보를 출력하는 팝업이 표시된다.</t>
  </si>
  <si>
    <t>난이도 변경</t>
  </si>
  <si>
    <t>난이도 변경 버튼</t>
  </si>
  <si>
    <t>현재 난이도 표시</t>
  </si>
  <si>
    <t>난이도 변경 버튼 영역에 현재 진입 가능한 난이도 정보가 표시된다.</t>
  </si>
  <si>
    <t>참고 화면: 레이드 모드 로비 Description ③-A</t>
  </si>
  <si>
    <t>변경 팝업 출력</t>
  </si>
  <si>
    <t>난이도 변경 버튼 터치 시, 보스/난이도를 변경할 수 있는 변경 팝업이 출력된다.</t>
  </si>
  <si>
    <t>팝업 토글 닫힘</t>
  </si>
  <si>
    <t>변경 팝업이 출력된 상태에서 난이도 변경 버튼을 재터치 시, 변경 팝업이 HIDE 처리된다.</t>
  </si>
  <si>
    <t>보스 변경 팝업</t>
  </si>
  <si>
    <t>상단 보스 버튼 표시</t>
  </si>
  <si>
    <t>보스/난이도 변경 팝업 상단에 stage_id 순서대로 정렬된 보스 변경 버튼이 표시된다.</t>
  </si>
  <si>
    <t>참고 화면: 레이드 모드 로비 Description ③-B</t>
  </si>
  <si>
    <t>보스 변경 동작</t>
  </si>
  <si>
    <t>변경 팝업 상단의 보스 버튼 터치 시, 선택한 보스의 단계 정보로 팝업 내용이 변경된다.</t>
  </si>
  <si>
    <t>단계 버튼 표시</t>
  </si>
  <si>
    <t>변경 팝업의 단계 패널에 N단계 단계명과 해당 난이도의 입장 전투력이 함께 표시된다.</t>
  </si>
  <si>
    <t>난이도 단계 변경</t>
  </si>
  <si>
    <t>단계 버튼 터치 시, 선택한 난이도로 변경되어 모든 보스가 동일한 난이도로 표시된다.</t>
  </si>
  <si>
    <t>잠금 단계 처리</t>
  </si>
  <si>
    <t>잠금 아이콘 표시</t>
  </si>
  <si>
    <t>이전 난이도를 클리어하지 않은 단계 버튼에 잠금 아이콘이 표시된다.</t>
  </si>
  <si>
    <t>스테이지 인게임 정보</t>
  </si>
  <si>
    <t>입장 전투력</t>
  </si>
  <si>
    <t>수치 출력</t>
  </si>
  <si>
    <t>스테이지 정보 영역에 해당 난이도의 입장 전투력이 출력된다.</t>
  </si>
  <si>
    <t>참고 화면: 레이드 모드 로비 Description ④</t>
  </si>
  <si>
    <t>추천 속성</t>
  </si>
  <si>
    <t>아이콘 출력</t>
  </si>
  <si>
    <t>스테이지 정보 영역에 해당 보스의 추천 속성 아이콘이 출력된다.</t>
  </si>
  <si>
    <t>입장 조건</t>
  </si>
  <si>
    <t>조건 출력</t>
  </si>
  <si>
    <t>스테이지 정보 영역에 도전 극한 보스 시스템과 동일한 입장 조건이 출력된다.</t>
  </si>
  <si>
    <t>빠른 난이도 변경</t>
  </si>
  <si>
    <t>빠른 변경 버튼</t>
  </si>
  <si>
    <t>난이도 변경 동작</t>
  </si>
  <si>
    <t>빠른 난이도 변경 버튼 터치 시, 해당 레이드 모드의 난이도가 변경된다.</t>
  </si>
  <si>
    <t>참고 화면: 레이드 모드 로비 Description ⑤</t>
  </si>
  <si>
    <t>입장 전투력 미달</t>
  </si>
  <si>
    <t>Toast 출력</t>
  </si>
  <si>
    <t>입장 전투력 미달 상태에서 빠른 난이도 변경 버튼 터치 시, '$ui.strings.equipment.dungeon.not.host / 영웅 무가 사용 가능합니다.' Toast 메시지가 출력된다.</t>
  </si>
  <si>
    <t>이전 난이도 미클리어</t>
  </si>
  <si>
    <t>이전 난이도를 클리어하지 않은 상태에서 빠른 난이도 변경 버튼 터치 시, '$ui.strings.single.boss.challenge.locked / 이전 난이도를 클리어해야 도전할 수 있습니다.' Toast 메시지가 출력된다.</t>
  </si>
  <si>
    <t>버튼 비활성화</t>
  </si>
  <si>
    <t>비활성 상태 표시</t>
  </si>
  <si>
    <t>조건 미달 상태(입장 전투력 미달 또는 이전 난이도 미클리어) 시, 빠른 난이도 변경 버튼이 비활성화 상태로 표시된다.</t>
  </si>
  <si>
    <t>Play 버튼</t>
  </si>
  <si>
    <t>인게임 진입</t>
  </si>
  <si>
    <t>로딩 화면 전환</t>
  </si>
  <si>
    <t>Play 버튼 터치 시, 레이드 인게임 진입을 위한 로딩 화면으로 전환된다.</t>
  </si>
  <si>
    <t>티켓 소모 표시</t>
  </si>
  <si>
    <t>소모 수량 출력</t>
  </si>
  <si>
    <t>Play 버튼 영역에 1회 플레이 시 소모되는 티켓 수량(기본 최대 3장)이 표시된다.</t>
  </si>
  <si>
    <t>참고 화면: 레이드 모드 로비 - 인게임 팀 셋업</t>
  </si>
  <si>
    <t>배수 설정 버튼</t>
  </si>
  <si>
    <t>매수 설정 팝업 출력</t>
  </si>
  <si>
    <t>Play 버튼 영역의 배수 설정 버튼 터치 시, 1회 플레이에 소모할 티켓 매수를 선택하는 팝업이 출력된다.</t>
  </si>
  <si>
    <t>참고 화면: 레이드 모드 로비 - 매수 설정</t>
  </si>
  <si>
    <t>배수 설정</t>
  </si>
  <si>
    <t>패스 구매 시 최대 매수 확장</t>
  </si>
  <si>
    <t>패스 구매 상태에서는 1회 플레이에 최대 5장 또는 6장까지 소모 가능하도록 매수 설정값이 확장된다.</t>
  </si>
  <si>
    <t>이전 난이도를 클리어하지 않은 상태에서 Play 버튼 터치 시, '$ui.strings.single_boss_challenge.locked / 이전 난이도를 클리어해야 도전할 수 있습니다.' Toast 메시지가 출력된다.</t>
  </si>
  <si>
    <t>참고 화면: 레이드 모드 로비 Play 버튼 분기</t>
  </si>
  <si>
    <t>이전 난이도 미클리어 등 진입 조건 미달 시, Play 버튼이 비활성화 상태로 표시된다.</t>
  </si>
  <si>
    <t>멀티 모드 화면</t>
  </si>
  <si>
    <t>멤버 슬롯</t>
  </si>
  <si>
    <t>2인 슬롯 출력</t>
  </si>
  <si>
    <t>멀티 모드 선택 시, 기존 4인이 아닌 2인 멀티 플레이에 맞는 멤버 슬롯이 노출된다.</t>
  </si>
  <si>
    <t>채팅창</t>
  </si>
  <si>
    <t>UI 출력</t>
  </si>
  <si>
    <t>멀티 모드 진입 시, 화면 하단에 멀티 협력 채팅창이 출력된다.</t>
  </si>
  <si>
    <t>기능 제거 검증</t>
  </si>
  <si>
    <t>보스 변경/시즌 기능</t>
  </si>
  <si>
    <t>미노출</t>
  </si>
  <si>
    <t>레이드 모드 로비에 보스 변경(시즌 변경), 시즌 정산, 휴지기, 로테 진입 관련 기능들이 노출되지 않는다.</t>
  </si>
  <si>
    <t>참고 화면: 레이드 모드 진입 화면 - 기능 설명</t>
  </si>
  <si>
    <t>레이드 인게임 결과</t>
  </si>
  <si>
    <t>코코방울 연출</t>
  </si>
  <si>
    <t>미출력</t>
  </si>
  <si>
    <t>레이드 인게임 중 기존 코코방울 연출이 출력되지 않는다.</t>
  </si>
  <si>
    <t>참고 화면: 레이드 인게임 - 작업 필요</t>
  </si>
  <si>
    <t>코코방울 축복 포인트</t>
  </si>
  <si>
    <t>레이드 인게임 중 코코방울의 축복 포인트 영역이 출력되지 않는다.</t>
  </si>
  <si>
    <t>랜덤 상자</t>
  </si>
  <si>
    <t>레이드 인게임 중 기존 랜덤 상자 관련 기능이 출력되지 않는다.</t>
  </si>
  <si>
    <t>트로피 포인트</t>
  </si>
  <si>
    <t>레이드 인게임 중 트로피 포인트 영역이 출력되지 않는다.</t>
  </si>
  <si>
    <t>다시하기 기능</t>
  </si>
  <si>
    <t>티켓 배율 기능 추가에 따라, 클리어 화면 등에서 다시하기 버튼이 출력되지 않는다.</t>
  </si>
  <si>
    <t>일반 레이드 랭킹 진입 버튼</t>
  </si>
  <si>
    <t>일반 레이드의 랭킹 진입 버튼이 출력되지 않는다.</t>
  </si>
  <si>
    <t>참고 화면: 레이드 인게임 - 일반 레이드 랭킹 진입 버튼 제거</t>
  </si>
  <si>
    <t>드랍 연출</t>
  </si>
  <si>
    <t>필드 드랍 형태</t>
  </si>
  <si>
    <t>보스 드랍 출력</t>
  </si>
  <si>
    <t>보스 처치 시, 탑균/어비스 던전과 동일하게 보스 위치에 아이템이 드랍되는 형태로 출력된다.</t>
  </si>
  <si>
    <t>참고 화면: 레이드 인게임 - 인게임 드랍 연출 변경</t>
  </si>
  <si>
    <t>드랍 연출 시간</t>
  </si>
  <si>
    <t>약 3초 표시</t>
  </si>
  <si>
    <t>보스 처치 후 드랍 연출이 약 3초 동안 재생된 후 CLEAR 화면으로 전환된다.</t>
  </si>
  <si>
    <t>클리어 화면</t>
  </si>
  <si>
    <t>CLEAR 표시</t>
  </si>
  <si>
    <t>결과 화면 출력</t>
  </si>
  <si>
    <t>보스 처치 완료 시, 화면에 'CLEAR' 결과 화면이 출력된다.</t>
  </si>
  <si>
    <t>참고 화면: 레이드 인게임 - 결과(CLEAR) 화면</t>
  </si>
  <si>
    <t>획득 아이템 표시 영역</t>
  </si>
  <si>
    <t>아이템 출력</t>
  </si>
  <si>
    <t>CLEAR 화면 우측 하단에 보스 처치 후 획득한 아이템 정보가 출력된다.</t>
  </si>
  <si>
    <t>참고 화면: 레이드 인게임 Description ①</t>
  </si>
  <si>
    <t>12종 최적화 표시</t>
  </si>
  <si>
    <t>획득 아이템 표시 영역은 12종 아이템 표시에 최적화되어 출력된다.</t>
  </si>
  <si>
    <t>초과 시 스크롤</t>
  </si>
  <si>
    <t>획득 아이템이 12종을 초과한 경우, 스크롤 리스트 형태로 추가 아이템을 확인할 수 있다.</t>
  </si>
  <si>
    <t>툴팁 출력</t>
  </si>
  <si>
    <t>획득 아이템 영역의 아이템 클릭 시, item_cell 기능을 통해 해당 아이템의 툴팁이 출력된다.</t>
  </si>
  <si>
    <t>드랍 품목 종류</t>
  </si>
  <si>
    <t>장비 등급별 구분 표시</t>
  </si>
  <si>
    <t>클리어 화면 획득 아이템 영역에 드랍된 장비가 등급별로 구분되어 표시된다.</t>
  </si>
  <si>
    <t>잠재력 항아리/설계도/조각/연금 항아리 구분 표시</t>
  </si>
  <si>
    <t>클리어 화면 획득 아이템 영역에 잠재력 항아리, 설계도, 조각, 연금 항아리가 각각 id 별로 구분되어 표시된다.</t>
  </si>
  <si>
    <t>코코방울 축복 미표시</t>
  </si>
  <si>
    <t>CLEAR 결과 화면에 코코방울의 축복 기능이 표시되지 않는다.</t>
  </si>
  <si>
    <t>트로피 상자 미표시</t>
  </si>
  <si>
    <t>CLEAR 결과 화면에 트로피 상자 기능이 표시되지 않는다.</t>
  </si>
  <si>
    <t>무지개 상자 지급 미표시</t>
  </si>
  <si>
    <t>CLEAR 결과 화면에 무지개 상자 지급 이벤트가 표시되지 않는다.</t>
  </si>
  <si>
    <t>나가기 버튼</t>
  </si>
  <si>
    <t>로비 화면 전환</t>
  </si>
  <si>
    <t>CLEAR 화면의 '나가기' 버튼 터치 시, 레이드 모드 로비 화면으로 복귀된다.</t>
  </si>
  <si>
    <t>챌린지 레이드 모드 로비</t>
  </si>
  <si>
    <t>챌린지 레이드 모드 로비 화면 좌측 상단에 '레이드 모드' 화면명이 출력된다.</t>
  </si>
  <si>
    <t>참고 화면: 챌린지 레이드 모드 로비 (흐름 5단계)</t>
  </si>
  <si>
    <t>챌린지 레이드 로비 좌측 상단의 뒤로가기(&lt;) 버튼 터치 시, 이전 화면으로 복귀된다.</t>
  </si>
  <si>
    <t>보스 진열</t>
  </si>
  <si>
    <t>보스 카드 정보</t>
  </si>
  <si>
    <t>일러스트/이름/보상 출력</t>
  </si>
  <si>
    <t>챌린지 레이드 모드 로비 화면에 보스 일러스트, 보스 이름, 드랍 보상 아이콘이 카드 형태로 출력된다.</t>
  </si>
  <si>
    <t>참고 화면: 챌린지 레이드 모드 로비 - 화면 구성</t>
  </si>
  <si>
    <t>가격 표시</t>
  </si>
  <si>
    <t>골드 수치 출력</t>
  </si>
  <si>
    <t>챌린지 보스 카드 영역에 입장에 소모되는 가격(예: 30,000 골드)이 출력된다.</t>
  </si>
  <si>
    <t>보상 정보</t>
  </si>
  <si>
    <t>보상 영역 표시</t>
  </si>
  <si>
    <t>보상 아이콘 출력</t>
  </si>
  <si>
    <t>보상 정보 영역에 해당 보스 N단계에 해당하는 보상 아이콘이 출력된다.</t>
  </si>
  <si>
    <t>참고 화면: 챌린지 레이드 모드 로비 Description ⑥</t>
  </si>
  <si>
    <t>보상 상세 팝업</t>
  </si>
  <si>
    <t>팝업 출력</t>
  </si>
  <si>
    <t>보상 정보 영역 터치 시, 상세 보상 정보를 표시하는 팝업이 출력된다.</t>
  </si>
  <si>
    <t>보스 변경 좌우 버튼</t>
  </si>
  <si>
    <t>보상 상세 팝업 상단의 좌우 버튼 조작 시, 표시되는 보스가 변경된다.</t>
  </si>
  <si>
    <t>참고 화면: 챌린지 레이드 모드 로비 Description ⑥-A</t>
  </si>
  <si>
    <t>Default 보스 표시</t>
  </si>
  <si>
    <t>보상 상세 팝업 최초 진입 시, 현재 인던에 해당하는 보스가 Default로 표시된다.</t>
  </si>
  <si>
    <t>난이도별 보상 표시</t>
  </si>
  <si>
    <t>보상 상세 팝업 하단의 난이도 버튼 조작 시, 해당 난이도의 클리어 기본 보상과 연결 보상 정보가 표시된다.</t>
  </si>
  <si>
    <t>드랍 확률 표시</t>
  </si>
  <si>
    <t>난이도별 보상 정보 영역에 드랍 갯수와 정해진 확률에 따라 드랍되는 아이템 정보가 표시된다.</t>
  </si>
  <si>
    <t>매수 설정 버튼</t>
  </si>
  <si>
    <t>Play 버튼 영역의 매수 설정 버튼 터치 시, 1회 플레이에 소모할 티켓 매수를 선택하는 팝업이 출력된다.</t>
  </si>
  <si>
    <t>참고 화면: 챌린지 레이드 모드 로비 Description ⑦</t>
  </si>
  <si>
    <t>매수 설정</t>
  </si>
  <si>
    <t>기본 최대 3장 적용</t>
  </si>
  <si>
    <t>매수 설정 팝업에서 기본 상태로 1회 플레이당 최대 3장의 티켓을 소모하도록 설정할 수 있다.</t>
  </si>
  <si>
    <t>매수 구매 시 최대 확장</t>
  </si>
  <si>
    <t>매수 구매(패스 구매) 상태에서는 1회 플레이당 최대 5장 또는 6장까지 티켓을 소모하도록 매수 설정이 확장된다.</t>
  </si>
  <si>
    <t>이전 난이도 미클리어 등 진입 조건 미달 시, 챌린지 레이드 Play 버튼이 비활성화 상태로 표시된다.</t>
  </si>
  <si>
    <t>입장 동작</t>
  </si>
  <si>
    <t>매수 설정 팝업의 '입장하기' 버튼 터치 시, 설정된 매수만큼 티켓이 소모되며 챌린지 레이드 인게임 로딩 화면으로 전환된다.</t>
  </si>
  <si>
    <t>참고 화면: 챌린지 레이드 모드 로비 - 전환 동작</t>
  </si>
  <si>
    <t>코코방울 축복</t>
  </si>
  <si>
    <t>미표시</t>
  </si>
  <si>
    <t>챌린지 레이드 모드 로비에 코코방울의 축복 관련 기능이 표시되지 않는다.</t>
  </si>
  <si>
    <t>참고 화면: 챌린지 레이드 - 기능 제거</t>
  </si>
  <si>
    <t>트로피</t>
  </si>
  <si>
    <t>챌린지 레이드 모드 로비에 트로피 관련 기능이 표시되지 않는다.</t>
  </si>
  <si>
    <t>무지개 상자</t>
  </si>
  <si>
    <t>챌린지 레이드 모드 로비에 무지개 상자 지급 이벤트가 표시되지 않는다.</t>
  </si>
  <si>
    <t>제작소 화면</t>
  </si>
  <si>
    <t>제작소 진입</t>
  </si>
  <si>
    <t>메인 로비의 햄버거 메뉴 &gt; 제작소 선택 시, 제작소 화면으로 전환된다.</t>
  </si>
  <si>
    <t>참고 화면: 제작소 화면 (흐름 6단계)</t>
  </si>
  <si>
    <t>제작소 화면 좌측 상단에 '제작소' 화면명이 출력된다.</t>
  </si>
  <si>
    <t>제작소 화면 좌측 상단의 뒤로가기(&lt;) 버튼 터치 시, 이전 화면으로 복귀된다.</t>
  </si>
  <si>
    <t>메뉴 영역</t>
  </si>
  <si>
    <t>메뉴 정렬 순서</t>
  </si>
  <si>
    <t>정렬 출력</t>
  </si>
  <si>
    <t>제작소 화면의 메뉴는 '장비 제작 &gt; 장비 연금 &gt; 아티팩트 제작 &gt; 아이템 제작' 순서로 정렬되어 출력된다.</t>
  </si>
  <si>
    <t>참고 화면: 제작소 화면 Description ①</t>
  </si>
  <si>
    <t>장비 연금 메뉴 버튼</t>
  </si>
  <si>
    <t>신규 출력</t>
  </si>
  <si>
    <t>제작소 화면에 신규로 추가된 장비 연금 진입 메뉴 버튼이 출력된다.</t>
  </si>
  <si>
    <t>장비 연금 화면 전환</t>
  </si>
  <si>
    <t>제작소 화면의 장비 연금 메뉴 버튼 터치 시, 장비 연금 화면으로 전환된다.</t>
  </si>
  <si>
    <t>아티팩트 제작 카드</t>
  </si>
  <si>
    <t>제작소 화면의 아티팩트 제작 카드 터치 시, 아티팩트 제작 화면으로 전환된다.</t>
  </si>
  <si>
    <t>참고 화면: 제작소 화면 - 전환 동작</t>
  </si>
  <si>
    <t>이벤트 제작 패널</t>
  </si>
  <si>
    <t>제작소 화면 좌측 NPC 영역의 이벤트 제작 패널 터치 시, 이벤트 제작 화면으로 전환된다.</t>
  </si>
  <si>
    <t>레이드 모드 탑레벨 화면</t>
  </si>
  <si>
    <t>탑레벨 진입</t>
  </si>
  <si>
    <t>메인 로비의 햄버거 메뉴 &gt; 성장 탭 &gt; 레이드 모드 선택 시, 레이드 모드 탑레벨 화면으로 전환된다.</t>
  </si>
  <si>
    <t>참고 화면: 레이드 모드 탑레벨 화면 (흐름 7단계)</t>
  </si>
  <si>
    <t>탑레벨 화면 좌측 상단에 '탑 레벨' 화면명이 출력된다.</t>
  </si>
  <si>
    <t>탑레벨 화면 좌측 상단의 뒤로가기(&lt;) 버튼 터치 시, 이전 화면으로 복귀된다.</t>
  </si>
  <si>
    <t>메뉴 트리 영역</t>
  </si>
  <si>
    <t>콘텐츠 메뉴 표시</t>
  </si>
  <si>
    <t>카테고리 출력</t>
  </si>
  <si>
    <t>탑레벨 화면 좌측 카테고리 패널에 성장 던전, 레이드 모드, 탑의 균열, 어비스 던전 카테고리가 출력된다.</t>
  </si>
  <si>
    <t>참고 화면: 레이드 모드 탑레벨 화면 - 화면 구성</t>
  </si>
  <si>
    <t>카운터 출력</t>
  </si>
  <si>
    <t>탑레벨 화면 카테고리 패널에 각 콘텐츠의 잔여 입장 횟수(성장 던전 300/300, 레이드 모드 5/5, 탑의 균열 2/2, 어비스 던전 1/1 등)가 출력된다.</t>
  </si>
  <si>
    <t>레이드 모드 카테고리 선택</t>
  </si>
  <si>
    <t>우측 보스 리스트 표시</t>
  </si>
  <si>
    <t>탑레벨 화면 좌측 카테고리 패널에서 레이드 모드 카테고리 선택 시, 우측 영역에 보스 리스트가 표시된다.</t>
  </si>
  <si>
    <t>참고 화면: 레이드 모드 탑레벨 화면 - 전환 동작</t>
  </si>
  <si>
    <t>보스 리스트 영역</t>
  </si>
  <si>
    <t>보스 진입 버튼</t>
  </si>
  <si>
    <t>레이드 모드 진입 화면 전환</t>
  </si>
  <si>
    <t>탑레벨 화면의 보스 진입 버튼(화살표) 터치 시, 해당 레이드 모드의 진입 화면(흐름 2단계)으로 전환된다.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</si>
</sst>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10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COUNTIF(I10:I110,"Pass")</f>
      </c>
      <c r="K3" t="s">
        <v>4</v>
      </c>
      <c r="L3">
        <f>COUNTIF(I10:I110,"")</f>
      </c>
      <c r="M3" s="3" t="s">
        <v>3</v>
      </c>
      <c r="N3">
        <f>COUNTIF(J10:J110,"Pass")</f>
      </c>
    </row>
    <row r="4" spans="9:14" x14ac:dyDescent="0.25">
      <c r="I4" s="4" t="s">
        <v>5</v>
      </c>
      <c r="J4">
        <f>COUNTIF(I10:I110,"N/T")</f>
      </c>
      <c r="K4" t="s">
        <v>6</v>
      </c>
      <c r="L4">
        <f>COUNTA(I10:I110)-COUNTIF(I10:I110,"")</f>
      </c>
      <c r="M4" s="4" t="s">
        <v>5</v>
      </c>
      <c r="N4">
        <f>COUNTIF(J10:J110,"N/T")</f>
      </c>
    </row>
    <row r="5" spans="9:14" x14ac:dyDescent="0.25">
      <c r="I5" s="5" t="s">
        <v>7</v>
      </c>
      <c r="J5">
        <f>COUNTIF(I10:I110,"Fail")</f>
      </c>
      <c r="K5" t="s">
        <v>8</v>
      </c>
      <c r="L5">
        <v>101</v>
      </c>
      <c r="M5" s="5" t="s">
        <v>7</v>
      </c>
      <c r="N5">
        <f>COUNTIF(J10:J110,"Fail")</f>
      </c>
    </row>
    <row r="6" spans="9:14" x14ac:dyDescent="0.25">
      <c r="I6" s="6" t="s">
        <v>9</v>
      </c>
      <c r="J6">
        <f>COUNTIF(I10:I110,"Block")</f>
      </c>
      <c r="K6" t="s">
        <v>10</v>
      </c>
      <c r="L6" s="7">
        <f>IF(L5=0,0,L4/L5)</f>
      </c>
      <c r="M6" s="6" t="s">
        <v>9</v>
      </c>
      <c r="N6">
        <f>COUNTIF(J10:J110,"Block")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2" t="s">
        <v>24</v>
      </c>
      <c r="F10" s="12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5" t="s">
        <v>29</v>
      </c>
      <c r="D11" s="11"/>
      <c r="E11" s="11" t="s">
        <v>30</v>
      </c>
      <c r="F11" s="12" t="s">
        <v>31</v>
      </c>
      <c r="G11" s="12" t="s">
        <v>32</v>
      </c>
      <c r="H11" s="13" t="s">
        <v>33</v>
      </c>
      <c r="I11" s="12"/>
      <c r="J11" s="12"/>
      <c r="K11" s="12"/>
      <c r="L11" s="12"/>
      <c r="M11" s="12"/>
      <c r="N11" s="14" t="s">
        <v>28</v>
      </c>
    </row>
    <row r="12" spans="2:14" x14ac:dyDescent="0.25">
      <c r="B12" s="9">
        <v>3</v>
      </c>
      <c r="C12" s="16" t="s">
        <v>34</v>
      </c>
      <c r="D12" s="11"/>
      <c r="E12" s="11"/>
      <c r="F12" s="12" t="s">
        <v>35</v>
      </c>
      <c r="G12" s="12" t="s">
        <v>36</v>
      </c>
      <c r="H12" s="13" t="s">
        <v>37</v>
      </c>
      <c r="I12" s="12"/>
      <c r="J12" s="12"/>
      <c r="K12" s="12"/>
      <c r="L12" s="12"/>
      <c r="M12" s="12"/>
      <c r="N12" s="14" t="s">
        <v>28</v>
      </c>
    </row>
    <row r="13" spans="2:14" x14ac:dyDescent="0.25">
      <c r="B13" s="9">
        <v>4</v>
      </c>
      <c r="C13" s="16" t="s">
        <v>34</v>
      </c>
      <c r="D13" s="11"/>
      <c r="E13" s="11"/>
      <c r="F13" s="12" t="s">
        <v>38</v>
      </c>
      <c r="G13" s="12" t="s">
        <v>39</v>
      </c>
      <c r="H13" s="13" t="s">
        <v>40</v>
      </c>
      <c r="I13" s="12"/>
      <c r="J13" s="12"/>
      <c r="K13" s="12"/>
      <c r="L13" s="12"/>
      <c r="M13" s="12"/>
      <c r="N13" s="14" t="s">
        <v>28</v>
      </c>
    </row>
    <row r="14" spans="2:14" x14ac:dyDescent="0.25">
      <c r="B14" s="9">
        <v>5</v>
      </c>
      <c r="C14" s="15" t="s">
        <v>29</v>
      </c>
      <c r="D14" s="11"/>
      <c r="E14" s="11" t="s">
        <v>41</v>
      </c>
      <c r="F14" s="12" t="s">
        <v>42</v>
      </c>
      <c r="G14" s="12" t="s">
        <v>43</v>
      </c>
      <c r="H14" s="13" t="s">
        <v>44</v>
      </c>
      <c r="I14" s="12"/>
      <c r="J14" s="12"/>
      <c r="K14" s="12"/>
      <c r="L14" s="12"/>
      <c r="M14" s="12"/>
      <c r="N14" s="14" t="s">
        <v>28</v>
      </c>
    </row>
    <row r="15" spans="2:14" x14ac:dyDescent="0.25">
      <c r="B15" s="9">
        <v>6</v>
      </c>
      <c r="C15" s="16" t="s">
        <v>34</v>
      </c>
      <c r="D15" s="11"/>
      <c r="E15" s="11"/>
      <c r="F15" s="12" t="s">
        <v>45</v>
      </c>
      <c r="G15" s="12" t="s">
        <v>46</v>
      </c>
      <c r="H15" s="13" t="s">
        <v>47</v>
      </c>
      <c r="I15" s="12"/>
      <c r="J15" s="12"/>
      <c r="K15" s="12"/>
      <c r="L15" s="12"/>
      <c r="M15" s="12"/>
      <c r="N15" s="14" t="s">
        <v>28</v>
      </c>
    </row>
    <row r="16" spans="2:14" x14ac:dyDescent="0.25">
      <c r="B16" s="9">
        <v>7</v>
      </c>
      <c r="C16" s="15" t="s">
        <v>29</v>
      </c>
      <c r="D16" s="11"/>
      <c r="E16" s="11" t="s">
        <v>48</v>
      </c>
      <c r="F16" s="12" t="s">
        <v>49</v>
      </c>
      <c r="G16" s="12" t="s">
        <v>50</v>
      </c>
      <c r="H16" s="13" t="s">
        <v>51</v>
      </c>
      <c r="I16" s="12"/>
      <c r="J16" s="12"/>
      <c r="K16" s="12"/>
      <c r="L16" s="12"/>
      <c r="M16" s="12"/>
      <c r="N16" s="14" t="s">
        <v>52</v>
      </c>
    </row>
    <row r="17" spans="2:14" x14ac:dyDescent="0.25">
      <c r="B17" s="9">
        <v>8</v>
      </c>
      <c r="C17" s="15" t="s">
        <v>29</v>
      </c>
      <c r="D17" s="11"/>
      <c r="E17" s="11"/>
      <c r="F17" s="12" t="s">
        <v>53</v>
      </c>
      <c r="G17" s="12" t="s">
        <v>54</v>
      </c>
      <c r="H17" s="13" t="s">
        <v>55</v>
      </c>
      <c r="I17" s="12"/>
      <c r="J17" s="12"/>
      <c r="K17" s="12"/>
      <c r="L17" s="12"/>
      <c r="M17" s="12"/>
      <c r="N17" s="14" t="s">
        <v>52</v>
      </c>
    </row>
    <row r="18" spans="2:14" x14ac:dyDescent="0.25">
      <c r="B18" s="9">
        <v>9</v>
      </c>
      <c r="C18" s="15" t="s">
        <v>29</v>
      </c>
      <c r="D18" s="11"/>
      <c r="E18" s="11"/>
      <c r="F18" s="12" t="s">
        <v>56</v>
      </c>
      <c r="G18" s="12" t="s">
        <v>50</v>
      </c>
      <c r="H18" s="13" t="s">
        <v>57</v>
      </c>
      <c r="I18" s="12"/>
      <c r="J18" s="12"/>
      <c r="K18" s="12"/>
      <c r="L18" s="12"/>
      <c r="M18" s="12"/>
      <c r="N18" s="14" t="s">
        <v>52</v>
      </c>
    </row>
    <row r="19" spans="2:14" x14ac:dyDescent="0.25">
      <c r="B19" s="9">
        <v>10</v>
      </c>
      <c r="C19" s="16" t="s">
        <v>34</v>
      </c>
      <c r="D19" s="11"/>
      <c r="E19" s="11"/>
      <c r="F19" s="11" t="s">
        <v>58</v>
      </c>
      <c r="G19" s="12" t="s">
        <v>59</v>
      </c>
      <c r="H19" s="13" t="s">
        <v>60</v>
      </c>
      <c r="I19" s="12"/>
      <c r="J19" s="12"/>
      <c r="K19" s="12"/>
      <c r="L19" s="12"/>
      <c r="M19" s="12"/>
      <c r="N19" s="14" t="s">
        <v>52</v>
      </c>
    </row>
    <row r="20" spans="2:14" x14ac:dyDescent="0.25">
      <c r="B20" s="9">
        <v>11</v>
      </c>
      <c r="C20" s="15" t="s">
        <v>29</v>
      </c>
      <c r="D20" s="11"/>
      <c r="E20" s="11"/>
      <c r="F20" s="11"/>
      <c r="G20" s="12" t="s">
        <v>61</v>
      </c>
      <c r="H20" s="13" t="s">
        <v>62</v>
      </c>
      <c r="I20" s="12"/>
      <c r="J20" s="12"/>
      <c r="K20" s="12"/>
      <c r="L20" s="12"/>
      <c r="M20" s="12"/>
      <c r="N20" s="14" t="s">
        <v>52</v>
      </c>
    </row>
    <row r="21" spans="2:14" x14ac:dyDescent="0.25">
      <c r="B21" s="9">
        <v>12</v>
      </c>
      <c r="C21" s="15" t="s">
        <v>29</v>
      </c>
      <c r="D21" s="11"/>
      <c r="E21" s="11"/>
      <c r="F21" s="11"/>
      <c r="G21" s="12" t="s">
        <v>63</v>
      </c>
      <c r="H21" s="13" t="s">
        <v>64</v>
      </c>
      <c r="I21" s="12"/>
      <c r="J21" s="12"/>
      <c r="K21" s="12"/>
      <c r="L21" s="12"/>
      <c r="M21" s="12"/>
      <c r="N21" s="14" t="s">
        <v>52</v>
      </c>
    </row>
    <row r="22" spans="2:14" x14ac:dyDescent="0.25">
      <c r="B22" s="9">
        <v>13</v>
      </c>
      <c r="C22" s="15" t="s">
        <v>29</v>
      </c>
      <c r="D22" s="11"/>
      <c r="E22" s="11" t="s">
        <v>65</v>
      </c>
      <c r="F22" s="12" t="s">
        <v>66</v>
      </c>
      <c r="G22" s="12" t="s">
        <v>67</v>
      </c>
      <c r="H22" s="13" t="s">
        <v>68</v>
      </c>
      <c r="I22" s="12"/>
      <c r="J22" s="12"/>
      <c r="K22" s="12"/>
      <c r="L22" s="12"/>
      <c r="M22" s="12"/>
      <c r="N22" s="14" t="s">
        <v>28</v>
      </c>
    </row>
    <row r="23" spans="2:14" x14ac:dyDescent="0.25">
      <c r="B23" s="9">
        <v>14</v>
      </c>
      <c r="C23" s="16" t="s">
        <v>34</v>
      </c>
      <c r="D23" s="11"/>
      <c r="E23" s="11"/>
      <c r="F23" s="12" t="s">
        <v>69</v>
      </c>
      <c r="G23" s="12" t="s">
        <v>70</v>
      </c>
      <c r="H23" s="13" t="s">
        <v>71</v>
      </c>
      <c r="I23" s="12"/>
      <c r="J23" s="12"/>
      <c r="K23" s="12"/>
      <c r="L23" s="12"/>
      <c r="M23" s="12"/>
      <c r="N23" s="14" t="s">
        <v>28</v>
      </c>
    </row>
    <row r="24" spans="2:14" x14ac:dyDescent="0.25">
      <c r="B24" s="9">
        <v>15</v>
      </c>
      <c r="C24" s="10" t="s">
        <v>22</v>
      </c>
      <c r="D24" s="11"/>
      <c r="E24" s="11"/>
      <c r="F24" s="12" t="s">
        <v>72</v>
      </c>
      <c r="G24" s="12" t="s">
        <v>73</v>
      </c>
      <c r="H24" s="13" t="s">
        <v>74</v>
      </c>
      <c r="I24" s="12"/>
      <c r="J24" s="12"/>
      <c r="K24" s="12"/>
      <c r="L24" s="12"/>
      <c r="M24" s="12"/>
      <c r="N24" s="14" t="s">
        <v>28</v>
      </c>
    </row>
    <row r="25" spans="2:14" x14ac:dyDescent="0.25">
      <c r="B25" s="9">
        <v>16</v>
      </c>
      <c r="C25" s="15" t="s">
        <v>29</v>
      </c>
      <c r="D25" s="11" t="s">
        <v>75</v>
      </c>
      <c r="E25" s="11" t="s">
        <v>76</v>
      </c>
      <c r="F25" s="12" t="s">
        <v>31</v>
      </c>
      <c r="G25" s="12" t="s">
        <v>32</v>
      </c>
      <c r="H25" s="13" t="s">
        <v>77</v>
      </c>
      <c r="I25" s="12"/>
      <c r="J25" s="12"/>
      <c r="K25" s="12"/>
      <c r="L25" s="12"/>
      <c r="M25" s="12"/>
      <c r="N25" s="14" t="s">
        <v>78</v>
      </c>
    </row>
    <row r="26" spans="2:14" x14ac:dyDescent="0.25">
      <c r="B26" s="9">
        <v>17</v>
      </c>
      <c r="C26" s="16" t="s">
        <v>34</v>
      </c>
      <c r="D26" s="11"/>
      <c r="E26" s="11"/>
      <c r="F26" s="12" t="s">
        <v>35</v>
      </c>
      <c r="G26" s="12" t="s">
        <v>36</v>
      </c>
      <c r="H26" s="13" t="s">
        <v>79</v>
      </c>
      <c r="I26" s="12"/>
      <c r="J26" s="12"/>
      <c r="K26" s="12"/>
      <c r="L26" s="12"/>
      <c r="M26" s="12"/>
      <c r="N26" s="14" t="s">
        <v>78</v>
      </c>
    </row>
    <row r="27" spans="2:14" x14ac:dyDescent="0.25">
      <c r="B27" s="9">
        <v>18</v>
      </c>
      <c r="C27" s="16" t="s">
        <v>34</v>
      </c>
      <c r="D27" s="11"/>
      <c r="E27" s="11" t="s">
        <v>80</v>
      </c>
      <c r="F27" s="12" t="s">
        <v>81</v>
      </c>
      <c r="G27" s="12" t="s">
        <v>82</v>
      </c>
      <c r="H27" s="13" t="s">
        <v>83</v>
      </c>
      <c r="I27" s="12"/>
      <c r="J27" s="12"/>
      <c r="K27" s="12"/>
      <c r="L27" s="12"/>
      <c r="M27" s="12"/>
      <c r="N27" s="14" t="s">
        <v>84</v>
      </c>
    </row>
    <row r="28" spans="2:14" x14ac:dyDescent="0.25">
      <c r="B28" s="9">
        <v>19</v>
      </c>
      <c r="C28" s="16" t="s">
        <v>34</v>
      </c>
      <c r="D28" s="11"/>
      <c r="E28" s="11"/>
      <c r="F28" s="12" t="s">
        <v>85</v>
      </c>
      <c r="G28" s="12" t="s">
        <v>86</v>
      </c>
      <c r="H28" s="13" t="s">
        <v>87</v>
      </c>
      <c r="I28" s="12"/>
      <c r="J28" s="12"/>
      <c r="K28" s="12"/>
      <c r="L28" s="12"/>
      <c r="M28" s="12"/>
      <c r="N28" s="14" t="s">
        <v>84</v>
      </c>
    </row>
    <row r="29" spans="2:14" x14ac:dyDescent="0.25">
      <c r="B29" s="9">
        <v>20</v>
      </c>
      <c r="C29" s="16" t="s">
        <v>34</v>
      </c>
      <c r="D29" s="11"/>
      <c r="E29" s="11"/>
      <c r="F29" s="12" t="s">
        <v>88</v>
      </c>
      <c r="G29" s="12" t="s">
        <v>89</v>
      </c>
      <c r="H29" s="13" t="s">
        <v>90</v>
      </c>
      <c r="I29" s="12"/>
      <c r="J29" s="12"/>
      <c r="K29" s="12"/>
      <c r="L29" s="12"/>
      <c r="M29" s="12"/>
      <c r="N29" s="14" t="s">
        <v>91</v>
      </c>
    </row>
    <row r="30" spans="2:14" x14ac:dyDescent="0.25">
      <c r="B30" s="9">
        <v>21</v>
      </c>
      <c r="C30" s="15" t="s">
        <v>29</v>
      </c>
      <c r="D30" s="11"/>
      <c r="E30" s="11" t="s">
        <v>48</v>
      </c>
      <c r="F30" s="12" t="s">
        <v>53</v>
      </c>
      <c r="G30" s="12" t="s">
        <v>54</v>
      </c>
      <c r="H30" s="13" t="s">
        <v>92</v>
      </c>
      <c r="I30" s="12"/>
      <c r="J30" s="12"/>
      <c r="K30" s="12"/>
      <c r="L30" s="12"/>
      <c r="M30" s="12"/>
      <c r="N30" s="14" t="s">
        <v>93</v>
      </c>
    </row>
    <row r="31" spans="2:14" x14ac:dyDescent="0.25">
      <c r="B31" s="9">
        <v>22</v>
      </c>
      <c r="C31" s="15" t="s">
        <v>29</v>
      </c>
      <c r="D31" s="11"/>
      <c r="E31" s="11"/>
      <c r="F31" s="12" t="s">
        <v>49</v>
      </c>
      <c r="G31" s="12" t="s">
        <v>50</v>
      </c>
      <c r="H31" s="13" t="s">
        <v>94</v>
      </c>
      <c r="I31" s="12"/>
      <c r="J31" s="12"/>
      <c r="K31" s="12"/>
      <c r="L31" s="12"/>
      <c r="M31" s="12"/>
      <c r="N31" s="14" t="s">
        <v>93</v>
      </c>
    </row>
    <row r="32" spans="2:14" x14ac:dyDescent="0.25">
      <c r="B32" s="9">
        <v>23</v>
      </c>
      <c r="C32" s="15" t="s">
        <v>29</v>
      </c>
      <c r="D32" s="11"/>
      <c r="E32" s="11"/>
      <c r="F32" s="12" t="s">
        <v>95</v>
      </c>
      <c r="G32" s="12" t="s">
        <v>96</v>
      </c>
      <c r="H32" s="13" t="s">
        <v>97</v>
      </c>
      <c r="I32" s="12"/>
      <c r="J32" s="12"/>
      <c r="K32" s="12"/>
      <c r="L32" s="12"/>
      <c r="M32" s="12"/>
      <c r="N32" s="14" t="s">
        <v>93</v>
      </c>
    </row>
    <row r="33" spans="2:14" x14ac:dyDescent="0.25">
      <c r="B33" s="9">
        <v>24</v>
      </c>
      <c r="C33" s="16" t="s">
        <v>34</v>
      </c>
      <c r="D33" s="11"/>
      <c r="E33" s="11"/>
      <c r="F33" s="12" t="s">
        <v>98</v>
      </c>
      <c r="G33" s="12" t="s">
        <v>99</v>
      </c>
      <c r="H33" s="13" t="s">
        <v>100</v>
      </c>
      <c r="I33" s="12"/>
      <c r="J33" s="12"/>
      <c r="K33" s="12"/>
      <c r="L33" s="12"/>
      <c r="M33" s="12"/>
      <c r="N33" s="14" t="s">
        <v>93</v>
      </c>
    </row>
    <row r="34" spans="2:14" x14ac:dyDescent="0.25">
      <c r="B34" s="9">
        <v>25</v>
      </c>
      <c r="C34" s="16" t="s">
        <v>34</v>
      </c>
      <c r="D34" s="11"/>
      <c r="E34" s="11" t="s">
        <v>101</v>
      </c>
      <c r="F34" s="11" t="s">
        <v>102</v>
      </c>
      <c r="G34" s="12" t="s">
        <v>103</v>
      </c>
      <c r="H34" s="13" t="s">
        <v>104</v>
      </c>
      <c r="I34" s="12"/>
      <c r="J34" s="12"/>
      <c r="K34" s="12"/>
      <c r="L34" s="12"/>
      <c r="M34" s="12"/>
      <c r="N34" s="14" t="s">
        <v>105</v>
      </c>
    </row>
    <row r="35" spans="2:14" x14ac:dyDescent="0.25">
      <c r="B35" s="9">
        <v>26</v>
      </c>
      <c r="C35" s="16" t="s">
        <v>34</v>
      </c>
      <c r="D35" s="11"/>
      <c r="E35" s="11"/>
      <c r="F35" s="11"/>
      <c r="G35" s="12" t="s">
        <v>106</v>
      </c>
      <c r="H35" s="13" t="s">
        <v>107</v>
      </c>
      <c r="I35" s="12"/>
      <c r="J35" s="12"/>
      <c r="K35" s="12"/>
      <c r="L35" s="12"/>
      <c r="M35" s="12"/>
      <c r="N35" s="14" t="s">
        <v>105</v>
      </c>
    </row>
    <row r="36" spans="2:14" x14ac:dyDescent="0.25">
      <c r="B36" s="9">
        <v>27</v>
      </c>
      <c r="C36" s="16" t="s">
        <v>34</v>
      </c>
      <c r="D36" s="11"/>
      <c r="E36" s="11"/>
      <c r="F36" s="11"/>
      <c r="G36" s="12" t="s">
        <v>108</v>
      </c>
      <c r="H36" s="13" t="s">
        <v>109</v>
      </c>
      <c r="I36" s="12"/>
      <c r="J36" s="12"/>
      <c r="K36" s="12"/>
      <c r="L36" s="12"/>
      <c r="M36" s="12"/>
      <c r="N36" s="14" t="s">
        <v>105</v>
      </c>
    </row>
    <row r="37" spans="2:14" x14ac:dyDescent="0.25">
      <c r="B37" s="9">
        <v>28</v>
      </c>
      <c r="C37" s="16" t="s">
        <v>34</v>
      </c>
      <c r="D37" s="11"/>
      <c r="E37" s="11"/>
      <c r="F37" s="11" t="s">
        <v>110</v>
      </c>
      <c r="G37" s="12" t="s">
        <v>111</v>
      </c>
      <c r="H37" s="13" t="s">
        <v>112</v>
      </c>
      <c r="I37" s="12"/>
      <c r="J37" s="12"/>
      <c r="K37" s="12"/>
      <c r="L37" s="12"/>
      <c r="M37" s="12"/>
      <c r="N37" s="14" t="s">
        <v>113</v>
      </c>
    </row>
    <row r="38" spans="2:14" x14ac:dyDescent="0.25">
      <c r="B38" s="9">
        <v>29</v>
      </c>
      <c r="C38" s="16" t="s">
        <v>34</v>
      </c>
      <c r="D38" s="11"/>
      <c r="E38" s="11"/>
      <c r="F38" s="11"/>
      <c r="G38" s="12" t="s">
        <v>114</v>
      </c>
      <c r="H38" s="13" t="s">
        <v>115</v>
      </c>
      <c r="I38" s="12"/>
      <c r="J38" s="12"/>
      <c r="K38" s="12"/>
      <c r="L38" s="12"/>
      <c r="M38" s="12"/>
      <c r="N38" s="14" t="s">
        <v>113</v>
      </c>
    </row>
    <row r="39" spans="2:14" x14ac:dyDescent="0.25">
      <c r="B39" s="9">
        <v>30</v>
      </c>
      <c r="C39" s="16" t="s">
        <v>34</v>
      </c>
      <c r="D39" s="11"/>
      <c r="E39" s="11"/>
      <c r="F39" s="11"/>
      <c r="G39" s="12" t="s">
        <v>116</v>
      </c>
      <c r="H39" s="13" t="s">
        <v>117</v>
      </c>
      <c r="I39" s="12"/>
      <c r="J39" s="12"/>
      <c r="K39" s="12"/>
      <c r="L39" s="12"/>
      <c r="M39" s="12"/>
      <c r="N39" s="14" t="s">
        <v>113</v>
      </c>
    </row>
    <row r="40" spans="2:14" x14ac:dyDescent="0.25">
      <c r="B40" s="9">
        <v>31</v>
      </c>
      <c r="C40" s="16" t="s">
        <v>34</v>
      </c>
      <c r="D40" s="11"/>
      <c r="E40" s="11"/>
      <c r="F40" s="11"/>
      <c r="G40" s="12" t="s">
        <v>118</v>
      </c>
      <c r="H40" s="13" t="s">
        <v>119</v>
      </c>
      <c r="I40" s="12"/>
      <c r="J40" s="12"/>
      <c r="K40" s="12"/>
      <c r="L40" s="12"/>
      <c r="M40" s="12"/>
      <c r="N40" s="14" t="s">
        <v>113</v>
      </c>
    </row>
    <row r="41" spans="2:14" x14ac:dyDescent="0.25">
      <c r="B41" s="9">
        <v>32</v>
      </c>
      <c r="C41" s="16" t="s">
        <v>34</v>
      </c>
      <c r="D41" s="11"/>
      <c r="E41" s="11"/>
      <c r="F41" s="12" t="s">
        <v>120</v>
      </c>
      <c r="G41" s="12" t="s">
        <v>121</v>
      </c>
      <c r="H41" s="13" t="s">
        <v>122</v>
      </c>
      <c r="I41" s="12"/>
      <c r="J41" s="12"/>
      <c r="K41" s="12"/>
      <c r="L41" s="12"/>
      <c r="M41" s="12"/>
      <c r="N41" s="14" t="s">
        <v>113</v>
      </c>
    </row>
    <row r="42" spans="2:14" x14ac:dyDescent="0.25">
      <c r="B42" s="9">
        <v>33</v>
      </c>
      <c r="C42" s="16" t="s">
        <v>34</v>
      </c>
      <c r="D42" s="11"/>
      <c r="E42" s="11" t="s">
        <v>123</v>
      </c>
      <c r="F42" s="12" t="s">
        <v>124</v>
      </c>
      <c r="G42" s="12" t="s">
        <v>125</v>
      </c>
      <c r="H42" s="13" t="s">
        <v>126</v>
      </c>
      <c r="I42" s="12"/>
      <c r="J42" s="12"/>
      <c r="K42" s="12"/>
      <c r="L42" s="12"/>
      <c r="M42" s="12"/>
      <c r="N42" s="14" t="s">
        <v>127</v>
      </c>
    </row>
    <row r="43" spans="2:14" x14ac:dyDescent="0.25">
      <c r="B43" s="9">
        <v>34</v>
      </c>
      <c r="C43" s="16" t="s">
        <v>34</v>
      </c>
      <c r="D43" s="11"/>
      <c r="E43" s="11"/>
      <c r="F43" s="12" t="s">
        <v>128</v>
      </c>
      <c r="G43" s="12" t="s">
        <v>129</v>
      </c>
      <c r="H43" s="13" t="s">
        <v>130</v>
      </c>
      <c r="I43" s="12"/>
      <c r="J43" s="12"/>
      <c r="K43" s="12"/>
      <c r="L43" s="12"/>
      <c r="M43" s="12"/>
      <c r="N43" s="14" t="s">
        <v>127</v>
      </c>
    </row>
    <row r="44" spans="2:14" x14ac:dyDescent="0.25">
      <c r="B44" s="9">
        <v>35</v>
      </c>
      <c r="C44" s="16" t="s">
        <v>34</v>
      </c>
      <c r="D44" s="11"/>
      <c r="E44" s="11"/>
      <c r="F44" s="12" t="s">
        <v>131</v>
      </c>
      <c r="G44" s="12" t="s">
        <v>132</v>
      </c>
      <c r="H44" s="13" t="s">
        <v>133</v>
      </c>
      <c r="I44" s="12"/>
      <c r="J44" s="12"/>
      <c r="K44" s="12"/>
      <c r="L44" s="12"/>
      <c r="M44" s="12"/>
      <c r="N44" s="14" t="s">
        <v>127</v>
      </c>
    </row>
    <row r="45" spans="2:14" x14ac:dyDescent="0.25">
      <c r="B45" s="9">
        <v>36</v>
      </c>
      <c r="C45" s="16" t="s">
        <v>34</v>
      </c>
      <c r="D45" s="11"/>
      <c r="E45" s="11" t="s">
        <v>134</v>
      </c>
      <c r="F45" s="12" t="s">
        <v>135</v>
      </c>
      <c r="G45" s="12" t="s">
        <v>136</v>
      </c>
      <c r="H45" s="13" t="s">
        <v>137</v>
      </c>
      <c r="I45" s="12"/>
      <c r="J45" s="12"/>
      <c r="K45" s="12"/>
      <c r="L45" s="12"/>
      <c r="M45" s="12"/>
      <c r="N45" s="14" t="s">
        <v>138</v>
      </c>
    </row>
    <row r="46" spans="2:14" x14ac:dyDescent="0.25">
      <c r="B46" s="9">
        <v>37</v>
      </c>
      <c r="C46" s="16" t="s">
        <v>34</v>
      </c>
      <c r="D46" s="11"/>
      <c r="E46" s="11"/>
      <c r="F46" s="12" t="s">
        <v>139</v>
      </c>
      <c r="G46" s="12" t="s">
        <v>140</v>
      </c>
      <c r="H46" s="13" t="s">
        <v>141</v>
      </c>
      <c r="I46" s="12"/>
      <c r="J46" s="12"/>
      <c r="K46" s="12"/>
      <c r="L46" s="12"/>
      <c r="M46" s="12"/>
      <c r="N46" s="14" t="s">
        <v>138</v>
      </c>
    </row>
    <row r="47" spans="2:14" x14ac:dyDescent="0.25">
      <c r="B47" s="9">
        <v>38</v>
      </c>
      <c r="C47" s="16" t="s">
        <v>34</v>
      </c>
      <c r="D47" s="11"/>
      <c r="E47" s="11"/>
      <c r="F47" s="12" t="s">
        <v>142</v>
      </c>
      <c r="G47" s="12" t="s">
        <v>140</v>
      </c>
      <c r="H47" s="13" t="s">
        <v>143</v>
      </c>
      <c r="I47" s="12"/>
      <c r="J47" s="12"/>
      <c r="K47" s="12"/>
      <c r="L47" s="12"/>
      <c r="M47" s="12"/>
      <c r="N47" s="14" t="s">
        <v>138</v>
      </c>
    </row>
    <row r="48" spans="2:14" x14ac:dyDescent="0.25">
      <c r="B48" s="9">
        <v>39</v>
      </c>
      <c r="C48" s="16" t="s">
        <v>34</v>
      </c>
      <c r="D48" s="11"/>
      <c r="E48" s="11"/>
      <c r="F48" s="12" t="s">
        <v>144</v>
      </c>
      <c r="G48" s="12" t="s">
        <v>145</v>
      </c>
      <c r="H48" s="13" t="s">
        <v>146</v>
      </c>
      <c r="I48" s="12"/>
      <c r="J48" s="12"/>
      <c r="K48" s="12"/>
      <c r="L48" s="12"/>
      <c r="M48" s="12"/>
      <c r="N48" s="14" t="s">
        <v>138</v>
      </c>
    </row>
    <row r="49" spans="2:14" x14ac:dyDescent="0.25">
      <c r="B49" s="9">
        <v>40</v>
      </c>
      <c r="C49" s="10" t="s">
        <v>22</v>
      </c>
      <c r="D49" s="11"/>
      <c r="E49" s="11" t="s">
        <v>147</v>
      </c>
      <c r="F49" s="12" t="s">
        <v>148</v>
      </c>
      <c r="G49" s="12" t="s">
        <v>149</v>
      </c>
      <c r="H49" s="13" t="s">
        <v>150</v>
      </c>
      <c r="I49" s="12"/>
      <c r="J49" s="12"/>
      <c r="K49" s="12"/>
      <c r="L49" s="12"/>
      <c r="M49" s="12"/>
      <c r="N49" s="14" t="s">
        <v>78</v>
      </c>
    </row>
    <row r="50" spans="2:14" x14ac:dyDescent="0.25">
      <c r="B50" s="9">
        <v>41</v>
      </c>
      <c r="C50" s="16" t="s">
        <v>34</v>
      </c>
      <c r="D50" s="11"/>
      <c r="E50" s="11"/>
      <c r="F50" s="12" t="s">
        <v>151</v>
      </c>
      <c r="G50" s="12" t="s">
        <v>152</v>
      </c>
      <c r="H50" s="13" t="s">
        <v>153</v>
      </c>
      <c r="I50" s="12"/>
      <c r="J50" s="12"/>
      <c r="K50" s="12"/>
      <c r="L50" s="12"/>
      <c r="M50" s="12"/>
      <c r="N50" s="14" t="s">
        <v>154</v>
      </c>
    </row>
    <row r="51" spans="2:14" x14ac:dyDescent="0.25">
      <c r="B51" s="9">
        <v>42</v>
      </c>
      <c r="C51" s="16" t="s">
        <v>34</v>
      </c>
      <c r="D51" s="11"/>
      <c r="E51" s="11"/>
      <c r="F51" s="12" t="s">
        <v>155</v>
      </c>
      <c r="G51" s="12" t="s">
        <v>156</v>
      </c>
      <c r="H51" s="13" t="s">
        <v>157</v>
      </c>
      <c r="I51" s="12"/>
      <c r="J51" s="12"/>
      <c r="K51" s="12"/>
      <c r="L51" s="12"/>
      <c r="M51" s="12"/>
      <c r="N51" s="14" t="s">
        <v>158</v>
      </c>
    </row>
    <row r="52" spans="2:14" x14ac:dyDescent="0.25">
      <c r="B52" s="9">
        <v>43</v>
      </c>
      <c r="C52" s="16" t="s">
        <v>34</v>
      </c>
      <c r="D52" s="11"/>
      <c r="E52" s="11"/>
      <c r="F52" s="12" t="s">
        <v>159</v>
      </c>
      <c r="G52" s="12" t="s">
        <v>160</v>
      </c>
      <c r="H52" s="13" t="s">
        <v>161</v>
      </c>
      <c r="I52" s="12"/>
      <c r="J52" s="12"/>
      <c r="K52" s="12"/>
      <c r="L52" s="12"/>
      <c r="M52" s="12"/>
      <c r="N52" s="14" t="s">
        <v>158</v>
      </c>
    </row>
    <row r="53" spans="2:14" x14ac:dyDescent="0.25">
      <c r="B53" s="9">
        <v>44</v>
      </c>
      <c r="C53" s="16" t="s">
        <v>34</v>
      </c>
      <c r="D53" s="11"/>
      <c r="E53" s="11"/>
      <c r="F53" s="12" t="s">
        <v>142</v>
      </c>
      <c r="G53" s="12" t="s">
        <v>140</v>
      </c>
      <c r="H53" s="13" t="s">
        <v>162</v>
      </c>
      <c r="I53" s="12"/>
      <c r="J53" s="12"/>
      <c r="K53" s="12"/>
      <c r="L53" s="12"/>
      <c r="M53" s="12"/>
      <c r="N53" s="14" t="s">
        <v>163</v>
      </c>
    </row>
    <row r="54" spans="2:14" x14ac:dyDescent="0.25">
      <c r="B54" s="9">
        <v>45</v>
      </c>
      <c r="C54" s="16" t="s">
        <v>34</v>
      </c>
      <c r="D54" s="11"/>
      <c r="E54" s="11"/>
      <c r="F54" s="12" t="s">
        <v>144</v>
      </c>
      <c r="G54" s="12" t="s">
        <v>145</v>
      </c>
      <c r="H54" s="13" t="s">
        <v>164</v>
      </c>
      <c r="I54" s="12"/>
      <c r="J54" s="12"/>
      <c r="K54" s="12"/>
      <c r="L54" s="12"/>
      <c r="M54" s="12"/>
      <c r="N54" s="14" t="s">
        <v>163</v>
      </c>
    </row>
    <row r="55" spans="2:14" x14ac:dyDescent="0.25">
      <c r="B55" s="9">
        <v>46</v>
      </c>
      <c r="C55" s="16" t="s">
        <v>34</v>
      </c>
      <c r="D55" s="11"/>
      <c r="E55" s="11" t="s">
        <v>165</v>
      </c>
      <c r="F55" s="12" t="s">
        <v>166</v>
      </c>
      <c r="G55" s="12" t="s">
        <v>167</v>
      </c>
      <c r="H55" s="13" t="s">
        <v>168</v>
      </c>
      <c r="I55" s="12"/>
      <c r="J55" s="12"/>
      <c r="K55" s="12"/>
      <c r="L55" s="12"/>
      <c r="M55" s="12"/>
      <c r="N55" s="14" t="s">
        <v>91</v>
      </c>
    </row>
    <row r="56" spans="2:14" x14ac:dyDescent="0.25">
      <c r="B56" s="9">
        <v>47</v>
      </c>
      <c r="C56" s="15" t="s">
        <v>29</v>
      </c>
      <c r="D56" s="11"/>
      <c r="E56" s="11"/>
      <c r="F56" s="12" t="s">
        <v>169</v>
      </c>
      <c r="G56" s="12" t="s">
        <v>170</v>
      </c>
      <c r="H56" s="13" t="s">
        <v>171</v>
      </c>
      <c r="I56" s="12"/>
      <c r="J56" s="12"/>
      <c r="K56" s="12"/>
      <c r="L56" s="12"/>
      <c r="M56" s="12"/>
      <c r="N56" s="14" t="s">
        <v>91</v>
      </c>
    </row>
    <row r="57" spans="2:14" x14ac:dyDescent="0.25">
      <c r="B57" s="9">
        <v>48</v>
      </c>
      <c r="C57" s="15" t="s">
        <v>29</v>
      </c>
      <c r="D57" s="11"/>
      <c r="E57" s="12" t="s">
        <v>172</v>
      </c>
      <c r="F57" s="12" t="s">
        <v>173</v>
      </c>
      <c r="G57" s="12" t="s">
        <v>174</v>
      </c>
      <c r="H57" s="13" t="s">
        <v>175</v>
      </c>
      <c r="I57" s="12"/>
      <c r="J57" s="12"/>
      <c r="K57" s="12"/>
      <c r="L57" s="12"/>
      <c r="M57" s="12"/>
      <c r="N57" s="14" t="s">
        <v>176</v>
      </c>
    </row>
    <row r="58" spans="2:14" x14ac:dyDescent="0.25">
      <c r="B58" s="9">
        <v>49</v>
      </c>
      <c r="C58" s="10" t="s">
        <v>22</v>
      </c>
      <c r="D58" s="11" t="s">
        <v>177</v>
      </c>
      <c r="E58" s="11" t="s">
        <v>172</v>
      </c>
      <c r="F58" s="12" t="s">
        <v>178</v>
      </c>
      <c r="G58" s="12" t="s">
        <v>179</v>
      </c>
      <c r="H58" s="13" t="s">
        <v>180</v>
      </c>
      <c r="I58" s="12"/>
      <c r="J58" s="12"/>
      <c r="K58" s="12"/>
      <c r="L58" s="12"/>
      <c r="M58" s="12"/>
      <c r="N58" s="14" t="s">
        <v>181</v>
      </c>
    </row>
    <row r="59" spans="2:14" x14ac:dyDescent="0.25">
      <c r="B59" s="9">
        <v>50</v>
      </c>
      <c r="C59" s="16" t="s">
        <v>34</v>
      </c>
      <c r="D59" s="11"/>
      <c r="E59" s="11"/>
      <c r="F59" s="12" t="s">
        <v>182</v>
      </c>
      <c r="G59" s="12" t="s">
        <v>179</v>
      </c>
      <c r="H59" s="13" t="s">
        <v>183</v>
      </c>
      <c r="I59" s="12"/>
      <c r="J59" s="12"/>
      <c r="K59" s="12"/>
      <c r="L59" s="12"/>
      <c r="M59" s="12"/>
      <c r="N59" s="14" t="s">
        <v>181</v>
      </c>
    </row>
    <row r="60" spans="2:14" x14ac:dyDescent="0.25">
      <c r="B60" s="9">
        <v>51</v>
      </c>
      <c r="C60" s="16" t="s">
        <v>34</v>
      </c>
      <c r="D60" s="11"/>
      <c r="E60" s="11"/>
      <c r="F60" s="12" t="s">
        <v>184</v>
      </c>
      <c r="G60" s="12" t="s">
        <v>179</v>
      </c>
      <c r="H60" s="13" t="s">
        <v>185</v>
      </c>
      <c r="I60" s="12"/>
      <c r="J60" s="12"/>
      <c r="K60" s="12"/>
      <c r="L60" s="12"/>
      <c r="M60" s="12"/>
      <c r="N60" s="14" t="s">
        <v>181</v>
      </c>
    </row>
    <row r="61" spans="2:14" x14ac:dyDescent="0.25">
      <c r="B61" s="9">
        <v>52</v>
      </c>
      <c r="C61" s="16" t="s">
        <v>34</v>
      </c>
      <c r="D61" s="11"/>
      <c r="E61" s="11"/>
      <c r="F61" s="12" t="s">
        <v>186</v>
      </c>
      <c r="G61" s="12" t="s">
        <v>179</v>
      </c>
      <c r="H61" s="13" t="s">
        <v>187</v>
      </c>
      <c r="I61" s="12"/>
      <c r="J61" s="12"/>
      <c r="K61" s="12"/>
      <c r="L61" s="12"/>
      <c r="M61" s="12"/>
      <c r="N61" s="14" t="s">
        <v>181</v>
      </c>
    </row>
    <row r="62" spans="2:14" x14ac:dyDescent="0.25">
      <c r="B62" s="9">
        <v>53</v>
      </c>
      <c r="C62" s="16" t="s">
        <v>34</v>
      </c>
      <c r="D62" s="11"/>
      <c r="E62" s="11"/>
      <c r="F62" s="12" t="s">
        <v>188</v>
      </c>
      <c r="G62" s="12" t="s">
        <v>179</v>
      </c>
      <c r="H62" s="13" t="s">
        <v>189</v>
      </c>
      <c r="I62" s="12"/>
      <c r="J62" s="12"/>
      <c r="K62" s="12"/>
      <c r="L62" s="12"/>
      <c r="M62" s="12"/>
      <c r="N62" s="14" t="s">
        <v>181</v>
      </c>
    </row>
    <row r="63" spans="2:14" x14ac:dyDescent="0.25">
      <c r="B63" s="9">
        <v>54</v>
      </c>
      <c r="C63" s="16" t="s">
        <v>34</v>
      </c>
      <c r="D63" s="11"/>
      <c r="E63" s="11"/>
      <c r="F63" s="12" t="s">
        <v>190</v>
      </c>
      <c r="G63" s="12" t="s">
        <v>179</v>
      </c>
      <c r="H63" s="13" t="s">
        <v>191</v>
      </c>
      <c r="I63" s="12"/>
      <c r="J63" s="12"/>
      <c r="K63" s="12"/>
      <c r="L63" s="12"/>
      <c r="M63" s="12"/>
      <c r="N63" s="14" t="s">
        <v>192</v>
      </c>
    </row>
    <row r="64" spans="2:14" x14ac:dyDescent="0.25">
      <c r="B64" s="9">
        <v>55</v>
      </c>
      <c r="C64" s="16" t="s">
        <v>34</v>
      </c>
      <c r="D64" s="11"/>
      <c r="E64" s="11" t="s">
        <v>193</v>
      </c>
      <c r="F64" s="12" t="s">
        <v>194</v>
      </c>
      <c r="G64" s="12" t="s">
        <v>195</v>
      </c>
      <c r="H64" s="13" t="s">
        <v>196</v>
      </c>
      <c r="I64" s="12"/>
      <c r="J64" s="12"/>
      <c r="K64" s="12"/>
      <c r="L64" s="12"/>
      <c r="M64" s="12"/>
      <c r="N64" s="14" t="s">
        <v>197</v>
      </c>
    </row>
    <row r="65" spans="2:14" x14ac:dyDescent="0.25">
      <c r="B65" s="9">
        <v>56</v>
      </c>
      <c r="C65" s="15" t="s">
        <v>29</v>
      </c>
      <c r="D65" s="11"/>
      <c r="E65" s="11"/>
      <c r="F65" s="12" t="s">
        <v>198</v>
      </c>
      <c r="G65" s="12" t="s">
        <v>199</v>
      </c>
      <c r="H65" s="13" t="s">
        <v>200</v>
      </c>
      <c r="I65" s="12"/>
      <c r="J65" s="12"/>
      <c r="K65" s="12"/>
      <c r="L65" s="12"/>
      <c r="M65" s="12"/>
      <c r="N65" s="14" t="s">
        <v>197</v>
      </c>
    </row>
    <row r="66" spans="2:14" x14ac:dyDescent="0.25">
      <c r="B66" s="9">
        <v>57</v>
      </c>
      <c r="C66" s="16" t="s">
        <v>34</v>
      </c>
      <c r="D66" s="11"/>
      <c r="E66" s="11" t="s">
        <v>201</v>
      </c>
      <c r="F66" s="12" t="s">
        <v>202</v>
      </c>
      <c r="G66" s="12" t="s">
        <v>203</v>
      </c>
      <c r="H66" s="13" t="s">
        <v>204</v>
      </c>
      <c r="I66" s="12"/>
      <c r="J66" s="12"/>
      <c r="K66" s="12"/>
      <c r="L66" s="12"/>
      <c r="M66" s="12"/>
      <c r="N66" s="14" t="s">
        <v>205</v>
      </c>
    </row>
    <row r="67" spans="2:14" x14ac:dyDescent="0.25">
      <c r="B67" s="9">
        <v>58</v>
      </c>
      <c r="C67" s="16" t="s">
        <v>34</v>
      </c>
      <c r="D67" s="11"/>
      <c r="E67" s="11"/>
      <c r="F67" s="11" t="s">
        <v>206</v>
      </c>
      <c r="G67" s="12" t="s">
        <v>207</v>
      </c>
      <c r="H67" s="13" t="s">
        <v>208</v>
      </c>
      <c r="I67" s="12"/>
      <c r="J67" s="12"/>
      <c r="K67" s="12"/>
      <c r="L67" s="12"/>
      <c r="M67" s="12"/>
      <c r="N67" s="14" t="s">
        <v>209</v>
      </c>
    </row>
    <row r="68" spans="2:14" x14ac:dyDescent="0.25">
      <c r="B68" s="9">
        <v>59</v>
      </c>
      <c r="C68" s="15" t="s">
        <v>29</v>
      </c>
      <c r="D68" s="11"/>
      <c r="E68" s="11"/>
      <c r="F68" s="11"/>
      <c r="G68" s="12" t="s">
        <v>210</v>
      </c>
      <c r="H68" s="13" t="s">
        <v>211</v>
      </c>
      <c r="I68" s="12"/>
      <c r="J68" s="12"/>
      <c r="K68" s="12"/>
      <c r="L68" s="12"/>
      <c r="M68" s="12"/>
      <c r="N68" s="14" t="s">
        <v>209</v>
      </c>
    </row>
    <row r="69" spans="2:14" x14ac:dyDescent="0.25">
      <c r="B69" s="9">
        <v>60</v>
      </c>
      <c r="C69" s="15" t="s">
        <v>29</v>
      </c>
      <c r="D69" s="11"/>
      <c r="E69" s="11"/>
      <c r="F69" s="11"/>
      <c r="G69" s="12" t="s">
        <v>212</v>
      </c>
      <c r="H69" s="13" t="s">
        <v>213</v>
      </c>
      <c r="I69" s="12"/>
      <c r="J69" s="12"/>
      <c r="K69" s="12"/>
      <c r="L69" s="12"/>
      <c r="M69" s="12"/>
      <c r="N69" s="14" t="s">
        <v>209</v>
      </c>
    </row>
    <row r="70" spans="2:14" x14ac:dyDescent="0.25">
      <c r="B70" s="9">
        <v>61</v>
      </c>
      <c r="C70" s="16" t="s">
        <v>34</v>
      </c>
      <c r="D70" s="11"/>
      <c r="E70" s="11"/>
      <c r="F70" s="11"/>
      <c r="G70" s="12" t="s">
        <v>214</v>
      </c>
      <c r="H70" s="13" t="s">
        <v>215</v>
      </c>
      <c r="I70" s="12"/>
      <c r="J70" s="12"/>
      <c r="K70" s="12"/>
      <c r="L70" s="12"/>
      <c r="M70" s="12"/>
      <c r="N70" s="14" t="s">
        <v>209</v>
      </c>
    </row>
    <row r="71" spans="2:14" x14ac:dyDescent="0.25">
      <c r="B71" s="9">
        <v>62</v>
      </c>
      <c r="C71" s="15" t="s">
        <v>29</v>
      </c>
      <c r="D71" s="11"/>
      <c r="E71" s="11"/>
      <c r="F71" s="11" t="s">
        <v>216</v>
      </c>
      <c r="G71" s="12" t="s">
        <v>217</v>
      </c>
      <c r="H71" s="13" t="s">
        <v>218</v>
      </c>
      <c r="I71" s="12"/>
      <c r="J71" s="12"/>
      <c r="K71" s="12"/>
      <c r="L71" s="12"/>
      <c r="M71" s="12"/>
      <c r="N71" s="14" t="s">
        <v>209</v>
      </c>
    </row>
    <row r="72" spans="2:14" x14ac:dyDescent="0.25">
      <c r="B72" s="9">
        <v>63</v>
      </c>
      <c r="C72" s="15" t="s">
        <v>29</v>
      </c>
      <c r="D72" s="11"/>
      <c r="E72" s="11"/>
      <c r="F72" s="11"/>
      <c r="G72" s="12" t="s">
        <v>219</v>
      </c>
      <c r="H72" s="13" t="s">
        <v>220</v>
      </c>
      <c r="I72" s="12"/>
      <c r="J72" s="12"/>
      <c r="K72" s="12"/>
      <c r="L72" s="12"/>
      <c r="M72" s="12"/>
      <c r="N72" s="14" t="s">
        <v>209</v>
      </c>
    </row>
    <row r="73" spans="2:14" x14ac:dyDescent="0.25">
      <c r="B73" s="9">
        <v>64</v>
      </c>
      <c r="C73" s="16" t="s">
        <v>34</v>
      </c>
      <c r="D73" s="11"/>
      <c r="E73" s="11"/>
      <c r="F73" s="11" t="s">
        <v>172</v>
      </c>
      <c r="G73" s="12" t="s">
        <v>221</v>
      </c>
      <c r="H73" s="13" t="s">
        <v>222</v>
      </c>
      <c r="I73" s="12"/>
      <c r="J73" s="12"/>
      <c r="K73" s="12"/>
      <c r="L73" s="12"/>
      <c r="M73" s="12"/>
      <c r="N73" s="14" t="s">
        <v>205</v>
      </c>
    </row>
    <row r="74" spans="2:14" x14ac:dyDescent="0.25">
      <c r="B74" s="9">
        <v>65</v>
      </c>
      <c r="C74" s="16" t="s">
        <v>34</v>
      </c>
      <c r="D74" s="11"/>
      <c r="E74" s="11"/>
      <c r="F74" s="11"/>
      <c r="G74" s="12" t="s">
        <v>223</v>
      </c>
      <c r="H74" s="13" t="s">
        <v>224</v>
      </c>
      <c r="I74" s="12"/>
      <c r="J74" s="12"/>
      <c r="K74" s="12"/>
      <c r="L74" s="12"/>
      <c r="M74" s="12"/>
      <c r="N74" s="14" t="s">
        <v>205</v>
      </c>
    </row>
    <row r="75" spans="2:14" x14ac:dyDescent="0.25">
      <c r="B75" s="9">
        <v>66</v>
      </c>
      <c r="C75" s="16" t="s">
        <v>34</v>
      </c>
      <c r="D75" s="11"/>
      <c r="E75" s="11"/>
      <c r="F75" s="11"/>
      <c r="G75" s="12" t="s">
        <v>225</v>
      </c>
      <c r="H75" s="13" t="s">
        <v>226</v>
      </c>
      <c r="I75" s="12"/>
      <c r="J75" s="12"/>
      <c r="K75" s="12"/>
      <c r="L75" s="12"/>
      <c r="M75" s="12"/>
      <c r="N75" s="14" t="s">
        <v>205</v>
      </c>
    </row>
    <row r="76" spans="2:14" x14ac:dyDescent="0.25">
      <c r="B76" s="9">
        <v>67</v>
      </c>
      <c r="C76" s="16" t="s">
        <v>34</v>
      </c>
      <c r="D76" s="11"/>
      <c r="E76" s="11"/>
      <c r="F76" s="12" t="s">
        <v>227</v>
      </c>
      <c r="G76" s="12" t="s">
        <v>228</v>
      </c>
      <c r="H76" s="13" t="s">
        <v>229</v>
      </c>
      <c r="I76" s="12"/>
      <c r="J76" s="12"/>
      <c r="K76" s="12"/>
      <c r="L76" s="12"/>
      <c r="M76" s="12"/>
      <c r="N76" s="14" t="s">
        <v>205</v>
      </c>
    </row>
    <row r="77" spans="2:14" x14ac:dyDescent="0.25">
      <c r="B77" s="9">
        <v>68</v>
      </c>
      <c r="C77" s="15" t="s">
        <v>29</v>
      </c>
      <c r="D77" s="11" t="s">
        <v>230</v>
      </c>
      <c r="E77" s="11" t="s">
        <v>76</v>
      </c>
      <c r="F77" s="12" t="s">
        <v>31</v>
      </c>
      <c r="G77" s="12" t="s">
        <v>32</v>
      </c>
      <c r="H77" s="13" t="s">
        <v>231</v>
      </c>
      <c r="I77" s="12"/>
      <c r="J77" s="12"/>
      <c r="K77" s="12"/>
      <c r="L77" s="12"/>
      <c r="M77" s="12"/>
      <c r="N77" s="14" t="s">
        <v>232</v>
      </c>
    </row>
    <row r="78" spans="2:14" x14ac:dyDescent="0.25">
      <c r="B78" s="9">
        <v>69</v>
      </c>
      <c r="C78" s="16" t="s">
        <v>34</v>
      </c>
      <c r="D78" s="11"/>
      <c r="E78" s="11"/>
      <c r="F78" s="12" t="s">
        <v>35</v>
      </c>
      <c r="G78" s="12" t="s">
        <v>36</v>
      </c>
      <c r="H78" s="13" t="s">
        <v>233</v>
      </c>
      <c r="I78" s="12"/>
      <c r="J78" s="12"/>
      <c r="K78" s="12"/>
      <c r="L78" s="12"/>
      <c r="M78" s="12"/>
      <c r="N78" s="14" t="s">
        <v>232</v>
      </c>
    </row>
    <row r="79" spans="2:14" x14ac:dyDescent="0.25">
      <c r="B79" s="9">
        <v>70</v>
      </c>
      <c r="C79" s="15" t="s">
        <v>29</v>
      </c>
      <c r="D79" s="11"/>
      <c r="E79" s="11" t="s">
        <v>234</v>
      </c>
      <c r="F79" s="12" t="s">
        <v>235</v>
      </c>
      <c r="G79" s="12" t="s">
        <v>236</v>
      </c>
      <c r="H79" s="13" t="s">
        <v>237</v>
      </c>
      <c r="I79" s="12"/>
      <c r="J79" s="12"/>
      <c r="K79" s="12"/>
      <c r="L79" s="12"/>
      <c r="M79" s="12"/>
      <c r="N79" s="14" t="s">
        <v>238</v>
      </c>
    </row>
    <row r="80" spans="2:14" x14ac:dyDescent="0.25">
      <c r="B80" s="9">
        <v>71</v>
      </c>
      <c r="C80" s="15" t="s">
        <v>29</v>
      </c>
      <c r="D80" s="11"/>
      <c r="E80" s="11"/>
      <c r="F80" s="12" t="s">
        <v>239</v>
      </c>
      <c r="G80" s="12" t="s">
        <v>240</v>
      </c>
      <c r="H80" s="13" t="s">
        <v>241</v>
      </c>
      <c r="I80" s="12"/>
      <c r="J80" s="12"/>
      <c r="K80" s="12"/>
      <c r="L80" s="12"/>
      <c r="M80" s="12"/>
      <c r="N80" s="14" t="s">
        <v>238</v>
      </c>
    </row>
    <row r="81" spans="2:14" x14ac:dyDescent="0.25">
      <c r="B81" s="9">
        <v>72</v>
      </c>
      <c r="C81" s="16" t="s">
        <v>34</v>
      </c>
      <c r="D81" s="11"/>
      <c r="E81" s="11" t="s">
        <v>242</v>
      </c>
      <c r="F81" s="12" t="s">
        <v>243</v>
      </c>
      <c r="G81" s="12" t="s">
        <v>244</v>
      </c>
      <c r="H81" s="13" t="s">
        <v>245</v>
      </c>
      <c r="I81" s="12"/>
      <c r="J81" s="12"/>
      <c r="K81" s="12"/>
      <c r="L81" s="12"/>
      <c r="M81" s="12"/>
      <c r="N81" s="14" t="s">
        <v>246</v>
      </c>
    </row>
    <row r="82" spans="2:14" x14ac:dyDescent="0.25">
      <c r="B82" s="9">
        <v>73</v>
      </c>
      <c r="C82" s="16" t="s">
        <v>34</v>
      </c>
      <c r="D82" s="11"/>
      <c r="E82" s="11"/>
      <c r="F82" s="11" t="s">
        <v>247</v>
      </c>
      <c r="G82" s="12" t="s">
        <v>248</v>
      </c>
      <c r="H82" s="13" t="s">
        <v>249</v>
      </c>
      <c r="I82" s="12"/>
      <c r="J82" s="12"/>
      <c r="K82" s="12"/>
      <c r="L82" s="12"/>
      <c r="M82" s="12"/>
      <c r="N82" s="14" t="s">
        <v>246</v>
      </c>
    </row>
    <row r="83" spans="2:14" x14ac:dyDescent="0.25">
      <c r="B83" s="9">
        <v>74</v>
      </c>
      <c r="C83" s="16" t="s">
        <v>34</v>
      </c>
      <c r="D83" s="11"/>
      <c r="E83" s="11"/>
      <c r="F83" s="11"/>
      <c r="G83" s="12" t="s">
        <v>250</v>
      </c>
      <c r="H83" s="13" t="s">
        <v>251</v>
      </c>
      <c r="I83" s="12"/>
      <c r="J83" s="12"/>
      <c r="K83" s="12"/>
      <c r="L83" s="12"/>
      <c r="M83" s="12"/>
      <c r="N83" s="14" t="s">
        <v>252</v>
      </c>
    </row>
    <row r="84" spans="2:14" x14ac:dyDescent="0.25">
      <c r="B84" s="9">
        <v>75</v>
      </c>
      <c r="C84" s="16" t="s">
        <v>34</v>
      </c>
      <c r="D84" s="11"/>
      <c r="E84" s="11"/>
      <c r="F84" s="11"/>
      <c r="G84" s="12" t="s">
        <v>253</v>
      </c>
      <c r="H84" s="13" t="s">
        <v>254</v>
      </c>
      <c r="I84" s="12"/>
      <c r="J84" s="12"/>
      <c r="K84" s="12"/>
      <c r="L84" s="12"/>
      <c r="M84" s="12"/>
      <c r="N84" s="14" t="s">
        <v>252</v>
      </c>
    </row>
    <row r="85" spans="2:14" x14ac:dyDescent="0.25">
      <c r="B85" s="9">
        <v>76</v>
      </c>
      <c r="C85" s="16" t="s">
        <v>34</v>
      </c>
      <c r="D85" s="11"/>
      <c r="E85" s="11"/>
      <c r="F85" s="11"/>
      <c r="G85" s="12" t="s">
        <v>255</v>
      </c>
      <c r="H85" s="13" t="s">
        <v>256</v>
      </c>
      <c r="I85" s="12"/>
      <c r="J85" s="12"/>
      <c r="K85" s="12"/>
      <c r="L85" s="12"/>
      <c r="M85" s="12"/>
      <c r="N85" s="14" t="s">
        <v>252</v>
      </c>
    </row>
    <row r="86" spans="2:14" x14ac:dyDescent="0.25">
      <c r="B86" s="9">
        <v>77</v>
      </c>
      <c r="C86" s="15" t="s">
        <v>29</v>
      </c>
      <c r="D86" s="11"/>
      <c r="E86" s="11"/>
      <c r="F86" s="11"/>
      <c r="G86" s="12" t="s">
        <v>257</v>
      </c>
      <c r="H86" s="13" t="s">
        <v>258</v>
      </c>
      <c r="I86" s="12"/>
      <c r="J86" s="12"/>
      <c r="K86" s="12"/>
      <c r="L86" s="12"/>
      <c r="M86" s="12"/>
      <c r="N86" s="14" t="s">
        <v>252</v>
      </c>
    </row>
    <row r="87" spans="2:14" x14ac:dyDescent="0.25">
      <c r="B87" s="9">
        <v>78</v>
      </c>
      <c r="C87" s="16" t="s">
        <v>34</v>
      </c>
      <c r="D87" s="11"/>
      <c r="E87" s="11" t="s">
        <v>147</v>
      </c>
      <c r="F87" s="12" t="s">
        <v>259</v>
      </c>
      <c r="G87" s="12" t="s">
        <v>156</v>
      </c>
      <c r="H87" s="13" t="s">
        <v>260</v>
      </c>
      <c r="I87" s="12"/>
      <c r="J87" s="12"/>
      <c r="K87" s="12"/>
      <c r="L87" s="12"/>
      <c r="M87" s="12"/>
      <c r="N87" s="14" t="s">
        <v>261</v>
      </c>
    </row>
    <row r="88" spans="2:14" x14ac:dyDescent="0.25">
      <c r="B88" s="9">
        <v>79</v>
      </c>
      <c r="C88" s="16" t="s">
        <v>34</v>
      </c>
      <c r="D88" s="11"/>
      <c r="E88" s="11"/>
      <c r="F88" s="11" t="s">
        <v>262</v>
      </c>
      <c r="G88" s="12" t="s">
        <v>263</v>
      </c>
      <c r="H88" s="13" t="s">
        <v>264</v>
      </c>
      <c r="I88" s="12"/>
      <c r="J88" s="12"/>
      <c r="K88" s="12"/>
      <c r="L88" s="12"/>
      <c r="M88" s="12"/>
      <c r="N88" s="14" t="s">
        <v>261</v>
      </c>
    </row>
    <row r="89" spans="2:14" x14ac:dyDescent="0.25">
      <c r="B89" s="9">
        <v>80</v>
      </c>
      <c r="C89" s="16" t="s">
        <v>34</v>
      </c>
      <c r="D89" s="11"/>
      <c r="E89" s="11"/>
      <c r="F89" s="11"/>
      <c r="G89" s="12" t="s">
        <v>265</v>
      </c>
      <c r="H89" s="13" t="s">
        <v>266</v>
      </c>
      <c r="I89" s="12"/>
      <c r="J89" s="12"/>
      <c r="K89" s="12"/>
      <c r="L89" s="12"/>
      <c r="M89" s="12"/>
      <c r="N89" s="14" t="s">
        <v>261</v>
      </c>
    </row>
    <row r="90" spans="2:14" x14ac:dyDescent="0.25">
      <c r="B90" s="9">
        <v>81</v>
      </c>
      <c r="C90" s="16" t="s">
        <v>34</v>
      </c>
      <c r="D90" s="11"/>
      <c r="E90" s="11"/>
      <c r="F90" s="12" t="s">
        <v>142</v>
      </c>
      <c r="G90" s="12" t="s">
        <v>140</v>
      </c>
      <c r="H90" s="13" t="s">
        <v>162</v>
      </c>
      <c r="I90" s="12"/>
      <c r="J90" s="12"/>
      <c r="K90" s="12"/>
      <c r="L90" s="12"/>
      <c r="M90" s="12"/>
      <c r="N90" s="14" t="s">
        <v>261</v>
      </c>
    </row>
    <row r="91" spans="2:14" x14ac:dyDescent="0.25">
      <c r="B91" s="9">
        <v>82</v>
      </c>
      <c r="C91" s="16" t="s">
        <v>34</v>
      </c>
      <c r="D91" s="11"/>
      <c r="E91" s="11"/>
      <c r="F91" s="12" t="s">
        <v>144</v>
      </c>
      <c r="G91" s="12" t="s">
        <v>145</v>
      </c>
      <c r="H91" s="13" t="s">
        <v>267</v>
      </c>
      <c r="I91" s="12"/>
      <c r="J91" s="12"/>
      <c r="K91" s="12"/>
      <c r="L91" s="12"/>
      <c r="M91" s="12"/>
      <c r="N91" s="14" t="s">
        <v>261</v>
      </c>
    </row>
    <row r="92" spans="2:14" x14ac:dyDescent="0.25">
      <c r="B92" s="9">
        <v>83</v>
      </c>
      <c r="C92" s="10" t="s">
        <v>22</v>
      </c>
      <c r="D92" s="11"/>
      <c r="E92" s="11"/>
      <c r="F92" s="12" t="s">
        <v>268</v>
      </c>
      <c r="G92" s="12" t="s">
        <v>148</v>
      </c>
      <c r="H92" s="13" t="s">
        <v>269</v>
      </c>
      <c r="I92" s="12"/>
      <c r="J92" s="12"/>
      <c r="K92" s="12"/>
      <c r="L92" s="12"/>
      <c r="M92" s="12"/>
      <c r="N92" s="14" t="s">
        <v>270</v>
      </c>
    </row>
    <row r="93" spans="2:14" x14ac:dyDescent="0.25">
      <c r="B93" s="9">
        <v>84</v>
      </c>
      <c r="C93" s="16" t="s">
        <v>34</v>
      </c>
      <c r="D93" s="11"/>
      <c r="E93" s="11" t="s">
        <v>172</v>
      </c>
      <c r="F93" s="12" t="s">
        <v>271</v>
      </c>
      <c r="G93" s="12" t="s">
        <v>272</v>
      </c>
      <c r="H93" s="13" t="s">
        <v>273</v>
      </c>
      <c r="I93" s="12"/>
      <c r="J93" s="12"/>
      <c r="K93" s="12"/>
      <c r="L93" s="12"/>
      <c r="M93" s="12"/>
      <c r="N93" s="14" t="s">
        <v>274</v>
      </c>
    </row>
    <row r="94" spans="2:14" x14ac:dyDescent="0.25">
      <c r="B94" s="9">
        <v>85</v>
      </c>
      <c r="C94" s="16" t="s">
        <v>34</v>
      </c>
      <c r="D94" s="11"/>
      <c r="E94" s="11"/>
      <c r="F94" s="12" t="s">
        <v>275</v>
      </c>
      <c r="G94" s="12" t="s">
        <v>272</v>
      </c>
      <c r="H94" s="13" t="s">
        <v>276</v>
      </c>
      <c r="I94" s="12"/>
      <c r="J94" s="12"/>
      <c r="K94" s="12"/>
      <c r="L94" s="12"/>
      <c r="M94" s="12"/>
      <c r="N94" s="14" t="s">
        <v>274</v>
      </c>
    </row>
    <row r="95" spans="2:14" x14ac:dyDescent="0.25">
      <c r="B95" s="9">
        <v>86</v>
      </c>
      <c r="C95" s="16" t="s">
        <v>34</v>
      </c>
      <c r="D95" s="11"/>
      <c r="E95" s="11"/>
      <c r="F95" s="12" t="s">
        <v>277</v>
      </c>
      <c r="G95" s="12" t="s">
        <v>272</v>
      </c>
      <c r="H95" s="13" t="s">
        <v>278</v>
      </c>
      <c r="I95" s="12"/>
      <c r="J95" s="12"/>
      <c r="K95" s="12"/>
      <c r="L95" s="12"/>
      <c r="M95" s="12"/>
      <c r="N95" s="14" t="s">
        <v>274</v>
      </c>
    </row>
    <row r="96" spans="2:14" x14ac:dyDescent="0.25">
      <c r="B96" s="9">
        <v>87</v>
      </c>
      <c r="C96" s="10" t="s">
        <v>22</v>
      </c>
      <c r="D96" s="11" t="s">
        <v>279</v>
      </c>
      <c r="E96" s="12" t="s">
        <v>25</v>
      </c>
      <c r="F96" s="12" t="s">
        <v>280</v>
      </c>
      <c r="G96" s="12" t="s">
        <v>26</v>
      </c>
      <c r="H96" s="13" t="s">
        <v>281</v>
      </c>
      <c r="I96" s="12"/>
      <c r="J96" s="12"/>
      <c r="K96" s="12"/>
      <c r="L96" s="12"/>
      <c r="M96" s="12"/>
      <c r="N96" s="14" t="s">
        <v>282</v>
      </c>
    </row>
    <row r="97" spans="2:14" x14ac:dyDescent="0.25">
      <c r="B97" s="9">
        <v>88</v>
      </c>
      <c r="C97" s="15" t="s">
        <v>29</v>
      </c>
      <c r="D97" s="11"/>
      <c r="E97" s="11" t="s">
        <v>76</v>
      </c>
      <c r="F97" s="12" t="s">
        <v>31</v>
      </c>
      <c r="G97" s="12" t="s">
        <v>32</v>
      </c>
      <c r="H97" s="13" t="s">
        <v>283</v>
      </c>
      <c r="I97" s="12"/>
      <c r="J97" s="12"/>
      <c r="K97" s="12"/>
      <c r="L97" s="12"/>
      <c r="M97" s="12"/>
      <c r="N97" s="14" t="s">
        <v>282</v>
      </c>
    </row>
    <row r="98" spans="2:14" x14ac:dyDescent="0.25">
      <c r="B98" s="9">
        <v>89</v>
      </c>
      <c r="C98" s="16" t="s">
        <v>34</v>
      </c>
      <c r="D98" s="11"/>
      <c r="E98" s="11"/>
      <c r="F98" s="12" t="s">
        <v>35</v>
      </c>
      <c r="G98" s="12" t="s">
        <v>36</v>
      </c>
      <c r="H98" s="13" t="s">
        <v>284</v>
      </c>
      <c r="I98" s="12"/>
      <c r="J98" s="12"/>
      <c r="K98" s="12"/>
      <c r="L98" s="12"/>
      <c r="M98" s="12"/>
      <c r="N98" s="14" t="s">
        <v>282</v>
      </c>
    </row>
    <row r="99" spans="2:14" x14ac:dyDescent="0.25">
      <c r="B99" s="9">
        <v>90</v>
      </c>
      <c r="C99" s="16" t="s">
        <v>34</v>
      </c>
      <c r="D99" s="11"/>
      <c r="E99" s="11" t="s">
        <v>285</v>
      </c>
      <c r="F99" s="12" t="s">
        <v>286</v>
      </c>
      <c r="G99" s="12" t="s">
        <v>287</v>
      </c>
      <c r="H99" s="13" t="s">
        <v>288</v>
      </c>
      <c r="I99" s="12"/>
      <c r="J99" s="12"/>
      <c r="K99" s="12"/>
      <c r="L99" s="12"/>
      <c r="M99" s="12"/>
      <c r="N99" s="14" t="s">
        <v>289</v>
      </c>
    </row>
    <row r="100" spans="2:14" x14ac:dyDescent="0.25">
      <c r="B100" s="9">
        <v>91</v>
      </c>
      <c r="C100" s="16" t="s">
        <v>34</v>
      </c>
      <c r="D100" s="11"/>
      <c r="E100" s="11"/>
      <c r="F100" s="11" t="s">
        <v>290</v>
      </c>
      <c r="G100" s="12" t="s">
        <v>291</v>
      </c>
      <c r="H100" s="13" t="s">
        <v>292</v>
      </c>
      <c r="I100" s="12"/>
      <c r="J100" s="12"/>
      <c r="K100" s="12"/>
      <c r="L100" s="12"/>
      <c r="M100" s="12"/>
      <c r="N100" s="14" t="s">
        <v>289</v>
      </c>
    </row>
    <row r="101" spans="2:14" x14ac:dyDescent="0.25">
      <c r="B101" s="9">
        <v>92</v>
      </c>
      <c r="C101" s="10" t="s">
        <v>22</v>
      </c>
      <c r="D101" s="11"/>
      <c r="E101" s="11"/>
      <c r="F101" s="11"/>
      <c r="G101" s="12" t="s">
        <v>293</v>
      </c>
      <c r="H101" s="13" t="s">
        <v>294</v>
      </c>
      <c r="I101" s="12"/>
      <c r="J101" s="12"/>
      <c r="K101" s="12"/>
      <c r="L101" s="12"/>
      <c r="M101" s="12"/>
      <c r="N101" s="14" t="s">
        <v>289</v>
      </c>
    </row>
    <row r="102" spans="2:14" x14ac:dyDescent="0.25">
      <c r="B102" s="9">
        <v>93</v>
      </c>
      <c r="C102" s="16" t="s">
        <v>34</v>
      </c>
      <c r="D102" s="11"/>
      <c r="E102" s="11"/>
      <c r="F102" s="12" t="s">
        <v>295</v>
      </c>
      <c r="G102" s="12" t="s">
        <v>26</v>
      </c>
      <c r="H102" s="13" t="s">
        <v>296</v>
      </c>
      <c r="I102" s="12"/>
      <c r="J102" s="12"/>
      <c r="K102" s="12"/>
      <c r="L102" s="12"/>
      <c r="M102" s="12"/>
      <c r="N102" s="14" t="s">
        <v>297</v>
      </c>
    </row>
    <row r="103" spans="2:14" x14ac:dyDescent="0.25">
      <c r="B103" s="9">
        <v>94</v>
      </c>
      <c r="C103" s="16" t="s">
        <v>34</v>
      </c>
      <c r="D103" s="11"/>
      <c r="E103" s="11"/>
      <c r="F103" s="12" t="s">
        <v>298</v>
      </c>
      <c r="G103" s="12" t="s">
        <v>26</v>
      </c>
      <c r="H103" s="13" t="s">
        <v>299</v>
      </c>
      <c r="I103" s="12"/>
      <c r="J103" s="12"/>
      <c r="K103" s="12"/>
      <c r="L103" s="12"/>
      <c r="M103" s="12"/>
      <c r="N103" s="14" t="s">
        <v>297</v>
      </c>
    </row>
    <row r="104" spans="2:14" x14ac:dyDescent="0.25">
      <c r="B104" s="9">
        <v>95</v>
      </c>
      <c r="C104" s="10" t="s">
        <v>22</v>
      </c>
      <c r="D104" s="11" t="s">
        <v>300</v>
      </c>
      <c r="E104" s="12" t="s">
        <v>25</v>
      </c>
      <c r="F104" s="12" t="s">
        <v>301</v>
      </c>
      <c r="G104" s="12" t="s">
        <v>26</v>
      </c>
      <c r="H104" s="13" t="s">
        <v>302</v>
      </c>
      <c r="I104" s="12"/>
      <c r="J104" s="12"/>
      <c r="K104" s="12"/>
      <c r="L104" s="12"/>
      <c r="M104" s="12"/>
      <c r="N104" s="14" t="s">
        <v>303</v>
      </c>
    </row>
    <row r="105" spans="2:14" x14ac:dyDescent="0.25">
      <c r="B105" s="9">
        <v>96</v>
      </c>
      <c r="C105" s="15" t="s">
        <v>29</v>
      </c>
      <c r="D105" s="11"/>
      <c r="E105" s="11" t="s">
        <v>76</v>
      </c>
      <c r="F105" s="12" t="s">
        <v>31</v>
      </c>
      <c r="G105" s="12" t="s">
        <v>32</v>
      </c>
      <c r="H105" s="13" t="s">
        <v>304</v>
      </c>
      <c r="I105" s="12"/>
      <c r="J105" s="12"/>
      <c r="K105" s="12"/>
      <c r="L105" s="12"/>
      <c r="M105" s="12"/>
      <c r="N105" s="14" t="s">
        <v>303</v>
      </c>
    </row>
    <row r="106" spans="2:14" x14ac:dyDescent="0.25">
      <c r="B106" s="9">
        <v>97</v>
      </c>
      <c r="C106" s="16" t="s">
        <v>34</v>
      </c>
      <c r="D106" s="11"/>
      <c r="E106" s="11"/>
      <c r="F106" s="12" t="s">
        <v>35</v>
      </c>
      <c r="G106" s="12" t="s">
        <v>36</v>
      </c>
      <c r="H106" s="13" t="s">
        <v>305</v>
      </c>
      <c r="I106" s="12"/>
      <c r="J106" s="12"/>
      <c r="K106" s="12"/>
      <c r="L106" s="12"/>
      <c r="M106" s="12"/>
      <c r="N106" s="14" t="s">
        <v>303</v>
      </c>
    </row>
    <row r="107" spans="2:14" x14ac:dyDescent="0.25">
      <c r="B107" s="9">
        <v>98</v>
      </c>
      <c r="C107" s="16" t="s">
        <v>34</v>
      </c>
      <c r="D107" s="11"/>
      <c r="E107" s="11" t="s">
        <v>306</v>
      </c>
      <c r="F107" s="12" t="s">
        <v>307</v>
      </c>
      <c r="G107" s="12" t="s">
        <v>308</v>
      </c>
      <c r="H107" s="13" t="s">
        <v>309</v>
      </c>
      <c r="I107" s="12"/>
      <c r="J107" s="12"/>
      <c r="K107" s="12"/>
      <c r="L107" s="12"/>
      <c r="M107" s="12"/>
      <c r="N107" s="14" t="s">
        <v>310</v>
      </c>
    </row>
    <row r="108" spans="2:14" x14ac:dyDescent="0.25">
      <c r="B108" s="9">
        <v>99</v>
      </c>
      <c r="C108" s="16" t="s">
        <v>34</v>
      </c>
      <c r="D108" s="11"/>
      <c r="E108" s="11"/>
      <c r="F108" s="12" t="s">
        <v>69</v>
      </c>
      <c r="G108" s="12" t="s">
        <v>311</v>
      </c>
      <c r="H108" s="13" t="s">
        <v>312</v>
      </c>
      <c r="I108" s="12"/>
      <c r="J108" s="12"/>
      <c r="K108" s="12"/>
      <c r="L108" s="12"/>
      <c r="M108" s="12"/>
      <c r="N108" s="14" t="s">
        <v>310</v>
      </c>
    </row>
    <row r="109" spans="2:14" x14ac:dyDescent="0.25">
      <c r="B109" s="9">
        <v>100</v>
      </c>
      <c r="C109" s="16" t="s">
        <v>34</v>
      </c>
      <c r="D109" s="11"/>
      <c r="E109" s="11"/>
      <c r="F109" s="12" t="s">
        <v>313</v>
      </c>
      <c r="G109" s="12" t="s">
        <v>314</v>
      </c>
      <c r="H109" s="13" t="s">
        <v>315</v>
      </c>
      <c r="I109" s="12"/>
      <c r="J109" s="12"/>
      <c r="K109" s="12"/>
      <c r="L109" s="12"/>
      <c r="M109" s="12"/>
      <c r="N109" s="14" t="s">
        <v>316</v>
      </c>
    </row>
    <row r="110" spans="2:14" x14ac:dyDescent="0.25">
      <c r="B110" s="9">
        <v>101</v>
      </c>
      <c r="C110" s="10" t="s">
        <v>22</v>
      </c>
      <c r="D110" s="11"/>
      <c r="E110" s="12" t="s">
        <v>317</v>
      </c>
      <c r="F110" s="12" t="s">
        <v>318</v>
      </c>
      <c r="G110" s="12" t="s">
        <v>319</v>
      </c>
      <c r="H110" s="13" t="s">
        <v>320</v>
      </c>
      <c r="I110" s="12"/>
      <c r="J110" s="12"/>
      <c r="K110" s="12"/>
      <c r="L110" s="12"/>
      <c r="M110" s="12"/>
      <c r="N110" s="14" t="s">
        <v>316</v>
      </c>
    </row>
  </sheetData>
  <mergeCells count="39">
    <mergeCell ref="D10:D24"/>
    <mergeCell ref="E11:E13"/>
    <mergeCell ref="E14:E15"/>
    <mergeCell ref="E16:E21"/>
    <mergeCell ref="F19:F21"/>
    <mergeCell ref="E22:E24"/>
    <mergeCell ref="D25:D57"/>
    <mergeCell ref="E25:E26"/>
    <mergeCell ref="E27:E29"/>
    <mergeCell ref="E30:E33"/>
    <mergeCell ref="E34:E41"/>
    <mergeCell ref="F34:F36"/>
    <mergeCell ref="F37:F40"/>
    <mergeCell ref="E42:E44"/>
    <mergeCell ref="E45:E48"/>
    <mergeCell ref="E49:E54"/>
    <mergeCell ref="E55:E56"/>
    <mergeCell ref="D58:D76"/>
    <mergeCell ref="E58:E63"/>
    <mergeCell ref="E64:E65"/>
    <mergeCell ref="E66:E76"/>
    <mergeCell ref="F67:F70"/>
    <mergeCell ref="F71:F72"/>
    <mergeCell ref="F73:F75"/>
    <mergeCell ref="D77:D95"/>
    <mergeCell ref="E77:E78"/>
    <mergeCell ref="E79:E80"/>
    <mergeCell ref="E81:E86"/>
    <mergeCell ref="F82:F86"/>
    <mergeCell ref="E87:E92"/>
    <mergeCell ref="F88:F89"/>
    <mergeCell ref="E93:E95"/>
    <mergeCell ref="D96:D103"/>
    <mergeCell ref="E97:E98"/>
    <mergeCell ref="E99:E103"/>
    <mergeCell ref="F100:F101"/>
    <mergeCell ref="D104:D110"/>
    <mergeCell ref="E105:E106"/>
    <mergeCell ref="E107:E109"/>
  </mergeCells>
  <dataValidations count="1">
    <dataValidation type="list" allowBlank="1" showErrorMessage="1" errorTitle="잘못된 값" error="Pass, Fail, N/T, Block 중 하나를 선택하세요." sqref="I10:J110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테스트2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2026-05-11T07:16:43Z</dcterms:created>
  <dcterms:modified xsi:type="dcterms:W3CDTF">2026-05-11T07:16:43Z</dcterms:modified>
</cp:coreProperties>
</file>