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스트3" state="visible" r:id="rId4"/>
  </sheets>
  <calcPr calcId="171027"/>
</workbook>
</file>

<file path=xl/sharedStrings.xml><?xml version="1.0" encoding="utf-8"?>
<sst xmlns="http://schemas.openxmlformats.org/spreadsheetml/2006/main" count="419" uniqueCount="238">
  <si>
    <t>(C)테스트3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</si>
  <si>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</si>
  <si>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</si>
  <si>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</si>
  <si>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</si>
  <si>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</si>
  <si>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</si>
  <si>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</si>
  <si>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</si>
  <si>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</si>
  <si>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</si>
  <si>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</si>
  <si>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</si>
  <si>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</si>
  <si>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</si>
  <si>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</si>
  <si>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</si>
  <si>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</si>
  <si>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</si>
  <si>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</si>
  <si>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</si>
  <si>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</si>
  <si>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</si>
  <si>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레이드 모드 진입</t>
  </si>
  <si>
    <t>모드 선택 영역</t>
  </si>
  <si>
    <t>싱글/멀티 토글</t>
  </si>
  <si>
    <t>토글 버튼 동작</t>
  </si>
  <si>
    <t>상단 싱글/멀티 전환 토글 버튼 터치 시, 선택된 모드로 토글 상태가 변경된다</t>
  </si>
  <si>
    <t>참고 화면: 레이드 모드 진입 화면</t>
  </si>
  <si>
    <t>Normal</t>
  </si>
  <si>
    <t>기본값 설정</t>
  </si>
  <si>
    <t>레이드 모드 진입 화면 최초 진입 시, 싱글 모드가 기본 선택된 상태로 표시된다</t>
  </si>
  <si>
    <t>화면 반영</t>
  </si>
  <si>
    <t>토글 선택 후 레이드 로비 진입 시, 해당 모드의 화면이 반영되어 표시된다</t>
  </si>
  <si>
    <t>보스 정보 표시</t>
  </si>
  <si>
    <t>보스 카드 출력</t>
  </si>
  <si>
    <t>보스 카드 영역에 보스 포트레이트, 보스 명칭, 보스 이름이 표시된다</t>
  </si>
  <si>
    <t>드랍 정보 표시</t>
  </si>
  <si>
    <t>보스 카드에 최대 3종의 슈퍼에픽 등급 세트 정보가 표시된다</t>
  </si>
  <si>
    <t>인기 태그 표시</t>
  </si>
  <si>
    <t>데이터 테이블에 인기 태그가 지정된 장비에 인기 태그가 표시된다</t>
  </si>
  <si>
    <t>배경 이미지 표시</t>
  </si>
  <si>
    <t>보스 등장 스테이지 배경 이미지가 표시된다</t>
  </si>
  <si>
    <t>잠금 상태 표시</t>
  </si>
  <si>
    <t>해금되지 않은 보스는 잠금 아이콘과 함께 표시된다</t>
  </si>
  <si>
    <t>장비 아이콘 팝업</t>
  </si>
  <si>
    <t>장비 아이콘 터치 시, 해당 장비의 세부 정보를 표시하는 팝업이 출력된다</t>
  </si>
  <si>
    <t>장비 아이콘 슬라이드</t>
  </si>
  <si>
    <t>표시할 장비 아이콘이 3개 이상인 경우, 좌우 슬라이드 형태로 표시된다</t>
  </si>
  <si>
    <t>Critical</t>
  </si>
  <si>
    <t>보스 선택 및 진입</t>
  </si>
  <si>
    <t>보스 카드 선택</t>
  </si>
  <si>
    <t>카드 터치 동작</t>
  </si>
  <si>
    <t>보스 카드 또는 입장하기 버튼 터치 시, 해당 보스의 레이드 모드 로비 화면으로 전환된다</t>
  </si>
  <si>
    <t>잠금 보스 터치</t>
  </si>
  <si>
    <t>잠금된 보스 카드 터치 시, 해금 조건을 안내하는 메시지가 출력된다</t>
  </si>
  <si>
    <t>카드 터치 효과음</t>
  </si>
  <si>
    <t>보스 카드 터치 시, 터치 효과음이 출력된다</t>
  </si>
  <si>
    <t>입장 횟수 표시</t>
  </si>
  <si>
    <t>각 보스 카드에 잔여 입장 횟수가 표시된다</t>
  </si>
  <si>
    <t>레이드 모드 로비</t>
  </si>
  <si>
    <t>기본 정보 영역</t>
  </si>
  <si>
    <t>모드 전환 토글</t>
  </si>
  <si>
    <t>싱글/멀티 토글 동작</t>
  </si>
  <si>
    <t>상단 싱글/멀티 토글 버튼 터치 시, 선택된 모드에 따라 화면 구성이 변경된다</t>
  </si>
  <si>
    <t>참고 화면: 레이드 모드 로비</t>
  </si>
  <si>
    <t>멀티 모드 전환</t>
  </si>
  <si>
    <t>멀티 모드 선택 시, 2인 멀티 플레이 화면으로 변경된다</t>
  </si>
  <si>
    <t>보스 이름 출력</t>
  </si>
  <si>
    <t>보스 정보 표시 영역에 보스 명칭과 이름이 출력된다</t>
  </si>
  <si>
    <t>보스 포트레이트 출력</t>
  </si>
  <si>
    <t>보스 정보 표시 영역에 보스 포트레이트가 출력된다</t>
  </si>
  <si>
    <t>보스 등장 정보에 따른 배경 이미지가 표시된다</t>
  </si>
  <si>
    <t>드랍 정보 팝업</t>
  </si>
  <si>
    <t>보스 드랍 도움 정보 버튼 클릭 시, 해당 보스의 정보를 출력하는 팝업이 표시된다</t>
  </si>
  <si>
    <t>난이도 관리</t>
  </si>
  <si>
    <t>난이도 변경 버튼</t>
  </si>
  <si>
    <t>현재 난이도 표시</t>
  </si>
  <si>
    <t>난이도 변경 버튼 영역에 현재 난이도에 대한 정보가 표시된다</t>
  </si>
  <si>
    <t>변경 팝업 출력</t>
  </si>
  <si>
    <t>난이도 변경 버튼 클릭 시, 보스/난이도를 변경할 수 있는 팝업이 출력된다</t>
  </si>
  <si>
    <t>팝업 토글 동작</t>
  </si>
  <si>
    <t>변경 팝업 출력 상태에서 버튼을 다시 클릭하거나 닫기 동작 시, 변경 팝업이 숨겨진다</t>
  </si>
  <si>
    <t>보스/난이도 변경 팝업</t>
  </si>
  <si>
    <t>보스 변경 기능</t>
  </si>
  <si>
    <t>팝업 상단의 보스 버튼 클릭 시, stage_id 순서로 보스를 변경할 수 있다</t>
  </si>
  <si>
    <t>난이도 단계 선택</t>
  </si>
  <si>
    <t>단계 패널에서 진입할 단계를 클릭하여 난이도를 변경할 수 있다</t>
  </si>
  <si>
    <t>단계별 정보 표시</t>
  </si>
  <si>
    <t>단계 버튼에 단계명과 해당 난이도의 입장 전투력이 표시된다</t>
  </si>
  <si>
    <t>연동 난이도 변경</t>
  </si>
  <si>
    <t>특정 난이도 단계 선택 시, 모든 보스가 동일한 단계로 변경되어 표시된다</t>
  </si>
  <si>
    <t>빠른 난이도 변경</t>
  </si>
  <si>
    <t>버튼 활성화 조건</t>
  </si>
  <si>
    <t>입장 전투력을 만족하고 이전 난이도를 클리어한 경우, 빠른 난이도 변경 버튼이 활성화된다</t>
  </si>
  <si>
    <t>입장 전투력 부족 토스트</t>
  </si>
  <si>
    <t>입장 전투력 미달 시 버튼 터치하면, '영웅이 모자랄 때 사용 가능합니다' 토스트 메시지가 출력된다</t>
  </si>
  <si>
    <t>이전 난이도 미클리어 토스트</t>
  </si>
  <si>
    <t>이전 난이도 미클리어 시 버튼 터치하면, '이전 난이도를 클리어해야 도전할 수 있습니다' 토스트 메시지가 출력된다</t>
  </si>
  <si>
    <t>스테이지 정보</t>
  </si>
  <si>
    <t>인게임 정보 표시</t>
  </si>
  <si>
    <t>입장 전투력 표시</t>
  </si>
  <si>
    <t>스테이지 인게임 정보 표시 영역에 입장 전투력이 표시된다</t>
  </si>
  <si>
    <t>추천 속성 표시</t>
  </si>
  <si>
    <t>스테이지 인게임 정보 표시 영역에 추천 속성이 표시된다</t>
  </si>
  <si>
    <t>입장 조건 표시</t>
  </si>
  <si>
    <t>스테이지 인게임 정보 표시 영역에 입장 조건이 표시된다</t>
  </si>
  <si>
    <t>입장 불가 처리</t>
  </si>
  <si>
    <t>입장 전투력이 부족한 경우, 해당 난이도를 플레이할 수 없음을 표시한다</t>
  </si>
  <si>
    <t>보상 시스템</t>
  </si>
  <si>
    <t>보상 정보 영역</t>
  </si>
  <si>
    <t>보상 정보 출력</t>
  </si>
  <si>
    <t>보상 정보 표시 영역에 해당 보스의 보상 정보가 출력된다</t>
  </si>
  <si>
    <t>상세 팝업 진입</t>
  </si>
  <si>
    <t>보상 정보 영역 터치 시, 상세 보상 정보를 표시하는 팝업이 출력된다</t>
  </si>
  <si>
    <t>보상 상세 팝업</t>
  </si>
  <si>
    <t>보스별 보상 확인</t>
  </si>
  <si>
    <t>보상 상세 팝업에서 상단 좌우 버튼으로 보스를 변경하여 보상 정보를 확인할 수 있다</t>
  </si>
  <si>
    <t>기본 보스 표시</t>
  </si>
  <si>
    <t>보상 상세 팝업 진입 시, 현재 입장한 보스가 기본으로 표시된다</t>
  </si>
  <si>
    <t>난이도별 보상 표시</t>
  </si>
  <si>
    <t>하단 난이도 버튼을 통해 난이도별 보상 정보를 확인할 수 있다</t>
  </si>
  <si>
    <t>클리어 기본 보상</t>
  </si>
  <si>
    <t>난이도별 보상 정보에 클리어 기본 보상이 표시된다</t>
  </si>
  <si>
    <t>클리어 연결 보상</t>
  </si>
  <si>
    <t>난이도별 보상 정보에 클리어 연결 보상이 표시된다</t>
  </si>
  <si>
    <t>게임 시작</t>
  </si>
  <si>
    <t>Play 버튼</t>
  </si>
  <si>
    <t>인게임 진입</t>
  </si>
  <si>
    <t>Play 버튼 터치 시, 레이드 인게임으로 진입된다</t>
  </si>
  <si>
    <t>배수 설정 기능</t>
  </si>
  <si>
    <t>배수 설정 버튼을 클릭하여 1회 플레이에 티켓을 몇 장까지 소모할지 선택할 수 있다</t>
  </si>
  <si>
    <t>기본 배수 제한</t>
  </si>
  <si>
    <t>기본적으로 1회 플레이에 최대 3장까지 소모 가능하다</t>
  </si>
  <si>
    <t>매수 구매 배수</t>
  </si>
  <si>
    <t>매수 구매시 최대 5/6장까지 소모 가능하다</t>
  </si>
  <si>
    <t>조건 검증 처리</t>
  </si>
  <si>
    <t>입장 조건을 만족하지 않는 경우, Play 버튼이 비활성화되고 해당 토스트 메시지가 출력된다</t>
  </si>
  <si>
    <t>버튼 터치 효과음</t>
  </si>
  <si>
    <t>Play 버튼 터치 시, 효과음이 출력된다</t>
  </si>
  <si>
    <t>로딩 화면 연출</t>
  </si>
  <si>
    <t>Play 버튼 터치 후 로딩 화면 연출이 재생된다</t>
  </si>
  <si>
    <t>레이드 인게임</t>
  </si>
  <si>
    <t>인게임 진행</t>
  </si>
  <si>
    <t>드랍 연출 시스템</t>
  </si>
  <si>
    <t>기존 연출 제거</t>
  </si>
  <si>
    <t>기존 코코방울 연출이 제거되고 새로운 드랍 연출이 적용된다</t>
  </si>
  <si>
    <t>참고 화면: 레이드 인게임</t>
  </si>
  <si>
    <t>새로운 드랍 표시</t>
  </si>
  <si>
    <t>보스에게서 아이템이 드랍되는 형태로 드랍 연출이 표시된다</t>
  </si>
  <si>
    <t>연출 시간</t>
  </si>
  <si>
    <t>드랍 연출이 약 3초간 재생된다</t>
  </si>
  <si>
    <t>기능 제거 확인</t>
  </si>
  <si>
    <t>코코방울 축복 제거</t>
  </si>
  <si>
    <t>코코방울의 축복 기능이 제거되어 관련 UI가 표시되지 않는다</t>
  </si>
  <si>
    <t>트로피 포인트 제거</t>
  </si>
  <si>
    <t>트로피 포인트 기능이 제거되어 관련 UI가 표시되지 않는다</t>
  </si>
  <si>
    <t>랜덤 상자 제거</t>
  </si>
  <si>
    <t>랜덤 상자 관련 기능이 제거되어 관련 UI가 표시되지 않는다</t>
  </si>
  <si>
    <t>다시하기 기능 제거</t>
  </si>
  <si>
    <t>다시하기 기능이 제거되어 다시하기 버튼이 표시되지 않는다</t>
  </si>
  <si>
    <t>클리어 결과</t>
  </si>
  <si>
    <t>획득 아이템 표시</t>
  </si>
  <si>
    <t>아이템 목록 출력</t>
  </si>
  <si>
    <t>보스 처치 후 획득 아이템 목록이 표시된다</t>
  </si>
  <si>
    <t>아이템 분류 표시</t>
  </si>
  <si>
    <t>장비, 잠재력 항아리, 설계도, 조각, 연금 항아리가 각각 id별로 구분되어 표시된다</t>
  </si>
  <si>
    <t>아이템 클릭 팝업</t>
  </si>
  <si>
    <t>아이템 클릭 시, 해당 아이템의 툴팁이 출력된다</t>
  </si>
  <si>
    <t>12종 표시 최적화</t>
  </si>
  <si>
    <t>12종 아이템 표시 최적화로 구현되어 화면에 표시된다</t>
  </si>
  <si>
    <t>스크롤 기능</t>
  </si>
  <si>
    <t>획득 아이템이 12종을 초과하는 경우, 스크롤 가능하도록 스크롤 리스트로 표시된다</t>
  </si>
  <si>
    <t>결과 화면 이동</t>
  </si>
  <si>
    <t>나가기 버튼 동작</t>
  </si>
  <si>
    <t>나가기 버튼 터치 시, 레이드 모드 로비 화면으로 이동된다</t>
  </si>
  <si>
    <t>CLEAR 화면 연출</t>
  </si>
  <si>
    <t>보스 클리어 시 CLEAR 연출이 재생된다</t>
  </si>
  <si>
    <t>챌린지 레이드 모드</t>
  </si>
  <si>
    <t>챌린지 로비</t>
  </si>
  <si>
    <t>보스 진열 영역</t>
  </si>
  <si>
    <t>챌린지 보스 표시</t>
  </si>
  <si>
    <t>챌린지 레이드 보스들이 카드 형태의 리스트로 표시된다</t>
  </si>
  <si>
    <t>참고 화면: 챌린지 레이드 모드 로비</t>
  </si>
  <si>
    <t>보상 정보 표시</t>
  </si>
  <si>
    <t>각 챌린지 카드에 보상 아이콘이 표시된다</t>
  </si>
  <si>
    <t>상세 보상 팝업에서 상단 좌우 버튼으로 보스를 변경할 수 있다</t>
  </si>
  <si>
    <t>난이도별 보상</t>
  </si>
  <si>
    <t>입장 시스템</t>
  </si>
  <si>
    <t>Play 버튼 동작</t>
  </si>
  <si>
    <t>Play 버튼 터치 시, 챌린지 레이드 인게임으로 진입된다</t>
  </si>
  <si>
    <t>배수 설정 팝업</t>
  </si>
  <si>
    <t>배수 설정 버튼 클릭 시, 한번 플레이에 티켓을 몇 장까지 소모할지 선택하는 팝업이 출력된다</t>
  </si>
  <si>
    <t>이전 난이도를 클리어하지 않은 상태로 Play 버튼 터치 시, '이전 난이도를 클리어해야 도전할 수 있습니다' 토스트가 출력된다</t>
  </si>
  <si>
    <t>트로피 기능 제거</t>
  </si>
  <si>
    <t>트로피 상자 기능이 제거되어 관련 UI가 표시되지 않는다</t>
  </si>
  <si>
    <t>무지개 상자 제거</t>
  </si>
  <si>
    <t>무지개 상자 지급 이벤트가 제거되어 관련 UI가 표시되지 않는다</t>
  </si>
  <si>
    <t>일반 레이드 랭킹 제거</t>
  </si>
  <si>
    <t>일반 레이드의 랭킹 진입 버튼이 제거되어 표시되지 않는다</t>
  </si>
  <si>
    <t>멀티플레이 시스템</t>
  </si>
  <si>
    <t>2인 멀티 적용</t>
  </si>
  <si>
    <t>매칭 시스템 변경</t>
  </si>
  <si>
    <t>기존 4인 멀티플레이에서 2인 멀티플레이로 변경된다</t>
  </si>
  <si>
    <t>어비스 던전 방식 적용</t>
  </si>
  <si>
    <t>어비스 던전과 동일한 방식으로 2인 멀티플레이가 적용된다</t>
  </si>
  <si>
    <t>지인 초대 방식</t>
  </si>
  <si>
    <t>매칭 없이 지인 베이스 초대 멀티 방식으로 변경된다</t>
  </si>
  <si>
    <t>제작소</t>
  </si>
  <si>
    <t>제작소 메인</t>
  </si>
  <si>
    <t>메뉴 구성 변경</t>
  </si>
  <si>
    <t>장비 연금 메뉴 추가</t>
  </si>
  <si>
    <t>제작소에 장비 연금 진입 메뉴 버튼이 추가된다</t>
  </si>
  <si>
    <t>참고 화면: 제작소 화면</t>
  </si>
  <si>
    <t>메뉴 정렬 순서</t>
  </si>
  <si>
    <t>메뉴 정렬 순서가 장비 제작, 장비 연금, 아티팩트 제작, 아이템 제작 순으로 변경된다</t>
  </si>
  <si>
    <t>장비 연금</t>
  </si>
  <si>
    <t>연금 화면 진입</t>
  </si>
  <si>
    <t>연금 메뉴 터치</t>
  </si>
  <si>
    <t>장비 연금 메뉴 버튼 클릭 시, 장비 연금 화면으로 진입된다</t>
  </si>
  <si>
    <t>기존 이벤트 연동</t>
  </si>
  <si>
    <t>기능 및 UI 플로우는 기존 연금술 이벤트와 동일하게 동작한다</t>
  </si>
  <si>
    <t>카운트다운 표시</t>
  </si>
  <si>
    <t>장비 연금 카드에 카운트다운 표시가 출력된다</t>
  </si>
  <si>
    <t>탑레벨 UI</t>
  </si>
  <si>
    <t>탑레벨 진입</t>
  </si>
  <si>
    <t>메뉴 트리 표시</t>
  </si>
  <si>
    <t>레이드 모드 표시</t>
  </si>
  <si>
    <t>탑레벨 메뉴 트리에서 레이드 모드가 표시된다</t>
  </si>
  <si>
    <t>참고 화면: 레이드 모드 탑레벨 화면</t>
  </si>
  <si>
    <t>레이드 모드에 입장 횟수가 표시된다</t>
  </si>
  <si>
    <t>보스 리스트 영역</t>
  </si>
  <si>
    <t>보스 정보 출력</t>
  </si>
  <si>
    <t>6종 보스 표시</t>
  </si>
  <si>
    <t>6종 보스 정보가 리스트 형태로 출력된다</t>
  </si>
  <si>
    <t>진입 버튼 동작</t>
  </si>
  <si>
    <t>보스 로비 전환</t>
  </si>
  <si>
    <t>보스 진입 버튼 터치 시, 해당 보스의 레이드 모드 진입 화면으로 전환된다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</si>
</sst>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COUNTIF(I10:I95,"Pass")</f>
      </c>
      <c r="K3" t="s">
        <v>4</v>
      </c>
      <c r="L3">
        <f>COUNTIF(I10:I95,"")</f>
      </c>
      <c r="M3" s="3" t="s">
        <v>3</v>
      </c>
      <c r="N3">
        <f>COUNTIF(J10:J95,"Pass")</f>
      </c>
    </row>
    <row r="4" spans="9:14" x14ac:dyDescent="0.25">
      <c r="I4" s="4" t="s">
        <v>5</v>
      </c>
      <c r="J4">
        <f>COUNTIF(I10:I95,"N/T")</f>
      </c>
      <c r="K4" t="s">
        <v>6</v>
      </c>
      <c r="L4">
        <f>COUNTA(I10:I95)-COUNTIF(I10:I95,"")</f>
      </c>
      <c r="M4" s="4" t="s">
        <v>5</v>
      </c>
      <c r="N4">
        <f>COUNTIF(J10:J95,"N/T")</f>
      </c>
    </row>
    <row r="5" spans="9:14" x14ac:dyDescent="0.25">
      <c r="I5" s="5" t="s">
        <v>7</v>
      </c>
      <c r="J5">
        <f>COUNTIF(I10:I95,"Fail")</f>
      </c>
      <c r="K5" t="s">
        <v>8</v>
      </c>
      <c r="L5">
        <v>86</v>
      </c>
      <c r="M5" s="5" t="s">
        <v>7</v>
      </c>
      <c r="N5">
        <f>COUNTIF(J10:J95,"Fail")</f>
      </c>
    </row>
    <row r="6" spans="9:14" x14ac:dyDescent="0.25">
      <c r="I6" s="6" t="s">
        <v>9</v>
      </c>
      <c r="J6">
        <f>COUNTIF(I10:I95,"Block")</f>
      </c>
      <c r="K6" t="s">
        <v>10</v>
      </c>
      <c r="L6" s="7">
        <f>IF(L5=0,0,L4/L5)</f>
      </c>
      <c r="M6" s="6" t="s">
        <v>9</v>
      </c>
      <c r="N6">
        <f>COUNTIF(J10:J95,"Block")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 t="s">
        <v>34</v>
      </c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5" t="s">
        <v>29</v>
      </c>
      <c r="D15" s="11"/>
      <c r="E15" s="11"/>
      <c r="F15" s="11"/>
      <c r="G15" s="12" t="s">
        <v>39</v>
      </c>
      <c r="H15" s="13" t="s">
        <v>40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5" t="s">
        <v>29</v>
      </c>
      <c r="D16" s="11"/>
      <c r="E16" s="11"/>
      <c r="F16" s="11"/>
      <c r="G16" s="12" t="s">
        <v>41</v>
      </c>
      <c r="H16" s="13" t="s">
        <v>42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43</v>
      </c>
      <c r="H17" s="13" t="s">
        <v>44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45</v>
      </c>
      <c r="H18" s="13" t="s">
        <v>46</v>
      </c>
      <c r="I18" s="12"/>
      <c r="J18" s="12"/>
      <c r="K18" s="12"/>
      <c r="L18" s="12"/>
      <c r="M18" s="12"/>
      <c r="N18" s="14" t="s">
        <v>28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47</v>
      </c>
      <c r="H19" s="13" t="s">
        <v>48</v>
      </c>
      <c r="I19" s="12"/>
      <c r="J19" s="12"/>
      <c r="K19" s="12"/>
      <c r="L19" s="12"/>
      <c r="M19" s="12"/>
      <c r="N19" s="14" t="s">
        <v>28</v>
      </c>
    </row>
    <row r="20" spans="2:14" x14ac:dyDescent="0.25">
      <c r="B20" s="9">
        <v>11</v>
      </c>
      <c r="C20" s="16" t="s">
        <v>49</v>
      </c>
      <c r="D20" s="11"/>
      <c r="E20" s="11" t="s">
        <v>50</v>
      </c>
      <c r="F20" s="11" t="s">
        <v>51</v>
      </c>
      <c r="G20" s="12" t="s">
        <v>52</v>
      </c>
      <c r="H20" s="13" t="s">
        <v>53</v>
      </c>
      <c r="I20" s="12"/>
      <c r="J20" s="12"/>
      <c r="K20" s="12"/>
      <c r="L20" s="12"/>
      <c r="M20" s="12"/>
      <c r="N20" s="14" t="s">
        <v>28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54</v>
      </c>
      <c r="H21" s="13" t="s">
        <v>55</v>
      </c>
      <c r="I21" s="12"/>
      <c r="J21" s="12"/>
      <c r="K21" s="12"/>
      <c r="L21" s="12"/>
      <c r="M21" s="12"/>
      <c r="N21" s="14" t="s">
        <v>28</v>
      </c>
    </row>
    <row r="22" spans="2:14" x14ac:dyDescent="0.25">
      <c r="B22" s="9">
        <v>13</v>
      </c>
      <c r="C22" s="15" t="s">
        <v>29</v>
      </c>
      <c r="D22" s="11"/>
      <c r="E22" s="11"/>
      <c r="F22" s="11"/>
      <c r="G22" s="12" t="s">
        <v>56</v>
      </c>
      <c r="H22" s="13" t="s">
        <v>57</v>
      </c>
      <c r="I22" s="12"/>
      <c r="J22" s="12"/>
      <c r="K22" s="12"/>
      <c r="L22" s="12"/>
      <c r="M22" s="12"/>
      <c r="N22" s="14" t="s">
        <v>28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58</v>
      </c>
      <c r="H23" s="13" t="s">
        <v>59</v>
      </c>
      <c r="I23" s="12"/>
      <c r="J23" s="12"/>
      <c r="K23" s="12"/>
      <c r="L23" s="12"/>
      <c r="M23" s="12"/>
      <c r="N23" s="14" t="s">
        <v>28</v>
      </c>
    </row>
    <row r="24" spans="2:14" x14ac:dyDescent="0.25">
      <c r="B24" s="9">
        <v>15</v>
      </c>
      <c r="C24" s="10" t="s">
        <v>22</v>
      </c>
      <c r="D24" s="11" t="s">
        <v>60</v>
      </c>
      <c r="E24" s="11" t="s">
        <v>61</v>
      </c>
      <c r="F24" s="11" t="s">
        <v>62</v>
      </c>
      <c r="G24" s="12" t="s">
        <v>63</v>
      </c>
      <c r="H24" s="13" t="s">
        <v>64</v>
      </c>
      <c r="I24" s="12"/>
      <c r="J24" s="12"/>
      <c r="K24" s="12"/>
      <c r="L24" s="12"/>
      <c r="M24" s="12"/>
      <c r="N24" s="14" t="s">
        <v>65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66</v>
      </c>
      <c r="H25" s="13" t="s">
        <v>67</v>
      </c>
      <c r="I25" s="12"/>
      <c r="J25" s="12"/>
      <c r="K25" s="12"/>
      <c r="L25" s="12"/>
      <c r="M25" s="12"/>
      <c r="N25" s="14" t="s">
        <v>65</v>
      </c>
    </row>
    <row r="26" spans="2:14" x14ac:dyDescent="0.25">
      <c r="B26" s="9">
        <v>17</v>
      </c>
      <c r="C26" s="10" t="s">
        <v>22</v>
      </c>
      <c r="D26" s="11"/>
      <c r="E26" s="11"/>
      <c r="F26" s="11" t="s">
        <v>34</v>
      </c>
      <c r="G26" s="12" t="s">
        <v>68</v>
      </c>
      <c r="H26" s="13" t="s">
        <v>69</v>
      </c>
      <c r="I26" s="12"/>
      <c r="J26" s="12"/>
      <c r="K26" s="12"/>
      <c r="L26" s="12"/>
      <c r="M26" s="12"/>
      <c r="N26" s="14" t="s">
        <v>65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70</v>
      </c>
      <c r="H27" s="13" t="s">
        <v>71</v>
      </c>
      <c r="I27" s="12"/>
      <c r="J27" s="12"/>
      <c r="K27" s="12"/>
      <c r="L27" s="12"/>
      <c r="M27" s="12"/>
      <c r="N27" s="14" t="s">
        <v>65</v>
      </c>
    </row>
    <row r="28" spans="2:14" x14ac:dyDescent="0.25">
      <c r="B28" s="9">
        <v>19</v>
      </c>
      <c r="C28" s="15" t="s">
        <v>29</v>
      </c>
      <c r="D28" s="11"/>
      <c r="E28" s="11"/>
      <c r="F28" s="11"/>
      <c r="G28" s="12" t="s">
        <v>41</v>
      </c>
      <c r="H28" s="13" t="s">
        <v>72</v>
      </c>
      <c r="I28" s="12"/>
      <c r="J28" s="12"/>
      <c r="K28" s="12"/>
      <c r="L28" s="12"/>
      <c r="M28" s="12"/>
      <c r="N28" s="14" t="s">
        <v>65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73</v>
      </c>
      <c r="H29" s="13" t="s">
        <v>74</v>
      </c>
      <c r="I29" s="12"/>
      <c r="J29" s="12"/>
      <c r="K29" s="12"/>
      <c r="L29" s="12"/>
      <c r="M29" s="12"/>
      <c r="N29" s="14" t="s">
        <v>65</v>
      </c>
    </row>
    <row r="30" spans="2:14" x14ac:dyDescent="0.25">
      <c r="B30" s="9">
        <v>21</v>
      </c>
      <c r="C30" s="10" t="s">
        <v>22</v>
      </c>
      <c r="D30" s="11"/>
      <c r="E30" s="11" t="s">
        <v>75</v>
      </c>
      <c r="F30" s="11" t="s">
        <v>76</v>
      </c>
      <c r="G30" s="12" t="s">
        <v>77</v>
      </c>
      <c r="H30" s="13" t="s">
        <v>78</v>
      </c>
      <c r="I30" s="12"/>
      <c r="J30" s="12"/>
      <c r="K30" s="12"/>
      <c r="L30" s="12"/>
      <c r="M30" s="12"/>
      <c r="N30" s="14" t="s">
        <v>65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79</v>
      </c>
      <c r="H31" s="13" t="s">
        <v>80</v>
      </c>
      <c r="I31" s="12"/>
      <c r="J31" s="12"/>
      <c r="K31" s="12"/>
      <c r="L31" s="12"/>
      <c r="M31" s="12"/>
      <c r="N31" s="14" t="s">
        <v>65</v>
      </c>
    </row>
    <row r="32" spans="2:14" x14ac:dyDescent="0.25">
      <c r="B32" s="9">
        <v>23</v>
      </c>
      <c r="C32" s="15" t="s">
        <v>29</v>
      </c>
      <c r="D32" s="11"/>
      <c r="E32" s="11"/>
      <c r="F32" s="11"/>
      <c r="G32" s="12" t="s">
        <v>81</v>
      </c>
      <c r="H32" s="13" t="s">
        <v>82</v>
      </c>
      <c r="I32" s="12"/>
      <c r="J32" s="12"/>
      <c r="K32" s="12"/>
      <c r="L32" s="12"/>
      <c r="M32" s="12"/>
      <c r="N32" s="14" t="s">
        <v>65</v>
      </c>
    </row>
    <row r="33" spans="2:14" x14ac:dyDescent="0.25">
      <c r="B33" s="9">
        <v>24</v>
      </c>
      <c r="C33" s="10" t="s">
        <v>22</v>
      </c>
      <c r="D33" s="11"/>
      <c r="E33" s="11"/>
      <c r="F33" s="11" t="s">
        <v>83</v>
      </c>
      <c r="G33" s="12" t="s">
        <v>84</v>
      </c>
      <c r="H33" s="13" t="s">
        <v>85</v>
      </c>
      <c r="I33" s="12"/>
      <c r="J33" s="12"/>
      <c r="K33" s="12"/>
      <c r="L33" s="12"/>
      <c r="M33" s="12"/>
      <c r="N33" s="14" t="s">
        <v>65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86</v>
      </c>
      <c r="H34" s="13" t="s">
        <v>87</v>
      </c>
      <c r="I34" s="12"/>
      <c r="J34" s="12"/>
      <c r="K34" s="12"/>
      <c r="L34" s="12"/>
      <c r="M34" s="12"/>
      <c r="N34" s="14" t="s">
        <v>65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88</v>
      </c>
      <c r="H35" s="13" t="s">
        <v>89</v>
      </c>
      <c r="I35" s="12"/>
      <c r="J35" s="12"/>
      <c r="K35" s="12"/>
      <c r="L35" s="12"/>
      <c r="M35" s="12"/>
      <c r="N35" s="14" t="s">
        <v>65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90</v>
      </c>
      <c r="H36" s="13" t="s">
        <v>91</v>
      </c>
      <c r="I36" s="12"/>
      <c r="J36" s="12"/>
      <c r="K36" s="12"/>
      <c r="L36" s="12"/>
      <c r="M36" s="12"/>
      <c r="N36" s="14" t="s">
        <v>65</v>
      </c>
    </row>
    <row r="37" spans="2:14" x14ac:dyDescent="0.25">
      <c r="B37" s="9">
        <v>28</v>
      </c>
      <c r="C37" s="10" t="s">
        <v>22</v>
      </c>
      <c r="D37" s="11"/>
      <c r="E37" s="11"/>
      <c r="F37" s="11" t="s">
        <v>92</v>
      </c>
      <c r="G37" s="12" t="s">
        <v>93</v>
      </c>
      <c r="H37" s="13" t="s">
        <v>94</v>
      </c>
      <c r="I37" s="12"/>
      <c r="J37" s="12"/>
      <c r="K37" s="12"/>
      <c r="L37" s="12"/>
      <c r="M37" s="12"/>
      <c r="N37" s="14" t="s">
        <v>65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95</v>
      </c>
      <c r="H38" s="13" t="s">
        <v>96</v>
      </c>
      <c r="I38" s="12"/>
      <c r="J38" s="12"/>
      <c r="K38" s="12"/>
      <c r="L38" s="12"/>
      <c r="M38" s="12"/>
      <c r="N38" s="14" t="s">
        <v>65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97</v>
      </c>
      <c r="H39" s="13" t="s">
        <v>98</v>
      </c>
      <c r="I39" s="12"/>
      <c r="J39" s="12"/>
      <c r="K39" s="12"/>
      <c r="L39" s="12"/>
      <c r="M39" s="12"/>
      <c r="N39" s="14" t="s">
        <v>65</v>
      </c>
    </row>
    <row r="40" spans="2:14" x14ac:dyDescent="0.25">
      <c r="B40" s="9">
        <v>31</v>
      </c>
      <c r="C40" s="10" t="s">
        <v>22</v>
      </c>
      <c r="D40" s="11"/>
      <c r="E40" s="11" t="s">
        <v>99</v>
      </c>
      <c r="F40" s="11" t="s">
        <v>100</v>
      </c>
      <c r="G40" s="12" t="s">
        <v>101</v>
      </c>
      <c r="H40" s="13" t="s">
        <v>102</v>
      </c>
      <c r="I40" s="12"/>
      <c r="J40" s="12"/>
      <c r="K40" s="12"/>
      <c r="L40" s="12"/>
      <c r="M40" s="12"/>
      <c r="N40" s="14" t="s">
        <v>65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103</v>
      </c>
      <c r="H41" s="13" t="s">
        <v>104</v>
      </c>
      <c r="I41" s="12"/>
      <c r="J41" s="12"/>
      <c r="K41" s="12"/>
      <c r="L41" s="12"/>
      <c r="M41" s="12"/>
      <c r="N41" s="14" t="s">
        <v>65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105</v>
      </c>
      <c r="H42" s="13" t="s">
        <v>106</v>
      </c>
      <c r="I42" s="12"/>
      <c r="J42" s="12"/>
      <c r="K42" s="12"/>
      <c r="L42" s="12"/>
      <c r="M42" s="12"/>
      <c r="N42" s="14" t="s">
        <v>65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107</v>
      </c>
      <c r="H43" s="13" t="s">
        <v>108</v>
      </c>
      <c r="I43" s="12"/>
      <c r="J43" s="12"/>
      <c r="K43" s="12"/>
      <c r="L43" s="12"/>
      <c r="M43" s="12"/>
      <c r="N43" s="14" t="s">
        <v>65</v>
      </c>
    </row>
    <row r="44" spans="2:14" x14ac:dyDescent="0.25">
      <c r="B44" s="9">
        <v>35</v>
      </c>
      <c r="C44" s="10" t="s">
        <v>22</v>
      </c>
      <c r="D44" s="11"/>
      <c r="E44" s="11" t="s">
        <v>109</v>
      </c>
      <c r="F44" s="11" t="s">
        <v>110</v>
      </c>
      <c r="G44" s="12" t="s">
        <v>111</v>
      </c>
      <c r="H44" s="13" t="s">
        <v>112</v>
      </c>
      <c r="I44" s="12"/>
      <c r="J44" s="12"/>
      <c r="K44" s="12"/>
      <c r="L44" s="12"/>
      <c r="M44" s="12"/>
      <c r="N44" s="14" t="s">
        <v>65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113</v>
      </c>
      <c r="H45" s="13" t="s">
        <v>114</v>
      </c>
      <c r="I45" s="12"/>
      <c r="J45" s="12"/>
      <c r="K45" s="12"/>
      <c r="L45" s="12"/>
      <c r="M45" s="12"/>
      <c r="N45" s="14" t="s">
        <v>65</v>
      </c>
    </row>
    <row r="46" spans="2:14" x14ac:dyDescent="0.25">
      <c r="B46" s="9">
        <v>37</v>
      </c>
      <c r="C46" s="10" t="s">
        <v>22</v>
      </c>
      <c r="D46" s="11"/>
      <c r="E46" s="11"/>
      <c r="F46" s="11" t="s">
        <v>115</v>
      </c>
      <c r="G46" s="12" t="s">
        <v>116</v>
      </c>
      <c r="H46" s="13" t="s">
        <v>117</v>
      </c>
      <c r="I46" s="12"/>
      <c r="J46" s="12"/>
      <c r="K46" s="12"/>
      <c r="L46" s="12"/>
      <c r="M46" s="12"/>
      <c r="N46" s="14" t="s">
        <v>65</v>
      </c>
    </row>
    <row r="47" spans="2:14" x14ac:dyDescent="0.25">
      <c r="B47" s="9">
        <v>38</v>
      </c>
      <c r="C47" s="15" t="s">
        <v>29</v>
      </c>
      <c r="D47" s="11"/>
      <c r="E47" s="11"/>
      <c r="F47" s="11"/>
      <c r="G47" s="12" t="s">
        <v>118</v>
      </c>
      <c r="H47" s="13" t="s">
        <v>119</v>
      </c>
      <c r="I47" s="12"/>
      <c r="J47" s="12"/>
      <c r="K47" s="12"/>
      <c r="L47" s="12"/>
      <c r="M47" s="12"/>
      <c r="N47" s="14" t="s">
        <v>65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120</v>
      </c>
      <c r="H48" s="13" t="s">
        <v>121</v>
      </c>
      <c r="I48" s="12"/>
      <c r="J48" s="12"/>
      <c r="K48" s="12"/>
      <c r="L48" s="12"/>
      <c r="M48" s="12"/>
      <c r="N48" s="14" t="s">
        <v>65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122</v>
      </c>
      <c r="H49" s="13" t="s">
        <v>123</v>
      </c>
      <c r="I49" s="12"/>
      <c r="J49" s="12"/>
      <c r="K49" s="12"/>
      <c r="L49" s="12"/>
      <c r="M49" s="12"/>
      <c r="N49" s="14" t="s">
        <v>65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124</v>
      </c>
      <c r="H50" s="13" t="s">
        <v>125</v>
      </c>
      <c r="I50" s="12"/>
      <c r="J50" s="12"/>
      <c r="K50" s="12"/>
      <c r="L50" s="12"/>
      <c r="M50" s="12"/>
      <c r="N50" s="14" t="s">
        <v>65</v>
      </c>
    </row>
    <row r="51" spans="2:14" x14ac:dyDescent="0.25">
      <c r="B51" s="9">
        <v>42</v>
      </c>
      <c r="C51" s="16" t="s">
        <v>49</v>
      </c>
      <c r="D51" s="11"/>
      <c r="E51" s="11" t="s">
        <v>126</v>
      </c>
      <c r="F51" s="11" t="s">
        <v>127</v>
      </c>
      <c r="G51" s="12" t="s">
        <v>128</v>
      </c>
      <c r="H51" s="13" t="s">
        <v>129</v>
      </c>
      <c r="I51" s="12"/>
      <c r="J51" s="12"/>
      <c r="K51" s="12"/>
      <c r="L51" s="12"/>
      <c r="M51" s="12"/>
      <c r="N51" s="14" t="s">
        <v>65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130</v>
      </c>
      <c r="H52" s="13" t="s">
        <v>131</v>
      </c>
      <c r="I52" s="12"/>
      <c r="J52" s="12"/>
      <c r="K52" s="12"/>
      <c r="L52" s="12"/>
      <c r="M52" s="12"/>
      <c r="N52" s="14" t="s">
        <v>65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132</v>
      </c>
      <c r="H53" s="13" t="s">
        <v>133</v>
      </c>
      <c r="I53" s="12"/>
      <c r="J53" s="12"/>
      <c r="K53" s="12"/>
      <c r="L53" s="12"/>
      <c r="M53" s="12"/>
      <c r="N53" s="14" t="s">
        <v>65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134</v>
      </c>
      <c r="H54" s="13" t="s">
        <v>135</v>
      </c>
      <c r="I54" s="12"/>
      <c r="J54" s="12"/>
      <c r="K54" s="12"/>
      <c r="L54" s="12"/>
      <c r="M54" s="12"/>
      <c r="N54" s="14" t="s">
        <v>65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136</v>
      </c>
      <c r="H55" s="13" t="s">
        <v>137</v>
      </c>
      <c r="I55" s="12"/>
      <c r="J55" s="12"/>
      <c r="K55" s="12"/>
      <c r="L55" s="12"/>
      <c r="M55" s="12"/>
      <c r="N55" s="14" t="s">
        <v>65</v>
      </c>
    </row>
    <row r="56" spans="2:14" x14ac:dyDescent="0.25">
      <c r="B56" s="9">
        <v>47</v>
      </c>
      <c r="C56" s="15" t="s">
        <v>29</v>
      </c>
      <c r="D56" s="11"/>
      <c r="E56" s="11"/>
      <c r="F56" s="11"/>
      <c r="G56" s="12" t="s">
        <v>138</v>
      </c>
      <c r="H56" s="13" t="s">
        <v>139</v>
      </c>
      <c r="I56" s="12"/>
      <c r="J56" s="12"/>
      <c r="K56" s="12"/>
      <c r="L56" s="12"/>
      <c r="M56" s="12"/>
      <c r="N56" s="14" t="s">
        <v>65</v>
      </c>
    </row>
    <row r="57" spans="2:14" x14ac:dyDescent="0.25">
      <c r="B57" s="9">
        <v>48</v>
      </c>
      <c r="C57" s="15" t="s">
        <v>29</v>
      </c>
      <c r="D57" s="11"/>
      <c r="E57" s="11"/>
      <c r="F57" s="11"/>
      <c r="G57" s="12" t="s">
        <v>140</v>
      </c>
      <c r="H57" s="13" t="s">
        <v>141</v>
      </c>
      <c r="I57" s="12"/>
      <c r="J57" s="12"/>
      <c r="K57" s="12"/>
      <c r="L57" s="12"/>
      <c r="M57" s="12"/>
      <c r="N57" s="14" t="s">
        <v>65</v>
      </c>
    </row>
    <row r="58" spans="2:14" x14ac:dyDescent="0.25">
      <c r="B58" s="9">
        <v>49</v>
      </c>
      <c r="C58" s="10" t="s">
        <v>22</v>
      </c>
      <c r="D58" s="11" t="s">
        <v>142</v>
      </c>
      <c r="E58" s="11" t="s">
        <v>143</v>
      </c>
      <c r="F58" s="11" t="s">
        <v>144</v>
      </c>
      <c r="G58" s="12" t="s">
        <v>145</v>
      </c>
      <c r="H58" s="13" t="s">
        <v>146</v>
      </c>
      <c r="I58" s="12"/>
      <c r="J58" s="12"/>
      <c r="K58" s="12"/>
      <c r="L58" s="12"/>
      <c r="M58" s="12"/>
      <c r="N58" s="14" t="s">
        <v>147</v>
      </c>
    </row>
    <row r="59" spans="2:14" x14ac:dyDescent="0.25">
      <c r="B59" s="9">
        <v>50</v>
      </c>
      <c r="C59" s="15" t="s">
        <v>29</v>
      </c>
      <c r="D59" s="11"/>
      <c r="E59" s="11"/>
      <c r="F59" s="11"/>
      <c r="G59" s="12" t="s">
        <v>148</v>
      </c>
      <c r="H59" s="13" t="s">
        <v>149</v>
      </c>
      <c r="I59" s="12"/>
      <c r="J59" s="12"/>
      <c r="K59" s="12"/>
      <c r="L59" s="12"/>
      <c r="M59" s="12"/>
      <c r="N59" s="14" t="s">
        <v>147</v>
      </c>
    </row>
    <row r="60" spans="2:14" x14ac:dyDescent="0.25">
      <c r="B60" s="9">
        <v>51</v>
      </c>
      <c r="C60" s="15" t="s">
        <v>29</v>
      </c>
      <c r="D60" s="11"/>
      <c r="E60" s="11"/>
      <c r="F60" s="11"/>
      <c r="G60" s="12" t="s">
        <v>150</v>
      </c>
      <c r="H60" s="13" t="s">
        <v>151</v>
      </c>
      <c r="I60" s="12"/>
      <c r="J60" s="12"/>
      <c r="K60" s="12"/>
      <c r="L60" s="12"/>
      <c r="M60" s="12"/>
      <c r="N60" s="14" t="s">
        <v>147</v>
      </c>
    </row>
    <row r="61" spans="2:14" x14ac:dyDescent="0.25">
      <c r="B61" s="9">
        <v>52</v>
      </c>
      <c r="C61" s="10" t="s">
        <v>22</v>
      </c>
      <c r="D61" s="11"/>
      <c r="E61" s="11"/>
      <c r="F61" s="11" t="s">
        <v>152</v>
      </c>
      <c r="G61" s="12" t="s">
        <v>153</v>
      </c>
      <c r="H61" s="13" t="s">
        <v>154</v>
      </c>
      <c r="I61" s="12"/>
      <c r="J61" s="12"/>
      <c r="K61" s="12"/>
      <c r="L61" s="12"/>
      <c r="M61" s="12"/>
      <c r="N61" s="14" t="s">
        <v>147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155</v>
      </c>
      <c r="H62" s="13" t="s">
        <v>156</v>
      </c>
      <c r="I62" s="12"/>
      <c r="J62" s="12"/>
      <c r="K62" s="12"/>
      <c r="L62" s="12"/>
      <c r="M62" s="12"/>
      <c r="N62" s="14" t="s">
        <v>147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157</v>
      </c>
      <c r="H63" s="13" t="s">
        <v>158</v>
      </c>
      <c r="I63" s="12"/>
      <c r="J63" s="12"/>
      <c r="K63" s="12"/>
      <c r="L63" s="12"/>
      <c r="M63" s="12"/>
      <c r="N63" s="14" t="s">
        <v>147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159</v>
      </c>
      <c r="H64" s="13" t="s">
        <v>160</v>
      </c>
      <c r="I64" s="12"/>
      <c r="J64" s="12"/>
      <c r="K64" s="12"/>
      <c r="L64" s="12"/>
      <c r="M64" s="12"/>
      <c r="N64" s="14" t="s">
        <v>147</v>
      </c>
    </row>
    <row r="65" spans="2:14" x14ac:dyDescent="0.25">
      <c r="B65" s="9">
        <v>56</v>
      </c>
      <c r="C65" s="16" t="s">
        <v>49</v>
      </c>
      <c r="D65" s="11"/>
      <c r="E65" s="11" t="s">
        <v>161</v>
      </c>
      <c r="F65" s="11" t="s">
        <v>162</v>
      </c>
      <c r="G65" s="12" t="s">
        <v>163</v>
      </c>
      <c r="H65" s="13" t="s">
        <v>164</v>
      </c>
      <c r="I65" s="12"/>
      <c r="J65" s="12"/>
      <c r="K65" s="12"/>
      <c r="L65" s="12"/>
      <c r="M65" s="12"/>
      <c r="N65" s="14" t="s">
        <v>147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165</v>
      </c>
      <c r="H66" s="13" t="s">
        <v>166</v>
      </c>
      <c r="I66" s="12"/>
      <c r="J66" s="12"/>
      <c r="K66" s="12"/>
      <c r="L66" s="12"/>
      <c r="M66" s="12"/>
      <c r="N66" s="14" t="s">
        <v>147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167</v>
      </c>
      <c r="H67" s="13" t="s">
        <v>168</v>
      </c>
      <c r="I67" s="12"/>
      <c r="J67" s="12"/>
      <c r="K67" s="12"/>
      <c r="L67" s="12"/>
      <c r="M67" s="12"/>
      <c r="N67" s="14" t="s">
        <v>147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169</v>
      </c>
      <c r="H68" s="13" t="s">
        <v>170</v>
      </c>
      <c r="I68" s="12"/>
      <c r="J68" s="12"/>
      <c r="K68" s="12"/>
      <c r="L68" s="12"/>
      <c r="M68" s="12"/>
      <c r="N68" s="14" t="s">
        <v>147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171</v>
      </c>
      <c r="H69" s="13" t="s">
        <v>172</v>
      </c>
      <c r="I69" s="12"/>
      <c r="J69" s="12"/>
      <c r="K69" s="12"/>
      <c r="L69" s="12"/>
      <c r="M69" s="12"/>
      <c r="N69" s="14" t="s">
        <v>147</v>
      </c>
    </row>
    <row r="70" spans="2:14" x14ac:dyDescent="0.25">
      <c r="B70" s="9">
        <v>61</v>
      </c>
      <c r="C70" s="16" t="s">
        <v>49</v>
      </c>
      <c r="D70" s="11"/>
      <c r="E70" s="11"/>
      <c r="F70" s="11" t="s">
        <v>173</v>
      </c>
      <c r="G70" s="12" t="s">
        <v>174</v>
      </c>
      <c r="H70" s="13" t="s">
        <v>175</v>
      </c>
      <c r="I70" s="12"/>
      <c r="J70" s="12"/>
      <c r="K70" s="12"/>
      <c r="L70" s="12"/>
      <c r="M70" s="12"/>
      <c r="N70" s="14" t="s">
        <v>147</v>
      </c>
    </row>
    <row r="71" spans="2:14" x14ac:dyDescent="0.25">
      <c r="B71" s="9">
        <v>62</v>
      </c>
      <c r="C71" s="15" t="s">
        <v>29</v>
      </c>
      <c r="D71" s="11"/>
      <c r="E71" s="11"/>
      <c r="F71" s="11"/>
      <c r="G71" s="12" t="s">
        <v>176</v>
      </c>
      <c r="H71" s="13" t="s">
        <v>177</v>
      </c>
      <c r="I71" s="12"/>
      <c r="J71" s="12"/>
      <c r="K71" s="12"/>
      <c r="L71" s="12"/>
      <c r="M71" s="12"/>
      <c r="N71" s="14" t="s">
        <v>147</v>
      </c>
    </row>
    <row r="72" spans="2:14" x14ac:dyDescent="0.25">
      <c r="B72" s="9">
        <v>63</v>
      </c>
      <c r="C72" s="10" t="s">
        <v>22</v>
      </c>
      <c r="D72" s="11" t="s">
        <v>178</v>
      </c>
      <c r="E72" s="11" t="s">
        <v>179</v>
      </c>
      <c r="F72" s="11" t="s">
        <v>180</v>
      </c>
      <c r="G72" s="12" t="s">
        <v>181</v>
      </c>
      <c r="H72" s="13" t="s">
        <v>182</v>
      </c>
      <c r="I72" s="12"/>
      <c r="J72" s="12"/>
      <c r="K72" s="12"/>
      <c r="L72" s="12"/>
      <c r="M72" s="12"/>
      <c r="N72" s="14" t="s">
        <v>183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184</v>
      </c>
      <c r="H73" s="13" t="s">
        <v>185</v>
      </c>
      <c r="I73" s="12"/>
      <c r="J73" s="12"/>
      <c r="K73" s="12"/>
      <c r="L73" s="12"/>
      <c r="M73" s="12"/>
      <c r="N73" s="14" t="s">
        <v>183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115</v>
      </c>
      <c r="H74" s="13" t="s">
        <v>114</v>
      </c>
      <c r="I74" s="12"/>
      <c r="J74" s="12"/>
      <c r="K74" s="12"/>
      <c r="L74" s="12"/>
      <c r="M74" s="12"/>
      <c r="N74" s="14" t="s">
        <v>183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116</v>
      </c>
      <c r="H75" s="13" t="s">
        <v>186</v>
      </c>
      <c r="I75" s="12"/>
      <c r="J75" s="12"/>
      <c r="K75" s="12"/>
      <c r="L75" s="12"/>
      <c r="M75" s="12"/>
      <c r="N75" s="14" t="s">
        <v>183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187</v>
      </c>
      <c r="H76" s="13" t="s">
        <v>121</v>
      </c>
      <c r="I76" s="12"/>
      <c r="J76" s="12"/>
      <c r="K76" s="12"/>
      <c r="L76" s="12"/>
      <c r="M76" s="12"/>
      <c r="N76" s="14" t="s">
        <v>183</v>
      </c>
    </row>
    <row r="77" spans="2:14" x14ac:dyDescent="0.25">
      <c r="B77" s="9">
        <v>68</v>
      </c>
      <c r="C77" s="16" t="s">
        <v>49</v>
      </c>
      <c r="D77" s="11"/>
      <c r="E77" s="11"/>
      <c r="F77" s="11" t="s">
        <v>188</v>
      </c>
      <c r="G77" s="12" t="s">
        <v>189</v>
      </c>
      <c r="H77" s="13" t="s">
        <v>190</v>
      </c>
      <c r="I77" s="12"/>
      <c r="J77" s="12"/>
      <c r="K77" s="12"/>
      <c r="L77" s="12"/>
      <c r="M77" s="12"/>
      <c r="N77" s="14" t="s">
        <v>183</v>
      </c>
    </row>
    <row r="78" spans="2:14" x14ac:dyDescent="0.25">
      <c r="B78" s="9">
        <v>69</v>
      </c>
      <c r="C78" s="10" t="s">
        <v>22</v>
      </c>
      <c r="D78" s="11"/>
      <c r="E78" s="11"/>
      <c r="F78" s="11"/>
      <c r="G78" s="12" t="s">
        <v>191</v>
      </c>
      <c r="H78" s="13" t="s">
        <v>192</v>
      </c>
      <c r="I78" s="12"/>
      <c r="J78" s="12"/>
      <c r="K78" s="12"/>
      <c r="L78" s="12"/>
      <c r="M78" s="12"/>
      <c r="N78" s="14" t="s">
        <v>183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97</v>
      </c>
      <c r="H79" s="13" t="s">
        <v>193</v>
      </c>
      <c r="I79" s="12"/>
      <c r="J79" s="12"/>
      <c r="K79" s="12"/>
      <c r="L79" s="12"/>
      <c r="M79" s="12"/>
      <c r="N79" s="14" t="s">
        <v>183</v>
      </c>
    </row>
    <row r="80" spans="2:14" x14ac:dyDescent="0.25">
      <c r="B80" s="9">
        <v>71</v>
      </c>
      <c r="C80" s="10" t="s">
        <v>22</v>
      </c>
      <c r="D80" s="11"/>
      <c r="E80" s="11"/>
      <c r="F80" s="11" t="s">
        <v>152</v>
      </c>
      <c r="G80" s="12" t="s">
        <v>153</v>
      </c>
      <c r="H80" s="13" t="s">
        <v>154</v>
      </c>
      <c r="I80" s="12"/>
      <c r="J80" s="12"/>
      <c r="K80" s="12"/>
      <c r="L80" s="12"/>
      <c r="M80" s="12"/>
      <c r="N80" s="14" t="s">
        <v>183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194</v>
      </c>
      <c r="H81" s="13" t="s">
        <v>195</v>
      </c>
      <c r="I81" s="12"/>
      <c r="J81" s="12"/>
      <c r="K81" s="12"/>
      <c r="L81" s="12"/>
      <c r="M81" s="12"/>
      <c r="N81" s="14" t="s">
        <v>183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196</v>
      </c>
      <c r="H82" s="13" t="s">
        <v>197</v>
      </c>
      <c r="I82" s="12"/>
      <c r="J82" s="12"/>
      <c r="K82" s="12"/>
      <c r="L82" s="12"/>
      <c r="M82" s="12"/>
      <c r="N82" s="14" t="s">
        <v>183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198</v>
      </c>
      <c r="H83" s="13" t="s">
        <v>199</v>
      </c>
      <c r="I83" s="12"/>
      <c r="J83" s="12"/>
      <c r="K83" s="12"/>
      <c r="L83" s="12"/>
      <c r="M83" s="12"/>
      <c r="N83" s="14" t="s">
        <v>183</v>
      </c>
    </row>
    <row r="84" spans="2:14" x14ac:dyDescent="0.25">
      <c r="B84" s="9">
        <v>75</v>
      </c>
      <c r="C84" s="10" t="s">
        <v>22</v>
      </c>
      <c r="D84" s="11"/>
      <c r="E84" s="11" t="s">
        <v>200</v>
      </c>
      <c r="F84" s="11" t="s">
        <v>201</v>
      </c>
      <c r="G84" s="12" t="s">
        <v>202</v>
      </c>
      <c r="H84" s="13" t="s">
        <v>203</v>
      </c>
      <c r="I84" s="12"/>
      <c r="J84" s="12"/>
      <c r="K84" s="12"/>
      <c r="L84" s="12"/>
      <c r="M84" s="12"/>
      <c r="N84" s="14" t="s">
        <v>183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204</v>
      </c>
      <c r="H85" s="13" t="s">
        <v>205</v>
      </c>
      <c r="I85" s="12"/>
      <c r="J85" s="12"/>
      <c r="K85" s="12"/>
      <c r="L85" s="12"/>
      <c r="M85" s="12"/>
      <c r="N85" s="14" t="s">
        <v>183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206</v>
      </c>
      <c r="H86" s="13" t="s">
        <v>207</v>
      </c>
      <c r="I86" s="12"/>
      <c r="J86" s="12"/>
      <c r="K86" s="12"/>
      <c r="L86" s="12"/>
      <c r="M86" s="12"/>
      <c r="N86" s="14" t="s">
        <v>183</v>
      </c>
    </row>
    <row r="87" spans="2:14" x14ac:dyDescent="0.25">
      <c r="B87" s="9">
        <v>78</v>
      </c>
      <c r="C87" s="10" t="s">
        <v>22</v>
      </c>
      <c r="D87" s="11" t="s">
        <v>208</v>
      </c>
      <c r="E87" s="11" t="s">
        <v>209</v>
      </c>
      <c r="F87" s="11" t="s">
        <v>210</v>
      </c>
      <c r="G87" s="12" t="s">
        <v>211</v>
      </c>
      <c r="H87" s="13" t="s">
        <v>212</v>
      </c>
      <c r="I87" s="12"/>
      <c r="J87" s="12"/>
      <c r="K87" s="12"/>
      <c r="L87" s="12"/>
      <c r="M87" s="12"/>
      <c r="N87" s="14" t="s">
        <v>213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214</v>
      </c>
      <c r="H88" s="13" t="s">
        <v>215</v>
      </c>
      <c r="I88" s="12"/>
      <c r="J88" s="12"/>
      <c r="K88" s="12"/>
      <c r="L88" s="12"/>
      <c r="M88" s="12"/>
      <c r="N88" s="14" t="s">
        <v>213</v>
      </c>
    </row>
    <row r="89" spans="2:14" x14ac:dyDescent="0.25">
      <c r="B89" s="9">
        <v>80</v>
      </c>
      <c r="C89" s="16" t="s">
        <v>49</v>
      </c>
      <c r="D89" s="11"/>
      <c r="E89" s="11" t="s">
        <v>216</v>
      </c>
      <c r="F89" s="11" t="s">
        <v>217</v>
      </c>
      <c r="G89" s="12" t="s">
        <v>218</v>
      </c>
      <c r="H89" s="13" t="s">
        <v>219</v>
      </c>
      <c r="I89" s="12"/>
      <c r="J89" s="12"/>
      <c r="K89" s="12"/>
      <c r="L89" s="12"/>
      <c r="M89" s="12"/>
      <c r="N89" s="14" t="s">
        <v>213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220</v>
      </c>
      <c r="H90" s="13" t="s">
        <v>221</v>
      </c>
      <c r="I90" s="12"/>
      <c r="J90" s="12"/>
      <c r="K90" s="12"/>
      <c r="L90" s="12"/>
      <c r="M90" s="12"/>
      <c r="N90" s="14" t="s">
        <v>213</v>
      </c>
    </row>
    <row r="91" spans="2:14" x14ac:dyDescent="0.25">
      <c r="B91" s="9">
        <v>82</v>
      </c>
      <c r="C91" s="15" t="s">
        <v>29</v>
      </c>
      <c r="D91" s="11"/>
      <c r="E91" s="11"/>
      <c r="F91" s="11"/>
      <c r="G91" s="12" t="s">
        <v>222</v>
      </c>
      <c r="H91" s="13" t="s">
        <v>223</v>
      </c>
      <c r="I91" s="12"/>
      <c r="J91" s="12"/>
      <c r="K91" s="12"/>
      <c r="L91" s="12"/>
      <c r="M91" s="12"/>
      <c r="N91" s="14" t="s">
        <v>213</v>
      </c>
    </row>
    <row r="92" spans="2:14" x14ac:dyDescent="0.25">
      <c r="B92" s="9">
        <v>83</v>
      </c>
      <c r="C92" s="10" t="s">
        <v>22</v>
      </c>
      <c r="D92" s="11" t="s">
        <v>224</v>
      </c>
      <c r="E92" s="11" t="s">
        <v>225</v>
      </c>
      <c r="F92" s="11" t="s">
        <v>226</v>
      </c>
      <c r="G92" s="12" t="s">
        <v>227</v>
      </c>
      <c r="H92" s="13" t="s">
        <v>228</v>
      </c>
      <c r="I92" s="12"/>
      <c r="J92" s="12"/>
      <c r="K92" s="12"/>
      <c r="L92" s="12"/>
      <c r="M92" s="12"/>
      <c r="N92" s="14" t="s">
        <v>229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58</v>
      </c>
      <c r="H93" s="13" t="s">
        <v>230</v>
      </c>
      <c r="I93" s="12"/>
      <c r="J93" s="12"/>
      <c r="K93" s="12"/>
      <c r="L93" s="12"/>
      <c r="M93" s="12"/>
      <c r="N93" s="14" t="s">
        <v>229</v>
      </c>
    </row>
    <row r="94" spans="2:14" x14ac:dyDescent="0.25">
      <c r="B94" s="9">
        <v>85</v>
      </c>
      <c r="C94" s="16" t="s">
        <v>49</v>
      </c>
      <c r="D94" s="11"/>
      <c r="E94" s="11" t="s">
        <v>231</v>
      </c>
      <c r="F94" s="12" t="s">
        <v>232</v>
      </c>
      <c r="G94" s="12" t="s">
        <v>233</v>
      </c>
      <c r="H94" s="13" t="s">
        <v>234</v>
      </c>
      <c r="I94" s="12"/>
      <c r="J94" s="12"/>
      <c r="K94" s="12"/>
      <c r="L94" s="12"/>
      <c r="M94" s="12"/>
      <c r="N94" s="14" t="s">
        <v>229</v>
      </c>
    </row>
    <row r="95" spans="2:14" x14ac:dyDescent="0.25">
      <c r="B95" s="9">
        <v>86</v>
      </c>
      <c r="C95" s="16" t="s">
        <v>49</v>
      </c>
      <c r="D95" s="11"/>
      <c r="E95" s="11"/>
      <c r="F95" s="12" t="s">
        <v>235</v>
      </c>
      <c r="G95" s="12" t="s">
        <v>236</v>
      </c>
      <c r="H95" s="13" t="s">
        <v>237</v>
      </c>
      <c r="I95" s="12"/>
      <c r="J95" s="12"/>
      <c r="K95" s="12"/>
      <c r="L95" s="12"/>
      <c r="M95" s="12"/>
      <c r="N95" s="14" t="s">
        <v>229</v>
      </c>
    </row>
  </sheetData>
  <mergeCells count="44">
    <mergeCell ref="D10:D23"/>
    <mergeCell ref="E10:E19"/>
    <mergeCell ref="F10:F12"/>
    <mergeCell ref="F13:F19"/>
    <mergeCell ref="E20:E23"/>
    <mergeCell ref="F20:F23"/>
    <mergeCell ref="D24:D57"/>
    <mergeCell ref="E24:E29"/>
    <mergeCell ref="F24:F25"/>
    <mergeCell ref="F26:F29"/>
    <mergeCell ref="E30:E39"/>
    <mergeCell ref="F30:F32"/>
    <mergeCell ref="F33:F36"/>
    <mergeCell ref="F37:F39"/>
    <mergeCell ref="E40:E43"/>
    <mergeCell ref="F40:F43"/>
    <mergeCell ref="E44:E50"/>
    <mergeCell ref="F44:F45"/>
    <mergeCell ref="F46:F50"/>
    <mergeCell ref="E51:E57"/>
    <mergeCell ref="F51:F57"/>
    <mergeCell ref="D58:D71"/>
    <mergeCell ref="E58:E64"/>
    <mergeCell ref="F58:F60"/>
    <mergeCell ref="F61:F64"/>
    <mergeCell ref="E65:E71"/>
    <mergeCell ref="F65:F69"/>
    <mergeCell ref="F70:F71"/>
    <mergeCell ref="D72:D86"/>
    <mergeCell ref="E72:E83"/>
    <mergeCell ref="F72:F76"/>
    <mergeCell ref="F77:F79"/>
    <mergeCell ref="F80:F83"/>
    <mergeCell ref="E84:E86"/>
    <mergeCell ref="F84:F86"/>
    <mergeCell ref="D87:D91"/>
    <mergeCell ref="E87:E88"/>
    <mergeCell ref="F87:F88"/>
    <mergeCell ref="E89:E91"/>
    <mergeCell ref="F89:F91"/>
    <mergeCell ref="D92:D95"/>
    <mergeCell ref="E92:E93"/>
    <mergeCell ref="F92:F93"/>
    <mergeCell ref="E94:E95"/>
  </mergeCells>
  <dataValidations count="1">
    <dataValidation type="list" allowBlank="1" showErrorMessage="1" errorTitle="잘못된 값" error="Pass, Fail, N/T, Block 중 하나를 선택하세요." sqref="I10:J95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2026-05-11T07:58:30Z</dcterms:created>
  <dcterms:modified xsi:type="dcterms:W3CDTF">2026-05-11T07:58:30Z</dcterms:modified>
</cp:coreProperties>
</file>