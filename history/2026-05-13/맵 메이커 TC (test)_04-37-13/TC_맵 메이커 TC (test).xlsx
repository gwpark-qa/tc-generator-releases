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맵 메이커 TC (test)" state="visible" r:id="rId4"/>
  </sheets>
  <calcPr calcId="171027"/>
</workbook>
</file>

<file path=xl/sharedStrings.xml><?xml version="1.0" encoding="utf-8"?>
<sst xmlns="http://schemas.openxmlformats.org/spreadsheetml/2006/main" count="408" uniqueCount="252">
  <si>
    <t>(C)맵 메이커 TC (test)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</si>
  <si>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</si>
  <si>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</si>
  <si>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</si>
  <si>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</si>
  <si>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</si>
  <si>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</si>
  <si>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</si>
  <si>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</si>
  <si>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</si>
  <si>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</si>
  <si>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</si>
  <si>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</si>
  <si>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</si>
  <si>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</si>
  <si>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</si>
  <si>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</si>
  <si>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</si>
  <si>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</si>
  <si>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</si>
  <si>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</si>
  <si>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</si>
  <si>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</si>
  <si>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맵 메이커</t>
  </si>
  <si>
    <t>모드 리스트</t>
  </si>
  <si>
    <t>모드 카드 영역</t>
  </si>
  <si>
    <t>맵 메이커 카드 선택</t>
  </si>
  <si>
    <t>모드 리스트에서 맵 메이커 카드 터치 시, 맵 메이커 모드 선택 화면으로 전환된다.</t>
  </si>
  <si>
    <t>참고 화면: 흐름 1단계 모드리스트</t>
  </si>
  <si>
    <t>맵 메이커 모드 선택 화면</t>
  </si>
  <si>
    <t>모드 선택 영역</t>
  </si>
  <si>
    <t>타이틀 출력</t>
  </si>
  <si>
    <t>맵 메이커 모드 선택 화면 진입 시, 상단에 '맵 메이커' 타이틀이 출력된다.</t>
  </si>
  <si>
    <t>참고 화면: 흐름 2단계 맵메이커 모드 선택 화면</t>
  </si>
  <si>
    <t>만들기 버튼 출력</t>
  </si>
  <si>
    <t>맵 메이커 모드 선택 화면에서 '만들기' 버튼이 출력된다.</t>
  </si>
  <si>
    <t>Critical</t>
  </si>
  <si>
    <t>만들기 버튼 동작</t>
  </si>
  <si>
    <t>맵 메이커 모드 선택 화면에서 '만들기' 버튼 터치 시, 만들기 모드 메인(나의 맵 목록) 화면으로 전환된다.</t>
  </si>
  <si>
    <t>참고 화면: 흐름 2단계 → 흐름 3단계</t>
  </si>
  <si>
    <t>달리기 버튼 출력</t>
  </si>
  <si>
    <t>맵 메이커 모드 선택 화면에서 '달리기' 버튼이 출력된다.</t>
  </si>
  <si>
    <t>참고 화면: 흐름 2단계 (달리기 모드는 다음 TF 예정)</t>
  </si>
  <si>
    <t>Normal</t>
  </si>
  <si>
    <t>화면 이탈</t>
  </si>
  <si>
    <t>뒤로가기</t>
  </si>
  <si>
    <t>맵 메이커 모드 선택 화면에서 뒤로가기 시, 모드 리스트 화면으로 복귀된다.</t>
  </si>
  <si>
    <t>참고 화면: 흐름 2단계</t>
  </si>
  <si>
    <t>만들기 모드 메인</t>
  </si>
  <si>
    <t>상단 UI</t>
  </si>
  <si>
    <t>재화 출력</t>
  </si>
  <si>
    <t>만들기 모드 메인 화면 상단에 보유 코인(1,000)과 크리스탈(50,000) 재화가 출력된다.</t>
  </si>
  <si>
    <t>참고 화면: 흐름 3단계</t>
  </si>
  <si>
    <t>홈 버튼 출력</t>
  </si>
  <si>
    <t>만들기 모드 메인 화면 상단 우측에 홈 버튼이 출력된다.</t>
  </si>
  <si>
    <t>홈 버튼 동작</t>
  </si>
  <si>
    <t>만들기 모드 메인 화면에서 홈 버튼 터치 시, 메인 로비 또는 이전 화면으로 복귀된다.</t>
  </si>
  <si>
    <t>나의 맵 목록</t>
  </si>
  <si>
    <t>등록 맵 슬롯 출력</t>
  </si>
  <si>
    <t>등록된 맵 슬롯에는 맵 썸네일, 맵 이름, 좋아요 수, 플레이 수, 맵 코드가 출력된다.</t>
  </si>
  <si>
    <t>미등록 맵 슬롯 출력</t>
  </si>
  <si>
    <t>미등록 상태의 맵 슬롯에는 썸네일과 '편집하기' 버튼이 출력되고 평가수는 출력되지 않는다.</t>
  </si>
  <si>
    <t>빈 슬롯 출력</t>
  </si>
  <si>
    <t>비어 있는 맵 슬롯에는 '+' 아이콘과 '만들기' 버튼이 출력된다.</t>
  </si>
  <si>
    <t>빈 슬롯 선택 동작</t>
  </si>
  <si>
    <t>비어 있는 맵 슬롯의 '만들기' 버튼 터치 시, 맵 생성 화면으로 전환된다.</t>
  </si>
  <si>
    <t>참고 화면: 흐름 3단계 → 흐름 4단계</t>
  </si>
  <si>
    <t>등록 맵 슬롯 선택 동작</t>
  </si>
  <si>
    <t>등록된 맵 슬롯 선택 시, 선택 맵 메인 화면으로 전환된다.</t>
  </si>
  <si>
    <t>참고 화면: 흐름 3단계 → 흐름 5단계</t>
  </si>
  <si>
    <t>미등록 맵 슬롯 선택 동작</t>
  </si>
  <si>
    <t>미등록 맵 슬롯의 '편집하기' 버튼 터치 시, 해당 맵의 선택 맵 메인 화면으로 전환된다.</t>
  </si>
  <si>
    <t>잠금 슬롯</t>
  </si>
  <si>
    <t>패키지 잠금 표시</t>
  </si>
  <si>
    <t>구매 전 잠금 상태의 슬롯은 마젠타 색상의 '+' 아이콘으로 출력된다.</t>
  </si>
  <si>
    <t>패키지 구매 진입</t>
  </si>
  <si>
    <t>잠금 상태의 슬롯 터치 시, 슬롯 추가 패키지 구매 안내 팝업이 출력된다.</t>
  </si>
  <si>
    <t>참고 화면: 흐름 3단계 (패키지처럼 판매 가능)</t>
  </si>
  <si>
    <t>맵 카드 텍스트 출력</t>
  </si>
  <si>
    <t>등록된 맵 카드 하단에 맵 이름 텍스트가 출력된다.</t>
  </si>
  <si>
    <t>맵 생성</t>
  </si>
  <si>
    <t>맵 이름 입력 영역</t>
  </si>
  <si>
    <t>입력 처리</t>
  </si>
  <si>
    <t>맵 이름 입력 필드 터치 시, 키보드가 출력되어 텍스트 입력이 가능하다.</t>
  </si>
  <si>
    <t>참고 화면: 흐름 4-1단계</t>
  </si>
  <si>
    <t>글자수 표시</t>
  </si>
  <si>
    <t>맵 이름 입력 필드에 텍스트 입력 시, 입력된 글자수 카운터가 출력된다.</t>
  </si>
  <si>
    <t>placeholder 출력</t>
  </si>
  <si>
    <t>맵 이름 입력 필드 미입력 상태에서 '이름을 입력하세요.' placeholder 텍스트가 출력된다.</t>
  </si>
  <si>
    <t>맵 설명 입력 영역</t>
  </si>
  <si>
    <t>맵 설명 입력 필드 터치 시, 키보드가 출력되어 텍스트 입력이 가능하다.</t>
  </si>
  <si>
    <t>맵 설명 입력 필드에 텍스트 입력 시, 입력된 글자수 카운터가 출력된다.</t>
  </si>
  <si>
    <t>맵 설명 입력 필드 미입력 상태에서 '맵 설명을 입력하세요.' placeholder 텍스트가 출력된다.</t>
  </si>
  <si>
    <t>맵 배경 선택 영역</t>
  </si>
  <si>
    <t>배경 썸네일 출력</t>
  </si>
  <si>
    <t>맵 생성 화면에서 맵 배경 선택 영역에 4종의 배경 썸네일이 출력된다.</t>
  </si>
  <si>
    <t>기본 선택 상태</t>
  </si>
  <si>
    <t>맵 생성 화면 진입 시, 첫 번째 맵 배경 썸네일이 기본 선택(녹색 체크) 상태로 출력된다.</t>
  </si>
  <si>
    <t>배경 선택 동작</t>
  </si>
  <si>
    <t>맵 배경 썸네일 터치 시, 선택된 썸네일에 녹색 체크 표시가 출력되고 기존 선택은 해제된다.</t>
  </si>
  <si>
    <t>샘플 사용하기 팝업</t>
  </si>
  <si>
    <t>팝업 출력</t>
  </si>
  <si>
    <t>맵 생성 화면에서 '샘플 사용하기' 탭 선택 시, 샘플 사용하기 팝업이 출력된다.</t>
  </si>
  <si>
    <t>참고 화면: 흐름 4-2단계</t>
  </si>
  <si>
    <t>샘플 리스트 출력</t>
  </si>
  <si>
    <t>샘플 사용하기 팝업에 EASY/NORMAL/HARD 난이도의 샘플 카드 3종이 출력된다.</t>
  </si>
  <si>
    <t>난이도 배지 출력</t>
  </si>
  <si>
    <t>각 샘플 카드에 난이도별 색상의 배지(EASY-녹색, NORMAL-노랑, HARD-빨강)가 출력된다.</t>
  </si>
  <si>
    <t>사용하기 버튼 동작</t>
  </si>
  <si>
    <t>샘플 카드의 '사용하기' 버튼 터치 시, 선택한 샘플 맵으로 맵 생성 정보가 자동 채워진다.</t>
  </si>
  <si>
    <t>참고 화면: 흐름 4-2 → 4-3단계</t>
  </si>
  <si>
    <t>선택 체크 표시</t>
  </si>
  <si>
    <t>샘플 선택 후 맵 생성 화면에서 선택한 샘플 맵 썸네일에 체크 표시가 출력된다.</t>
  </si>
  <si>
    <t>참고 화면: 흐름 4-3단계</t>
  </si>
  <si>
    <t>생성하기 버튼</t>
  </si>
  <si>
    <t>버튼 비활성화</t>
  </si>
  <si>
    <t>맵 이름 또는 맵 설명이 미입력 상태일 때, '생성하기' 버튼은 비활성화 상태로 출력된다.</t>
  </si>
  <si>
    <t>참고 화면: 흐름 4-1단계 (필수 입력 조건)</t>
  </si>
  <si>
    <t>버튼 활성화</t>
  </si>
  <si>
    <t>맵 이름과 맵 설명이 모두 입력된 상태일 때, '생성하기' 버튼이 활성화(노란색)된다.</t>
  </si>
  <si>
    <t>생성 처리</t>
  </si>
  <si>
    <t>필수 정보 입력 후 '생성하기' 버튼 터치 시, 맵이 생성되어 선택 맵 메인 화면으로 전환된다.</t>
  </si>
  <si>
    <t>참고 화면: 흐름 4-3 → 흐름 5단계</t>
  </si>
  <si>
    <t>닫기 처리</t>
  </si>
  <si>
    <t>맵 생성 화면 종료 시, 만들기 모드 메인(나의 맵 목록) 화면으로 복귀된다.</t>
  </si>
  <si>
    <t>참고 화면: 흐름 4단계</t>
  </si>
  <si>
    <t>글자수 초과 입력</t>
  </si>
  <si>
    <t>맵 이름 입력 시 최대 글자수 초과 입력 시도 시, 추가 입력이 차단된다.</t>
  </si>
  <si>
    <t>참고 화면: 흐름 4-1단계 (예외)</t>
  </si>
  <si>
    <t>맵 설명 입력 시 최대 글자수 초과 입력 시도 시, 추가 입력이 차단된다.</t>
  </si>
  <si>
    <t>선택 맵 메인 화면</t>
  </si>
  <si>
    <t>맵 이름 출력</t>
  </si>
  <si>
    <t>선택 맵 메인 화면 상단 중앙에 선택한 맵의 이름이 출력된다.</t>
  </si>
  <si>
    <t>참고 화면: 흐름 5단계</t>
  </si>
  <si>
    <t>맵 삭제 버튼 출력</t>
  </si>
  <si>
    <t>선택 맵 메인 화면 상단 좌측에 빨간�� '맵 삭제' 버튼이 출력된다.</t>
  </si>
  <si>
    <t>맵 삭제 동작</t>
  </si>
  <si>
    <t>'맵 삭제' 버튼 터치 시, 삭제 확인 팝업이 출력된 후 확인 시 해당 맵 슬롯이 초기화된다.</t>
  </si>
  <si>
    <t>도움말 버튼 동작</t>
  </si>
  <si>
    <t>상단 우측 'i 도움말' 버튼 터치 시, 도움말 팝업이 출력된다.</t>
  </si>
  <si>
    <t>닫기 버튼 동작</t>
  </si>
  <si>
    <t>상단 우측 'X' 닫기 버튼 터치 시, 만들기 모드 메인(나의 맵 목록) 화면으로 복귀된다.</t>
  </si>
  <si>
    <t>맵 정보 영역</t>
  </si>
  <si>
    <t>플레이 설정 출력</t>
  </si>
  <si>
    <t>맵 정보 영역에 카메라 거리(1x/0.8x)와 이동 속도(100%) 정보가 출력된다.</t>
  </si>
  <si>
    <t>추가 규칙 미설정 출력</t>
  </si>
  <si>
    <t>추가 규칙이 설정되지 않은 맵의 경우, 추가 규칙 영역에 '규칙 없음' 텍스트가 출력된다.</t>
  </si>
  <si>
    <t>참고 화면: 흐름 5-A 상태</t>
  </si>
  <si>
    <t>추가 규칙 설정 출력</t>
  </si>
  <si>
    <t>추가 규칙이 설정된 맵의 경우, 추가 규칙 영역에 설정된 규칙 아이콘이 출력된다.</t>
  </si>
  <si>
    <t>참고 화면: 흐름 5-B 상태</t>
  </si>
  <si>
    <t>등록 상태 영역</t>
  </si>
  <si>
    <t>미등록 상태 표시</t>
  </si>
  <si>
    <t>미등록 상태의 맵 진입 시, 상단에 맵 코드와 평가수가 출력되지 않는다.</t>
  </si>
  <si>
    <t>등록됨 코드 출력</t>
  </si>
  <si>
    <t>등록된 맵 진입 시, 상단에 '등록된 맵: ABCDE1234' 형식의 맵 코드가 출력된다.</t>
  </si>
  <si>
    <t>참고 화면: 흐름 5-C 상태</t>
  </si>
  <si>
    <t>코드 복사 동작</t>
  </si>
  <si>
    <t>맵 코드 옆 복사 아이콘 터치 시, 맵 코드가 클립보드에 복사된다.</t>
  </si>
  <si>
    <t>평가수 출력</t>
  </si>
  <si>
    <t>등록된 맵의 경우, 좋아요 수(1,234)와 플레이 수(12,345)가 출력된다.</t>
  </si>
  <si>
    <t>하단 버튼 영역</t>
  </si>
  <si>
    <t>맵 설정 버튼 동작</t>
  </si>
  <si>
    <t>맵 설정(톱니바퀴) 버튼 터치 시, 카메라 거리/이동 속도/추가 규칙을 변경할 수 있는 맵 설정 화면이 출력된다.</t>
  </si>
  <si>
    <t>편집하기 버튼 동작</t>
  </si>
  <si>
    <t>'편집하기' 버튼 터치 시, 맵 에디터 화면으로 전환된다.</t>
  </si>
  <si>
    <t>등록 테스트 버튼 동작</t>
  </si>
  <si>
    <t>'등록 테스트' 버튼 터치 시, 등록 전 테스트 플레이를 위한 인게임 로딩 화면으로 전환된다.</t>
  </si>
  <si>
    <t>참고 화면: 흐름 5단계 → 흐름 6단계</t>
  </si>
  <si>
    <t>맵 미리보기 출력</t>
  </si>
  <si>
    <t>선택 맵 메인 화면 좌측에 해당 맵의 배경/장애물 미리보기가 출력된다.</t>
  </si>
  <si>
    <t>등록 해제 시 초기화</t>
  </si>
  <si>
    <t>맵 등록 해제 시, 해당 맵의 맵 코드가 제거되고 미등록 상태 UI로 전환된다.</t>
  </si>
  <si>
    <t>참고 화면: 흐름 5단계 (GD 코멘트 - 확정 필요)</t>
  </si>
  <si>
    <t>맵 설정 변경 반영</t>
  </si>
  <si>
    <t>맵 설정 변경 후 선택 맵 메인 화면 복귀 시, 변경된 카메라 거리/이동 속도 값이 갱신되어 출력된다.</t>
  </si>
  <si>
    <t>인게임 진입</t>
  </si>
  <si>
    <t>로딩 화면</t>
  </si>
  <si>
    <t>로딩 연출 출력</t>
  </si>
  <si>
    <t>등록 테스트 진입 시, 캐릭터 일러스트와 '다른 유저가 기다리는 중...' 텍스트가 포함된 로딩 화면이 출력된다.</t>
  </si>
  <si>
    <t>참고 화면: 흐름 6-1단계</t>
  </si>
  <si>
    <t>로딩 대사 출력</t>
  </si>
  <si>
    <t>로딩 화면에서 캐릭터 말풍선에 로딩 대사 텍스트가 출력된다.</t>
  </si>
  <si>
    <t>인게임 전환</t>
  </si>
  <si>
    <t>로딩 화면 종료 시, 실제 플레이 화면으로 전환된다.</t>
  </si>
  <si>
    <t>참고 화면: 흐름 6-1 → 6-2단계</t>
  </si>
  <si>
    <t>플레이 UI</t>
  </si>
  <si>
    <t>상단 점수/시간 출력</t>
  </si>
  <si>
    <t>플레이 화면 상단에 BONUSTIME 게이지, 코인 수, 점수가 출력된다.</t>
  </si>
  <si>
    <t>참고 화면: 흐름 6-2단계</t>
  </si>
  <si>
    <t>미션 체크리스트 출력</t>
  </si>
  <si>
    <t>플레이 화면 좌상단에 '몬스터 치지 않기', '구멍에 빠지지 않기', '완주하기' 미션 체크리스트가 출력된다.</t>
  </si>
  <si>
    <t>일시정지 버튼 출력</t>
  </si>
  <si>
    <t>플레이 화면 상단 우측에 일시정지 버튼이 출력된다.</t>
  </si>
  <si>
    <t>점프 버튼 출력</t>
  </si>
  <si>
    <t>플레이 화면 하단 좌측에 'Jump' 버튼이 출력된다.</t>
  </si>
  <si>
    <t>슬라이드 버튼 출력</t>
  </si>
  <si>
    <t>플레이 화면 하단 우측에 'Slide' 버튼이 출력된다.</t>
  </si>
  <si>
    <t>결과 화면</t>
  </si>
  <si>
    <t>성공 결과</t>
  </si>
  <si>
    <t>SUCCESS 출력</t>
  </si>
  <si>
    <t>완주 및 모든 미션 달성 시, 결과 화면에 'SUCCESS!' 타이틀이 출력된다.</t>
  </si>
  <si>
    <t>참고 화면: 흐름 7-1단계</t>
  </si>
  <si>
    <t>미션 전체 달성 표시</t>
  </si>
  <si>
    <t>성공 결과 화면의 미션 체크리스트에 모든 미션 항목이 ✓(체크) 표시로 출력된다.</t>
  </si>
  <si>
    <t>공통 UI</t>
  </si>
  <si>
    <t>점수 출력</t>
  </si>
  <si>
    <t>결과 화면에 획득한 최종 점수가 출력된다.</t>
  </si>
  <si>
    <t>참고 화면: 흐름 7-1/7-2단계</t>
  </si>
  <si>
    <t>보상 출력</t>
  </si>
  <si>
    <t>결과 화면에 획득한 코인 보상이 출력된다.</t>
  </si>
  <si>
    <t>축하 연출</t>
  </si>
  <si>
    <t>성공 결과 화면에서 캐릭터와 꽃 일러스트의 축하 연출이 출력된다.</t>
  </si>
  <si>
    <t>확인 버튼 동작</t>
  </si>
  <si>
    <t>성공 결과 화면에서 '확인' 버튼 터치 시, 선택 맵 메인 화면으로 전환된다.</t>
  </si>
  <si>
    <t>참고 화면: 흐름 7-1 → 흐름 5단계</t>
  </si>
  <si>
    <t>실패 결과</t>
  </si>
  <si>
    <t>FAIL 출력</t>
  </si>
  <si>
    <t>미션 실패 또는 사망 시, 결과 화면에 'FAIL...' 타이틀이 출력된다.</t>
  </si>
  <si>
    <t>참고 화면: 흐름 7-2단계</t>
  </si>
  <si>
    <t>미션 일부 실패 표시</t>
  </si>
  <si>
    <t>실패 결과 화면의 미션 체크리스트에 실패한 항목은 ✗(빨강), 성공 항목은 ✓로 출력된다.</t>
  </si>
  <si>
    <t>재도전 버튼 동작</t>
  </si>
  <si>
    <t>실패 결과 화면에서 '재도전' 버튼 터치 시, 동일 맵의 인게임 로딩 화면으로 재진입된다.</t>
  </si>
  <si>
    <t>확인 시 화면 이동</t>
  </si>
  <si>
    <t>실패 결과 화면에서 '확인' 버튼 터치 시, 선택 맵 메인 화면으로 전환된다.</t>
  </si>
  <si>
    <t>참고 화면: 흐름 7-2 → 흐름 5단계</t>
  </si>
  <si>
    <t>달려가기 결과</t>
  </si>
  <si>
    <t>미션 체크리스트 미출력</t>
  </si>
  <si>
    <t>등록 테스트(달려보기) 결과 화면에서는 미션 체크리스트가 출력되지 않는다.</t>
  </si>
  <si>
    <t>참고 화면: 흐름 7-3단계</t>
  </si>
  <si>
    <t>SUCCESS/FAIL 미출력</t>
  </si>
  <si>
    <t>등록 테스트(달려보기) 결과 화면에는 SUCCESS/FAIL 라벨이 출력되지 않는다.</t>
  </si>
  <si>
    <t>재도전/확인 버튼 출력</t>
  </si>
  <si>
    <t>등록 테스트(달려보기) 결과 화면에 '재도전'과 '확인' 버튼이 함께 출력된다.</t>
  </si>
  <si>
    <t>등록 테스트 결과 화면에서 '확인' 버튼 터치 시, 선택 맵 메인 화면으로 전환된다.</t>
  </si>
  <si>
    <t>참고 화면: 흐름 7-3 → 흐름 5단계</t>
  </si>
  <si>
    <t>특수문자/금칙어 입력</t>
  </si>
  <si>
    <t>맵 이름 입력 시 금칙어 입력 후 생성 시도 시, 입력 차단 또는 경고 메시지가 출력된다.</t>
  </si>
  <si>
    <t>참고 화면: 흐름 4단계 (예외)</t>
  </si>
  <si>
    <t>네트워크 단절 시 등록</t>
  </si>
  <si>
    <t>네트워크 단절 상태에서 맵 등록 시도 시, 등록 실패 안내 팝업이 출력된다.</t>
  </si>
  <si>
    <t>참고 화면: 흐름 5단계 (예외)</t>
  </si>
  <si>
    <t>슬롯 가득 참 상태</t>
  </si>
  <si>
    <t>보유 슬롯이 모두 채워진 상태에서 빈 슬롯 없이 등록/잠금 슬롯만 출력된다.</t>
  </si>
  <si>
    <t>참고 화면: 흐름 3단계 (예외)</t>
  </si>
  <si>
    <t>샘플 미선택 직접 생성</t>
  </si>
  <si>
    <t>샘플 미선택 상태에서 맵 이름·설명·배경 입력만으로 '생성하기' 버튼 터치 시, 맵이 생성된다.</t>
  </si>
  <si>
    <t>참고 화면: 흐름 4-4단계</t>
  </si>
  <si>
    <t>등록된 맵 삭제 제한</t>
  </si>
  <si>
    <t>등록 상태의 맵 삭제 시, 등록 해제 후 삭제되거나 삭제 불가 안내 팝업이 출력된다.</t>
  </si>
  <si>
    <t>참고 화면: 흐름 5-C 상태 (예외)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</si>
</sst>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COUNTIF(I10:I92,"Pass")</f>
      </c>
      <c r="K3" t="s">
        <v>4</v>
      </c>
      <c r="L3">
        <f>COUNTIF(I10:I92,"")</f>
      </c>
      <c r="M3" s="3" t="s">
        <v>3</v>
      </c>
      <c r="N3">
        <f>COUNTIF(J10:J92,"Pass")</f>
      </c>
    </row>
    <row r="4" spans="9:14" x14ac:dyDescent="0.25">
      <c r="I4" s="4" t="s">
        <v>5</v>
      </c>
      <c r="J4">
        <f>COUNTIF(I10:I92,"N/T")</f>
      </c>
      <c r="K4" t="s">
        <v>6</v>
      </c>
      <c r="L4">
        <f>COUNTA(I10:I92)-COUNTIF(I10:I92,"")</f>
      </c>
      <c r="M4" s="4" t="s">
        <v>5</v>
      </c>
      <c r="N4">
        <f>COUNTIF(J10:J92,"N/T")</f>
      </c>
    </row>
    <row r="5" spans="9:14" x14ac:dyDescent="0.25">
      <c r="I5" s="5" t="s">
        <v>7</v>
      </c>
      <c r="J5">
        <f>COUNTIF(I10:I92,"Fail")</f>
      </c>
      <c r="K5" t="s">
        <v>8</v>
      </c>
      <c r="L5">
        <v>83</v>
      </c>
      <c r="M5" s="5" t="s">
        <v>7</v>
      </c>
      <c r="N5">
        <f>COUNTIF(J10:J92,"Fail")</f>
      </c>
    </row>
    <row r="6" spans="9:14" x14ac:dyDescent="0.25">
      <c r="I6" s="6" t="s">
        <v>9</v>
      </c>
      <c r="J6">
        <f>COUNTIF(I10:I92,"Block")</f>
      </c>
      <c r="K6" t="s">
        <v>10</v>
      </c>
      <c r="L6" s="7">
        <f>IF(L5=0,0,L4/L5)</f>
      </c>
      <c r="M6" s="6" t="s">
        <v>9</v>
      </c>
      <c r="N6">
        <f>COUNTIF(J10:J92,"Block")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2" t="s">
        <v>24</v>
      </c>
      <c r="F10" s="12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 t="s">
        <v>29</v>
      </c>
      <c r="F11" s="11" t="s">
        <v>30</v>
      </c>
      <c r="G11" s="12" t="s">
        <v>31</v>
      </c>
      <c r="H11" s="13" t="s">
        <v>32</v>
      </c>
      <c r="I11" s="12"/>
      <c r="J11" s="12"/>
      <c r="K11" s="12"/>
      <c r="L11" s="12"/>
      <c r="M11" s="12"/>
      <c r="N11" s="14" t="s">
        <v>33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34</v>
      </c>
      <c r="H12" s="13" t="s">
        <v>35</v>
      </c>
      <c r="I12" s="12"/>
      <c r="J12" s="12"/>
      <c r="K12" s="12"/>
      <c r="L12" s="12"/>
      <c r="M12" s="12"/>
      <c r="N12" s="14" t="s">
        <v>33</v>
      </c>
    </row>
    <row r="13" spans="2:14" x14ac:dyDescent="0.25">
      <c r="B13" s="9">
        <v>4</v>
      </c>
      <c r="C13" s="15" t="s">
        <v>36</v>
      </c>
      <c r="D13" s="11"/>
      <c r="E13" s="11"/>
      <c r="F13" s="11"/>
      <c r="G13" s="12" t="s">
        <v>37</v>
      </c>
      <c r="H13" s="13" t="s">
        <v>38</v>
      </c>
      <c r="I13" s="12"/>
      <c r="J13" s="12"/>
      <c r="K13" s="12"/>
      <c r="L13" s="12"/>
      <c r="M13" s="12"/>
      <c r="N13" s="14" t="s">
        <v>39</v>
      </c>
    </row>
    <row r="14" spans="2:14" x14ac:dyDescent="0.25">
      <c r="B14" s="9">
        <v>5</v>
      </c>
      <c r="C14" s="10" t="s">
        <v>22</v>
      </c>
      <c r="D14" s="11"/>
      <c r="E14" s="11"/>
      <c r="F14" s="11"/>
      <c r="G14" s="12" t="s">
        <v>40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6" t="s">
        <v>43</v>
      </c>
      <c r="D15" s="11"/>
      <c r="E15" s="11"/>
      <c r="F15" s="12" t="s">
        <v>44</v>
      </c>
      <c r="G15" s="12" t="s">
        <v>45</v>
      </c>
      <c r="H15" s="13" t="s">
        <v>46</v>
      </c>
      <c r="I15" s="12"/>
      <c r="J15" s="12"/>
      <c r="K15" s="12"/>
      <c r="L15" s="12"/>
      <c r="M15" s="12"/>
      <c r="N15" s="14" t="s">
        <v>47</v>
      </c>
    </row>
    <row r="16" spans="2:14" x14ac:dyDescent="0.25">
      <c r="B16" s="9">
        <v>7</v>
      </c>
      <c r="C16" s="10" t="s">
        <v>22</v>
      </c>
      <c r="D16" s="11"/>
      <c r="E16" s="11" t="s">
        <v>48</v>
      </c>
      <c r="F16" s="11" t="s">
        <v>49</v>
      </c>
      <c r="G16" s="12" t="s">
        <v>50</v>
      </c>
      <c r="H16" s="13" t="s">
        <v>51</v>
      </c>
      <c r="I16" s="12"/>
      <c r="J16" s="12"/>
      <c r="K16" s="12"/>
      <c r="L16" s="12"/>
      <c r="M16" s="12"/>
      <c r="N16" s="14" t="s">
        <v>52</v>
      </c>
    </row>
    <row r="17" spans="2:14" x14ac:dyDescent="0.25">
      <c r="B17" s="9">
        <v>8</v>
      </c>
      <c r="C17" s="16" t="s">
        <v>43</v>
      </c>
      <c r="D17" s="11"/>
      <c r="E17" s="11"/>
      <c r="F17" s="11"/>
      <c r="G17" s="12" t="s">
        <v>53</v>
      </c>
      <c r="H17" s="13" t="s">
        <v>54</v>
      </c>
      <c r="I17" s="12"/>
      <c r="J17" s="12"/>
      <c r="K17" s="12"/>
      <c r="L17" s="12"/>
      <c r="M17" s="12"/>
      <c r="N17" s="14" t="s">
        <v>52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55</v>
      </c>
      <c r="H18" s="13" t="s">
        <v>56</v>
      </c>
      <c r="I18" s="12"/>
      <c r="J18" s="12"/>
      <c r="K18" s="12"/>
      <c r="L18" s="12"/>
      <c r="M18" s="12"/>
      <c r="N18" s="14" t="s">
        <v>52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57</v>
      </c>
      <c r="G19" s="12" t="s">
        <v>58</v>
      </c>
      <c r="H19" s="13" t="s">
        <v>59</v>
      </c>
      <c r="I19" s="12"/>
      <c r="J19" s="12"/>
      <c r="K19" s="12"/>
      <c r="L19" s="12"/>
      <c r="M19" s="12"/>
      <c r="N19" s="14" t="s">
        <v>52</v>
      </c>
    </row>
    <row r="20" spans="2:14" x14ac:dyDescent="0.25">
      <c r="B20" s="9">
        <v>11</v>
      </c>
      <c r="C20" s="10" t="s">
        <v>22</v>
      </c>
      <c r="D20" s="11"/>
      <c r="E20" s="11"/>
      <c r="F20" s="11"/>
      <c r="G20" s="12" t="s">
        <v>60</v>
      </c>
      <c r="H20" s="13" t="s">
        <v>61</v>
      </c>
      <c r="I20" s="12"/>
      <c r="J20" s="12"/>
      <c r="K20" s="12"/>
      <c r="L20" s="12"/>
      <c r="M20" s="12"/>
      <c r="N20" s="14" t="s">
        <v>52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62</v>
      </c>
      <c r="H21" s="13" t="s">
        <v>63</v>
      </c>
      <c r="I21" s="12"/>
      <c r="J21" s="12"/>
      <c r="K21" s="12"/>
      <c r="L21" s="12"/>
      <c r="M21" s="12"/>
      <c r="N21" s="14" t="s">
        <v>52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64</v>
      </c>
      <c r="H22" s="13" t="s">
        <v>65</v>
      </c>
      <c r="I22" s="12"/>
      <c r="J22" s="12"/>
      <c r="K22" s="12"/>
      <c r="L22" s="12"/>
      <c r="M22" s="12"/>
      <c r="N22" s="14" t="s">
        <v>66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67</v>
      </c>
      <c r="H23" s="13" t="s">
        <v>68</v>
      </c>
      <c r="I23" s="12"/>
      <c r="J23" s="12"/>
      <c r="K23" s="12"/>
      <c r="L23" s="12"/>
      <c r="M23" s="12"/>
      <c r="N23" s="14" t="s">
        <v>69</v>
      </c>
    </row>
    <row r="24" spans="2:14" x14ac:dyDescent="0.25">
      <c r="B24" s="9">
        <v>15</v>
      </c>
      <c r="C24" s="10" t="s">
        <v>22</v>
      </c>
      <c r="D24" s="11"/>
      <c r="E24" s="11"/>
      <c r="F24" s="11"/>
      <c r="G24" s="12" t="s">
        <v>70</v>
      </c>
      <c r="H24" s="13" t="s">
        <v>71</v>
      </c>
      <c r="I24" s="12"/>
      <c r="J24" s="12"/>
      <c r="K24" s="12"/>
      <c r="L24" s="12"/>
      <c r="M24" s="12"/>
      <c r="N24" s="14" t="s">
        <v>69</v>
      </c>
    </row>
    <row r="25" spans="2:14" x14ac:dyDescent="0.25">
      <c r="B25" s="9">
        <v>16</v>
      </c>
      <c r="C25" s="16" t="s">
        <v>43</v>
      </c>
      <c r="D25" s="11"/>
      <c r="E25" s="11"/>
      <c r="F25" s="11" t="s">
        <v>72</v>
      </c>
      <c r="G25" s="12" t="s">
        <v>73</v>
      </c>
      <c r="H25" s="13" t="s">
        <v>74</v>
      </c>
      <c r="I25" s="12"/>
      <c r="J25" s="12"/>
      <c r="K25" s="12"/>
      <c r="L25" s="12"/>
      <c r="M25" s="12"/>
      <c r="N25" s="14" t="s">
        <v>52</v>
      </c>
    </row>
    <row r="26" spans="2:14" x14ac:dyDescent="0.25">
      <c r="B26" s="9">
        <v>17</v>
      </c>
      <c r="C26" s="10" t="s">
        <v>22</v>
      </c>
      <c r="D26" s="11"/>
      <c r="E26" s="11"/>
      <c r="F26" s="11"/>
      <c r="G26" s="12" t="s">
        <v>75</v>
      </c>
      <c r="H26" s="13" t="s">
        <v>76</v>
      </c>
      <c r="I26" s="12"/>
      <c r="J26" s="12"/>
      <c r="K26" s="12"/>
      <c r="L26" s="12"/>
      <c r="M26" s="12"/>
      <c r="N26" s="14" t="s">
        <v>77</v>
      </c>
    </row>
    <row r="27" spans="2:14" x14ac:dyDescent="0.25">
      <c r="B27" s="9">
        <v>18</v>
      </c>
      <c r="C27" s="16" t="s">
        <v>43</v>
      </c>
      <c r="D27" s="11"/>
      <c r="E27" s="11"/>
      <c r="F27" s="12" t="s">
        <v>57</v>
      </c>
      <c r="G27" s="12" t="s">
        <v>78</v>
      </c>
      <c r="H27" s="13" t="s">
        <v>79</v>
      </c>
      <c r="I27" s="12"/>
      <c r="J27" s="12"/>
      <c r="K27" s="12"/>
      <c r="L27" s="12"/>
      <c r="M27" s="12"/>
      <c r="N27" s="14" t="s">
        <v>52</v>
      </c>
    </row>
    <row r="28" spans="2:14" x14ac:dyDescent="0.25">
      <c r="B28" s="9">
        <v>19</v>
      </c>
      <c r="C28" s="10" t="s">
        <v>22</v>
      </c>
      <c r="D28" s="11"/>
      <c r="E28" s="11" t="s">
        <v>80</v>
      </c>
      <c r="F28" s="11" t="s">
        <v>81</v>
      </c>
      <c r="G28" s="12" t="s">
        <v>82</v>
      </c>
      <c r="H28" s="13" t="s">
        <v>83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6" t="s">
        <v>43</v>
      </c>
      <c r="D29" s="11"/>
      <c r="E29" s="11"/>
      <c r="F29" s="11"/>
      <c r="G29" s="12" t="s">
        <v>85</v>
      </c>
      <c r="H29" s="13" t="s">
        <v>86</v>
      </c>
      <c r="I29" s="12"/>
      <c r="J29" s="12"/>
      <c r="K29" s="12"/>
      <c r="L29" s="12"/>
      <c r="M29" s="12"/>
      <c r="N29" s="14" t="s">
        <v>84</v>
      </c>
    </row>
    <row r="30" spans="2:14" x14ac:dyDescent="0.25">
      <c r="B30" s="9">
        <v>21</v>
      </c>
      <c r="C30" s="16" t="s">
        <v>43</v>
      </c>
      <c r="D30" s="11"/>
      <c r="E30" s="11"/>
      <c r="F30" s="11"/>
      <c r="G30" s="12" t="s">
        <v>87</v>
      </c>
      <c r="H30" s="13" t="s">
        <v>88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0" t="s">
        <v>22</v>
      </c>
      <c r="D31" s="11"/>
      <c r="E31" s="11"/>
      <c r="F31" s="11" t="s">
        <v>89</v>
      </c>
      <c r="G31" s="12" t="s">
        <v>82</v>
      </c>
      <c r="H31" s="13" t="s">
        <v>90</v>
      </c>
      <c r="I31" s="12"/>
      <c r="J31" s="12"/>
      <c r="K31" s="12"/>
      <c r="L31" s="12"/>
      <c r="M31" s="12"/>
      <c r="N31" s="14" t="s">
        <v>84</v>
      </c>
    </row>
    <row r="32" spans="2:14" x14ac:dyDescent="0.25">
      <c r="B32" s="9">
        <v>23</v>
      </c>
      <c r="C32" s="16" t="s">
        <v>43</v>
      </c>
      <c r="D32" s="11"/>
      <c r="E32" s="11"/>
      <c r="F32" s="11"/>
      <c r="G32" s="12" t="s">
        <v>85</v>
      </c>
      <c r="H32" s="13" t="s">
        <v>91</v>
      </c>
      <c r="I32" s="12"/>
      <c r="J32" s="12"/>
      <c r="K32" s="12"/>
      <c r="L32" s="12"/>
      <c r="M32" s="12"/>
      <c r="N32" s="14" t="s">
        <v>84</v>
      </c>
    </row>
    <row r="33" spans="2:14" x14ac:dyDescent="0.25">
      <c r="B33" s="9">
        <v>24</v>
      </c>
      <c r="C33" s="16" t="s">
        <v>43</v>
      </c>
      <c r="D33" s="11"/>
      <c r="E33" s="11"/>
      <c r="F33" s="11"/>
      <c r="G33" s="12" t="s">
        <v>87</v>
      </c>
      <c r="H33" s="13" t="s">
        <v>92</v>
      </c>
      <c r="I33" s="12"/>
      <c r="J33" s="12"/>
      <c r="K33" s="12"/>
      <c r="L33" s="12"/>
      <c r="M33" s="12"/>
      <c r="N33" s="14" t="s">
        <v>84</v>
      </c>
    </row>
    <row r="34" spans="2:14" x14ac:dyDescent="0.25">
      <c r="B34" s="9">
        <v>25</v>
      </c>
      <c r="C34" s="10" t="s">
        <v>22</v>
      </c>
      <c r="D34" s="11"/>
      <c r="E34" s="11"/>
      <c r="F34" s="11" t="s">
        <v>93</v>
      </c>
      <c r="G34" s="12" t="s">
        <v>94</v>
      </c>
      <c r="H34" s="13" t="s">
        <v>95</v>
      </c>
      <c r="I34" s="12"/>
      <c r="J34" s="12"/>
      <c r="K34" s="12"/>
      <c r="L34" s="12"/>
      <c r="M34" s="12"/>
      <c r="N34" s="14" t="s">
        <v>84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96</v>
      </c>
      <c r="H35" s="13" t="s">
        <v>97</v>
      </c>
      <c r="I35" s="12"/>
      <c r="J35" s="12"/>
      <c r="K35" s="12"/>
      <c r="L35" s="12"/>
      <c r="M35" s="12"/>
      <c r="N35" s="14" t="s">
        <v>84</v>
      </c>
    </row>
    <row r="36" spans="2:14" x14ac:dyDescent="0.25">
      <c r="B36" s="9">
        <v>27</v>
      </c>
      <c r="C36" s="10" t="s">
        <v>22</v>
      </c>
      <c r="D36" s="11"/>
      <c r="E36" s="11"/>
      <c r="F36" s="11"/>
      <c r="G36" s="12" t="s">
        <v>98</v>
      </c>
      <c r="H36" s="13" t="s">
        <v>99</v>
      </c>
      <c r="I36" s="12"/>
      <c r="J36" s="12"/>
      <c r="K36" s="12"/>
      <c r="L36" s="12"/>
      <c r="M36" s="12"/>
      <c r="N36" s="14" t="s">
        <v>84</v>
      </c>
    </row>
    <row r="37" spans="2:14" x14ac:dyDescent="0.25">
      <c r="B37" s="9">
        <v>28</v>
      </c>
      <c r="C37" s="10" t="s">
        <v>22</v>
      </c>
      <c r="D37" s="11"/>
      <c r="E37" s="11"/>
      <c r="F37" s="11" t="s">
        <v>100</v>
      </c>
      <c r="G37" s="12" t="s">
        <v>101</v>
      </c>
      <c r="H37" s="13" t="s">
        <v>102</v>
      </c>
      <c r="I37" s="12"/>
      <c r="J37" s="12"/>
      <c r="K37" s="12"/>
      <c r="L37" s="12"/>
      <c r="M37" s="12"/>
      <c r="N37" s="14" t="s">
        <v>103</v>
      </c>
    </row>
    <row r="38" spans="2:14" x14ac:dyDescent="0.25">
      <c r="B38" s="9">
        <v>29</v>
      </c>
      <c r="C38" s="10" t="s">
        <v>22</v>
      </c>
      <c r="D38" s="11"/>
      <c r="E38" s="11"/>
      <c r="F38" s="11"/>
      <c r="G38" s="12" t="s">
        <v>104</v>
      </c>
      <c r="H38" s="13" t="s">
        <v>105</v>
      </c>
      <c r="I38" s="12"/>
      <c r="J38" s="12"/>
      <c r="K38" s="12"/>
      <c r="L38" s="12"/>
      <c r="M38" s="12"/>
      <c r="N38" s="14" t="s">
        <v>103</v>
      </c>
    </row>
    <row r="39" spans="2:14" x14ac:dyDescent="0.25">
      <c r="B39" s="9">
        <v>30</v>
      </c>
      <c r="C39" s="16" t="s">
        <v>43</v>
      </c>
      <c r="D39" s="11"/>
      <c r="E39" s="11"/>
      <c r="F39" s="11"/>
      <c r="G39" s="12" t="s">
        <v>106</v>
      </c>
      <c r="H39" s="13" t="s">
        <v>107</v>
      </c>
      <c r="I39" s="12"/>
      <c r="J39" s="12"/>
      <c r="K39" s="12"/>
      <c r="L39" s="12"/>
      <c r="M39" s="12"/>
      <c r="N39" s="14" t="s">
        <v>103</v>
      </c>
    </row>
    <row r="40" spans="2:14" x14ac:dyDescent="0.25">
      <c r="B40" s="9">
        <v>31</v>
      </c>
      <c r="C40" s="10" t="s">
        <v>22</v>
      </c>
      <c r="D40" s="11"/>
      <c r="E40" s="11"/>
      <c r="F40" s="11"/>
      <c r="G40" s="12" t="s">
        <v>108</v>
      </c>
      <c r="H40" s="13" t="s">
        <v>109</v>
      </c>
      <c r="I40" s="12"/>
      <c r="J40" s="12"/>
      <c r="K40" s="12"/>
      <c r="L40" s="12"/>
      <c r="M40" s="12"/>
      <c r="N40" s="14" t="s">
        <v>110</v>
      </c>
    </row>
    <row r="41" spans="2:14" x14ac:dyDescent="0.25">
      <c r="B41" s="9">
        <v>32</v>
      </c>
      <c r="C41" s="16" t="s">
        <v>43</v>
      </c>
      <c r="D41" s="11"/>
      <c r="E41" s="11"/>
      <c r="F41" s="11"/>
      <c r="G41" s="12" t="s">
        <v>111</v>
      </c>
      <c r="H41" s="13" t="s">
        <v>112</v>
      </c>
      <c r="I41" s="12"/>
      <c r="J41" s="12"/>
      <c r="K41" s="12"/>
      <c r="L41" s="12"/>
      <c r="M41" s="12"/>
      <c r="N41" s="14" t="s">
        <v>113</v>
      </c>
    </row>
    <row r="42" spans="2:14" x14ac:dyDescent="0.25">
      <c r="B42" s="9">
        <v>33</v>
      </c>
      <c r="C42" s="15" t="s">
        <v>36</v>
      </c>
      <c r="D42" s="11"/>
      <c r="E42" s="11"/>
      <c r="F42" s="11" t="s">
        <v>114</v>
      </c>
      <c r="G42" s="12" t="s">
        <v>115</v>
      </c>
      <c r="H42" s="13" t="s">
        <v>116</v>
      </c>
      <c r="I42" s="12"/>
      <c r="J42" s="12"/>
      <c r="K42" s="12"/>
      <c r="L42" s="12"/>
      <c r="M42" s="12"/>
      <c r="N42" s="14" t="s">
        <v>117</v>
      </c>
    </row>
    <row r="43" spans="2:14" x14ac:dyDescent="0.25">
      <c r="B43" s="9">
        <v>34</v>
      </c>
      <c r="C43" s="10" t="s">
        <v>22</v>
      </c>
      <c r="D43" s="11"/>
      <c r="E43" s="11"/>
      <c r="F43" s="11"/>
      <c r="G43" s="12" t="s">
        <v>118</v>
      </c>
      <c r="H43" s="13" t="s">
        <v>119</v>
      </c>
      <c r="I43" s="12"/>
      <c r="J43" s="12"/>
      <c r="K43" s="12"/>
      <c r="L43" s="12"/>
      <c r="M43" s="12"/>
      <c r="N43" s="14" t="s">
        <v>113</v>
      </c>
    </row>
    <row r="44" spans="2:14" x14ac:dyDescent="0.25">
      <c r="B44" s="9">
        <v>35</v>
      </c>
      <c r="C44" s="15" t="s">
        <v>36</v>
      </c>
      <c r="D44" s="11"/>
      <c r="E44" s="11"/>
      <c r="F44" s="11"/>
      <c r="G44" s="12" t="s">
        <v>120</v>
      </c>
      <c r="H44" s="13" t="s">
        <v>121</v>
      </c>
      <c r="I44" s="12"/>
      <c r="J44" s="12"/>
      <c r="K44" s="12"/>
      <c r="L44" s="12"/>
      <c r="M44" s="12"/>
      <c r="N44" s="14" t="s">
        <v>122</v>
      </c>
    </row>
    <row r="45" spans="2:14" x14ac:dyDescent="0.25">
      <c r="B45" s="9">
        <v>36</v>
      </c>
      <c r="C45" s="16" t="s">
        <v>43</v>
      </c>
      <c r="D45" s="11"/>
      <c r="E45" s="11"/>
      <c r="F45" s="12" t="s">
        <v>123</v>
      </c>
      <c r="G45" s="12" t="s">
        <v>44</v>
      </c>
      <c r="H45" s="13" t="s">
        <v>124</v>
      </c>
      <c r="I45" s="12"/>
      <c r="J45" s="12"/>
      <c r="K45" s="12"/>
      <c r="L45" s="12"/>
      <c r="M45" s="12"/>
      <c r="N45" s="14" t="s">
        <v>125</v>
      </c>
    </row>
    <row r="46" spans="2:14" x14ac:dyDescent="0.25">
      <c r="B46" s="9">
        <v>37</v>
      </c>
      <c r="C46" s="16" t="s">
        <v>43</v>
      </c>
      <c r="D46" s="11"/>
      <c r="E46" s="11"/>
      <c r="F46" s="12" t="s">
        <v>81</v>
      </c>
      <c r="G46" s="12" t="s">
        <v>126</v>
      </c>
      <c r="H46" s="13" t="s">
        <v>127</v>
      </c>
      <c r="I46" s="12"/>
      <c r="J46" s="12"/>
      <c r="K46" s="12"/>
      <c r="L46" s="12"/>
      <c r="M46" s="12"/>
      <c r="N46" s="14" t="s">
        <v>128</v>
      </c>
    </row>
    <row r="47" spans="2:14" x14ac:dyDescent="0.25">
      <c r="B47" s="9">
        <v>38</v>
      </c>
      <c r="C47" s="16" t="s">
        <v>43</v>
      </c>
      <c r="D47" s="11"/>
      <c r="E47" s="11"/>
      <c r="F47" s="12" t="s">
        <v>89</v>
      </c>
      <c r="G47" s="12" t="s">
        <v>126</v>
      </c>
      <c r="H47" s="13" t="s">
        <v>129</v>
      </c>
      <c r="I47" s="12"/>
      <c r="J47" s="12"/>
      <c r="K47" s="12"/>
      <c r="L47" s="12"/>
      <c r="M47" s="12"/>
      <c r="N47" s="14" t="s">
        <v>128</v>
      </c>
    </row>
    <row r="48" spans="2:14" x14ac:dyDescent="0.25">
      <c r="B48" s="9">
        <v>39</v>
      </c>
      <c r="C48" s="10" t="s">
        <v>22</v>
      </c>
      <c r="D48" s="11"/>
      <c r="E48" s="11" t="s">
        <v>130</v>
      </c>
      <c r="F48" s="11" t="s">
        <v>49</v>
      </c>
      <c r="G48" s="12" t="s">
        <v>131</v>
      </c>
      <c r="H48" s="13" t="s">
        <v>132</v>
      </c>
      <c r="I48" s="12"/>
      <c r="J48" s="12"/>
      <c r="K48" s="12"/>
      <c r="L48" s="12"/>
      <c r="M48" s="12"/>
      <c r="N48" s="14" t="s">
        <v>133</v>
      </c>
    </row>
    <row r="49" spans="2:14" x14ac:dyDescent="0.25">
      <c r="B49" s="9">
        <v>40</v>
      </c>
      <c r="C49" s="16" t="s">
        <v>43</v>
      </c>
      <c r="D49" s="11"/>
      <c r="E49" s="11"/>
      <c r="F49" s="11"/>
      <c r="G49" s="12" t="s">
        <v>134</v>
      </c>
      <c r="H49" s="13" t="s">
        <v>135</v>
      </c>
      <c r="I49" s="12"/>
      <c r="J49" s="12"/>
      <c r="K49" s="12"/>
      <c r="L49" s="12"/>
      <c r="M49" s="12"/>
      <c r="N49" s="14" t="s">
        <v>133</v>
      </c>
    </row>
    <row r="50" spans="2:14" x14ac:dyDescent="0.25">
      <c r="B50" s="9">
        <v>41</v>
      </c>
      <c r="C50" s="15" t="s">
        <v>36</v>
      </c>
      <c r="D50" s="11"/>
      <c r="E50" s="11"/>
      <c r="F50" s="11"/>
      <c r="G50" s="12" t="s">
        <v>136</v>
      </c>
      <c r="H50" s="13" t="s">
        <v>137</v>
      </c>
      <c r="I50" s="12"/>
      <c r="J50" s="12"/>
      <c r="K50" s="12"/>
      <c r="L50" s="12"/>
      <c r="M50" s="12"/>
      <c r="N50" s="14" t="s">
        <v>133</v>
      </c>
    </row>
    <row r="51" spans="2:14" x14ac:dyDescent="0.25">
      <c r="B51" s="9">
        <v>42</v>
      </c>
      <c r="C51" s="16" t="s">
        <v>43</v>
      </c>
      <c r="D51" s="11"/>
      <c r="E51" s="11"/>
      <c r="F51" s="11"/>
      <c r="G51" s="12" t="s">
        <v>138</v>
      </c>
      <c r="H51" s="13" t="s">
        <v>139</v>
      </c>
      <c r="I51" s="12"/>
      <c r="J51" s="12"/>
      <c r="K51" s="12"/>
      <c r="L51" s="12"/>
      <c r="M51" s="12"/>
      <c r="N51" s="14" t="s">
        <v>133</v>
      </c>
    </row>
    <row r="52" spans="2:14" x14ac:dyDescent="0.25">
      <c r="B52" s="9">
        <v>43</v>
      </c>
      <c r="C52" s="10" t="s">
        <v>22</v>
      </c>
      <c r="D52" s="11"/>
      <c r="E52" s="11"/>
      <c r="F52" s="11"/>
      <c r="G52" s="12" t="s">
        <v>140</v>
      </c>
      <c r="H52" s="13" t="s">
        <v>141</v>
      </c>
      <c r="I52" s="12"/>
      <c r="J52" s="12"/>
      <c r="K52" s="12"/>
      <c r="L52" s="12"/>
      <c r="M52" s="12"/>
      <c r="N52" s="14" t="s">
        <v>133</v>
      </c>
    </row>
    <row r="53" spans="2:14" x14ac:dyDescent="0.25">
      <c r="B53" s="9">
        <v>44</v>
      </c>
      <c r="C53" s="10" t="s">
        <v>22</v>
      </c>
      <c r="D53" s="11"/>
      <c r="E53" s="11"/>
      <c r="F53" s="11" t="s">
        <v>142</v>
      </c>
      <c r="G53" s="12" t="s">
        <v>143</v>
      </c>
      <c r="H53" s="13" t="s">
        <v>144</v>
      </c>
      <c r="I53" s="12"/>
      <c r="J53" s="12"/>
      <c r="K53" s="12"/>
      <c r="L53" s="12"/>
      <c r="M53" s="12"/>
      <c r="N53" s="14" t="s">
        <v>133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145</v>
      </c>
      <c r="H54" s="13" t="s">
        <v>146</v>
      </c>
      <c r="I54" s="12"/>
      <c r="J54" s="12"/>
      <c r="K54" s="12"/>
      <c r="L54" s="12"/>
      <c r="M54" s="12"/>
      <c r="N54" s="14" t="s">
        <v>147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148</v>
      </c>
      <c r="H55" s="13" t="s">
        <v>149</v>
      </c>
      <c r="I55" s="12"/>
      <c r="J55" s="12"/>
      <c r="K55" s="12"/>
      <c r="L55" s="12"/>
      <c r="M55" s="12"/>
      <c r="N55" s="14" t="s">
        <v>150</v>
      </c>
    </row>
    <row r="56" spans="2:14" x14ac:dyDescent="0.25">
      <c r="B56" s="9">
        <v>47</v>
      </c>
      <c r="C56" s="10" t="s">
        <v>22</v>
      </c>
      <c r="D56" s="11"/>
      <c r="E56" s="11"/>
      <c r="F56" s="11" t="s">
        <v>151</v>
      </c>
      <c r="G56" s="12" t="s">
        <v>152</v>
      </c>
      <c r="H56" s="13" t="s">
        <v>153</v>
      </c>
      <c r="I56" s="12"/>
      <c r="J56" s="12"/>
      <c r="K56" s="12"/>
      <c r="L56" s="12"/>
      <c r="M56" s="12"/>
      <c r="N56" s="14" t="s">
        <v>147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154</v>
      </c>
      <c r="H57" s="13" t="s">
        <v>155</v>
      </c>
      <c r="I57" s="12"/>
      <c r="J57" s="12"/>
      <c r="K57" s="12"/>
      <c r="L57" s="12"/>
      <c r="M57" s="12"/>
      <c r="N57" s="14" t="s">
        <v>156</v>
      </c>
    </row>
    <row r="58" spans="2:14" x14ac:dyDescent="0.25">
      <c r="B58" s="9">
        <v>49</v>
      </c>
      <c r="C58" s="10" t="s">
        <v>22</v>
      </c>
      <c r="D58" s="11"/>
      <c r="E58" s="11"/>
      <c r="F58" s="11"/>
      <c r="G58" s="12" t="s">
        <v>157</v>
      </c>
      <c r="H58" s="13" t="s">
        <v>158</v>
      </c>
      <c r="I58" s="12"/>
      <c r="J58" s="12"/>
      <c r="K58" s="12"/>
      <c r="L58" s="12"/>
      <c r="M58" s="12"/>
      <c r="N58" s="14" t="s">
        <v>156</v>
      </c>
    </row>
    <row r="59" spans="2:14" x14ac:dyDescent="0.25">
      <c r="B59" s="9">
        <v>50</v>
      </c>
      <c r="C59" s="10" t="s">
        <v>22</v>
      </c>
      <c r="D59" s="11"/>
      <c r="E59" s="11"/>
      <c r="F59" s="11"/>
      <c r="G59" s="12" t="s">
        <v>159</v>
      </c>
      <c r="H59" s="13" t="s">
        <v>160</v>
      </c>
      <c r="I59" s="12"/>
      <c r="J59" s="12"/>
      <c r="K59" s="12"/>
      <c r="L59" s="12"/>
      <c r="M59" s="12"/>
      <c r="N59" s="14" t="s">
        <v>156</v>
      </c>
    </row>
    <row r="60" spans="2:14" x14ac:dyDescent="0.25">
      <c r="B60" s="9">
        <v>51</v>
      </c>
      <c r="C60" s="16" t="s">
        <v>43</v>
      </c>
      <c r="D60" s="11"/>
      <c r="E60" s="11"/>
      <c r="F60" s="11" t="s">
        <v>161</v>
      </c>
      <c r="G60" s="12" t="s">
        <v>162</v>
      </c>
      <c r="H60" s="13" t="s">
        <v>163</v>
      </c>
      <c r="I60" s="12"/>
      <c r="J60" s="12"/>
      <c r="K60" s="12"/>
      <c r="L60" s="12"/>
      <c r="M60" s="12"/>
      <c r="N60" s="14" t="s">
        <v>133</v>
      </c>
    </row>
    <row r="61" spans="2:14" x14ac:dyDescent="0.25">
      <c r="B61" s="9">
        <v>52</v>
      </c>
      <c r="C61" s="15" t="s">
        <v>36</v>
      </c>
      <c r="D61" s="11"/>
      <c r="E61" s="11"/>
      <c r="F61" s="11"/>
      <c r="G61" s="12" t="s">
        <v>164</v>
      </c>
      <c r="H61" s="13" t="s">
        <v>165</v>
      </c>
      <c r="I61" s="12"/>
      <c r="J61" s="12"/>
      <c r="K61" s="12"/>
      <c r="L61" s="12"/>
      <c r="M61" s="12"/>
      <c r="N61" s="14" t="s">
        <v>133</v>
      </c>
    </row>
    <row r="62" spans="2:14" x14ac:dyDescent="0.25">
      <c r="B62" s="9">
        <v>53</v>
      </c>
      <c r="C62" s="10" t="s">
        <v>22</v>
      </c>
      <c r="D62" s="11"/>
      <c r="E62" s="11"/>
      <c r="F62" s="11"/>
      <c r="G62" s="12" t="s">
        <v>166</v>
      </c>
      <c r="H62" s="13" t="s">
        <v>167</v>
      </c>
      <c r="I62" s="12"/>
      <c r="J62" s="12"/>
      <c r="K62" s="12"/>
      <c r="L62" s="12"/>
      <c r="M62" s="12"/>
      <c r="N62" s="14" t="s">
        <v>168</v>
      </c>
    </row>
    <row r="63" spans="2:14" x14ac:dyDescent="0.25">
      <c r="B63" s="9">
        <v>54</v>
      </c>
      <c r="C63" s="10" t="s">
        <v>22</v>
      </c>
      <c r="D63" s="11"/>
      <c r="E63" s="11"/>
      <c r="F63" s="12" t="s">
        <v>142</v>
      </c>
      <c r="G63" s="12" t="s">
        <v>169</v>
      </c>
      <c r="H63" s="13" t="s">
        <v>170</v>
      </c>
      <c r="I63" s="12"/>
      <c r="J63" s="12"/>
      <c r="K63" s="12"/>
      <c r="L63" s="12"/>
      <c r="M63" s="12"/>
      <c r="N63" s="14" t="s">
        <v>133</v>
      </c>
    </row>
    <row r="64" spans="2:14" x14ac:dyDescent="0.25">
      <c r="B64" s="9">
        <v>55</v>
      </c>
      <c r="C64" s="16" t="s">
        <v>43</v>
      </c>
      <c r="D64" s="11"/>
      <c r="E64" s="11"/>
      <c r="F64" s="12" t="s">
        <v>151</v>
      </c>
      <c r="G64" s="12" t="s">
        <v>171</v>
      </c>
      <c r="H64" s="13" t="s">
        <v>172</v>
      </c>
      <c r="I64" s="12"/>
      <c r="J64" s="12"/>
      <c r="K64" s="12"/>
      <c r="L64" s="12"/>
      <c r="M64" s="12"/>
      <c r="N64" s="14" t="s">
        <v>173</v>
      </c>
    </row>
    <row r="65" spans="2:14" x14ac:dyDescent="0.25">
      <c r="B65" s="9">
        <v>56</v>
      </c>
      <c r="C65" s="16" t="s">
        <v>43</v>
      </c>
      <c r="D65" s="11"/>
      <c r="E65" s="11"/>
      <c r="F65" s="12" t="s">
        <v>142</v>
      </c>
      <c r="G65" s="12" t="s">
        <v>174</v>
      </c>
      <c r="H65" s="13" t="s">
        <v>175</v>
      </c>
      <c r="I65" s="12"/>
      <c r="J65" s="12"/>
      <c r="K65" s="12"/>
      <c r="L65" s="12"/>
      <c r="M65" s="12"/>
      <c r="N65" s="14" t="s">
        <v>133</v>
      </c>
    </row>
    <row r="66" spans="2:14" x14ac:dyDescent="0.25">
      <c r="B66" s="9">
        <v>57</v>
      </c>
      <c r="C66" s="10" t="s">
        <v>22</v>
      </c>
      <c r="D66" s="11"/>
      <c r="E66" s="11" t="s">
        <v>176</v>
      </c>
      <c r="F66" s="11" t="s">
        <v>177</v>
      </c>
      <c r="G66" s="12" t="s">
        <v>178</v>
      </c>
      <c r="H66" s="13" t="s">
        <v>179</v>
      </c>
      <c r="I66" s="12"/>
      <c r="J66" s="12"/>
      <c r="K66" s="12"/>
      <c r="L66" s="12"/>
      <c r="M66" s="12"/>
      <c r="N66" s="14" t="s">
        <v>180</v>
      </c>
    </row>
    <row r="67" spans="2:14" x14ac:dyDescent="0.25">
      <c r="B67" s="9">
        <v>58</v>
      </c>
      <c r="C67" s="16" t="s">
        <v>43</v>
      </c>
      <c r="D67" s="11"/>
      <c r="E67" s="11"/>
      <c r="F67" s="11"/>
      <c r="G67" s="12" t="s">
        <v>181</v>
      </c>
      <c r="H67" s="13" t="s">
        <v>182</v>
      </c>
      <c r="I67" s="12"/>
      <c r="J67" s="12"/>
      <c r="K67" s="12"/>
      <c r="L67" s="12"/>
      <c r="M67" s="12"/>
      <c r="N67" s="14" t="s">
        <v>180</v>
      </c>
    </row>
    <row r="68" spans="2:14" x14ac:dyDescent="0.25">
      <c r="B68" s="9">
        <v>59</v>
      </c>
      <c r="C68" s="15" t="s">
        <v>36</v>
      </c>
      <c r="D68" s="11"/>
      <c r="E68" s="11"/>
      <c r="F68" s="11"/>
      <c r="G68" s="12" t="s">
        <v>183</v>
      </c>
      <c r="H68" s="13" t="s">
        <v>184</v>
      </c>
      <c r="I68" s="12"/>
      <c r="J68" s="12"/>
      <c r="K68" s="12"/>
      <c r="L68" s="12"/>
      <c r="M68" s="12"/>
      <c r="N68" s="14" t="s">
        <v>185</v>
      </c>
    </row>
    <row r="69" spans="2:14" x14ac:dyDescent="0.25">
      <c r="B69" s="9">
        <v>60</v>
      </c>
      <c r="C69" s="10" t="s">
        <v>22</v>
      </c>
      <c r="D69" s="11"/>
      <c r="E69" s="11"/>
      <c r="F69" s="11" t="s">
        <v>186</v>
      </c>
      <c r="G69" s="12" t="s">
        <v>187</v>
      </c>
      <c r="H69" s="13" t="s">
        <v>188</v>
      </c>
      <c r="I69" s="12"/>
      <c r="J69" s="12"/>
      <c r="K69" s="12"/>
      <c r="L69" s="12"/>
      <c r="M69" s="12"/>
      <c r="N69" s="14" t="s">
        <v>189</v>
      </c>
    </row>
    <row r="70" spans="2:14" x14ac:dyDescent="0.25">
      <c r="B70" s="9">
        <v>61</v>
      </c>
      <c r="C70" s="10" t="s">
        <v>22</v>
      </c>
      <c r="D70" s="11"/>
      <c r="E70" s="11"/>
      <c r="F70" s="11"/>
      <c r="G70" s="12" t="s">
        <v>190</v>
      </c>
      <c r="H70" s="13" t="s">
        <v>191</v>
      </c>
      <c r="I70" s="12"/>
      <c r="J70" s="12"/>
      <c r="K70" s="12"/>
      <c r="L70" s="12"/>
      <c r="M70" s="12"/>
      <c r="N70" s="14" t="s">
        <v>189</v>
      </c>
    </row>
    <row r="71" spans="2:14" x14ac:dyDescent="0.25">
      <c r="B71" s="9">
        <v>62</v>
      </c>
      <c r="C71" s="10" t="s">
        <v>22</v>
      </c>
      <c r="D71" s="11"/>
      <c r="E71" s="11"/>
      <c r="F71" s="11"/>
      <c r="G71" s="12" t="s">
        <v>192</v>
      </c>
      <c r="H71" s="13" t="s">
        <v>193</v>
      </c>
      <c r="I71" s="12"/>
      <c r="J71" s="12"/>
      <c r="K71" s="12"/>
      <c r="L71" s="12"/>
      <c r="M71" s="12"/>
      <c r="N71" s="14" t="s">
        <v>189</v>
      </c>
    </row>
    <row r="72" spans="2:14" x14ac:dyDescent="0.25">
      <c r="B72" s="9">
        <v>63</v>
      </c>
      <c r="C72" s="10" t="s">
        <v>22</v>
      </c>
      <c r="D72" s="11"/>
      <c r="E72" s="11"/>
      <c r="F72" s="11"/>
      <c r="G72" s="12" t="s">
        <v>194</v>
      </c>
      <c r="H72" s="13" t="s">
        <v>195</v>
      </c>
      <c r="I72" s="12"/>
      <c r="J72" s="12"/>
      <c r="K72" s="12"/>
      <c r="L72" s="12"/>
      <c r="M72" s="12"/>
      <c r="N72" s="14" t="s">
        <v>189</v>
      </c>
    </row>
    <row r="73" spans="2:14" x14ac:dyDescent="0.25">
      <c r="B73" s="9">
        <v>64</v>
      </c>
      <c r="C73" s="10" t="s">
        <v>22</v>
      </c>
      <c r="D73" s="11"/>
      <c r="E73" s="11"/>
      <c r="F73" s="11"/>
      <c r="G73" s="12" t="s">
        <v>196</v>
      </c>
      <c r="H73" s="13" t="s">
        <v>197</v>
      </c>
      <c r="I73" s="12"/>
      <c r="J73" s="12"/>
      <c r="K73" s="12"/>
      <c r="L73" s="12"/>
      <c r="M73" s="12"/>
      <c r="N73" s="14" t="s">
        <v>189</v>
      </c>
    </row>
    <row r="74" spans="2:14" x14ac:dyDescent="0.25">
      <c r="B74" s="9">
        <v>65</v>
      </c>
      <c r="C74" s="15" t="s">
        <v>36</v>
      </c>
      <c r="D74" s="11"/>
      <c r="E74" s="11" t="s">
        <v>198</v>
      </c>
      <c r="F74" s="11" t="s">
        <v>199</v>
      </c>
      <c r="G74" s="12" t="s">
        <v>200</v>
      </c>
      <c r="H74" s="13" t="s">
        <v>201</v>
      </c>
      <c r="I74" s="12"/>
      <c r="J74" s="12"/>
      <c r="K74" s="12"/>
      <c r="L74" s="12"/>
      <c r="M74" s="12"/>
      <c r="N74" s="14" t="s">
        <v>202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203</v>
      </c>
      <c r="H75" s="13" t="s">
        <v>204</v>
      </c>
      <c r="I75" s="12"/>
      <c r="J75" s="12"/>
      <c r="K75" s="12"/>
      <c r="L75" s="12"/>
      <c r="M75" s="12"/>
      <c r="N75" s="14" t="s">
        <v>202</v>
      </c>
    </row>
    <row r="76" spans="2:14" x14ac:dyDescent="0.25">
      <c r="B76" s="9">
        <v>67</v>
      </c>
      <c r="C76" s="10" t="s">
        <v>22</v>
      </c>
      <c r="D76" s="11"/>
      <c r="E76" s="11"/>
      <c r="F76" s="11" t="s">
        <v>205</v>
      </c>
      <c r="G76" s="12" t="s">
        <v>206</v>
      </c>
      <c r="H76" s="13" t="s">
        <v>207</v>
      </c>
      <c r="I76" s="12"/>
      <c r="J76" s="12"/>
      <c r="K76" s="12"/>
      <c r="L76" s="12"/>
      <c r="M76" s="12"/>
      <c r="N76" s="14" t="s">
        <v>208</v>
      </c>
    </row>
    <row r="77" spans="2:14" x14ac:dyDescent="0.25">
      <c r="B77" s="9">
        <v>68</v>
      </c>
      <c r="C77" s="10" t="s">
        <v>22</v>
      </c>
      <c r="D77" s="11"/>
      <c r="E77" s="11"/>
      <c r="F77" s="11"/>
      <c r="G77" s="12" t="s">
        <v>209</v>
      </c>
      <c r="H77" s="13" t="s">
        <v>210</v>
      </c>
      <c r="I77" s="12"/>
      <c r="J77" s="12"/>
      <c r="K77" s="12"/>
      <c r="L77" s="12"/>
      <c r="M77" s="12"/>
      <c r="N77" s="14" t="s">
        <v>208</v>
      </c>
    </row>
    <row r="78" spans="2:14" x14ac:dyDescent="0.25">
      <c r="B78" s="9">
        <v>69</v>
      </c>
      <c r="C78" s="16" t="s">
        <v>43</v>
      </c>
      <c r="D78" s="11"/>
      <c r="E78" s="11"/>
      <c r="F78" s="11" t="s">
        <v>199</v>
      </c>
      <c r="G78" s="12" t="s">
        <v>211</v>
      </c>
      <c r="H78" s="13" t="s">
        <v>212</v>
      </c>
      <c r="I78" s="12"/>
      <c r="J78" s="12"/>
      <c r="K78" s="12"/>
      <c r="L78" s="12"/>
      <c r="M78" s="12"/>
      <c r="N78" s="14" t="s">
        <v>202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213</v>
      </c>
      <c r="H79" s="13" t="s">
        <v>214</v>
      </c>
      <c r="I79" s="12"/>
      <c r="J79" s="12"/>
      <c r="K79" s="12"/>
      <c r="L79" s="12"/>
      <c r="M79" s="12"/>
      <c r="N79" s="14" t="s">
        <v>215</v>
      </c>
    </row>
    <row r="80" spans="2:14" x14ac:dyDescent="0.25">
      <c r="B80" s="9">
        <v>71</v>
      </c>
      <c r="C80" s="15" t="s">
        <v>36</v>
      </c>
      <c r="D80" s="11"/>
      <c r="E80" s="11"/>
      <c r="F80" s="11" t="s">
        <v>216</v>
      </c>
      <c r="G80" s="12" t="s">
        <v>217</v>
      </c>
      <c r="H80" s="13" t="s">
        <v>218</v>
      </c>
      <c r="I80" s="12"/>
      <c r="J80" s="12"/>
      <c r="K80" s="12"/>
      <c r="L80" s="12"/>
      <c r="M80" s="12"/>
      <c r="N80" s="14" t="s">
        <v>219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220</v>
      </c>
      <c r="H81" s="13" t="s">
        <v>221</v>
      </c>
      <c r="I81" s="12"/>
      <c r="J81" s="12"/>
      <c r="K81" s="12"/>
      <c r="L81" s="12"/>
      <c r="M81" s="12"/>
      <c r="N81" s="14" t="s">
        <v>219</v>
      </c>
    </row>
    <row r="82" spans="2:14" x14ac:dyDescent="0.25">
      <c r="B82" s="9">
        <v>73</v>
      </c>
      <c r="C82" s="10" t="s">
        <v>22</v>
      </c>
      <c r="D82" s="11"/>
      <c r="E82" s="11"/>
      <c r="F82" s="11"/>
      <c r="G82" s="12" t="s">
        <v>222</v>
      </c>
      <c r="H82" s="13" t="s">
        <v>223</v>
      </c>
      <c r="I82" s="12"/>
      <c r="J82" s="12"/>
      <c r="K82" s="12"/>
      <c r="L82" s="12"/>
      <c r="M82" s="12"/>
      <c r="N82" s="14" t="s">
        <v>219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224</v>
      </c>
      <c r="H83" s="13" t="s">
        <v>225</v>
      </c>
      <c r="I83" s="12"/>
      <c r="J83" s="12"/>
      <c r="K83" s="12"/>
      <c r="L83" s="12"/>
      <c r="M83" s="12"/>
      <c r="N83" s="14" t="s">
        <v>226</v>
      </c>
    </row>
    <row r="84" spans="2:14" x14ac:dyDescent="0.25">
      <c r="B84" s="9">
        <v>75</v>
      </c>
      <c r="C84" s="10" t="s">
        <v>22</v>
      </c>
      <c r="D84" s="11"/>
      <c r="E84" s="11"/>
      <c r="F84" s="11" t="s">
        <v>227</v>
      </c>
      <c r="G84" s="12" t="s">
        <v>228</v>
      </c>
      <c r="H84" s="13" t="s">
        <v>229</v>
      </c>
      <c r="I84" s="12"/>
      <c r="J84" s="12"/>
      <c r="K84" s="12"/>
      <c r="L84" s="12"/>
      <c r="M84" s="12"/>
      <c r="N84" s="14" t="s">
        <v>230</v>
      </c>
    </row>
    <row r="85" spans="2:14" x14ac:dyDescent="0.25">
      <c r="B85" s="9">
        <v>76</v>
      </c>
      <c r="C85" s="16" t="s">
        <v>43</v>
      </c>
      <c r="D85" s="11"/>
      <c r="E85" s="11"/>
      <c r="F85" s="11"/>
      <c r="G85" s="12" t="s">
        <v>231</v>
      </c>
      <c r="H85" s="13" t="s">
        <v>232</v>
      </c>
      <c r="I85" s="12"/>
      <c r="J85" s="12"/>
      <c r="K85" s="12"/>
      <c r="L85" s="12"/>
      <c r="M85" s="12"/>
      <c r="N85" s="14" t="s">
        <v>230</v>
      </c>
    </row>
    <row r="86" spans="2:14" x14ac:dyDescent="0.25">
      <c r="B86" s="9">
        <v>77</v>
      </c>
      <c r="C86" s="16" t="s">
        <v>43</v>
      </c>
      <c r="D86" s="11"/>
      <c r="E86" s="11"/>
      <c r="F86" s="11"/>
      <c r="G86" s="12" t="s">
        <v>233</v>
      </c>
      <c r="H86" s="13" t="s">
        <v>234</v>
      </c>
      <c r="I86" s="12"/>
      <c r="J86" s="12"/>
      <c r="K86" s="12"/>
      <c r="L86" s="12"/>
      <c r="M86" s="12"/>
      <c r="N86" s="14" t="s">
        <v>230</v>
      </c>
    </row>
    <row r="87" spans="2:14" x14ac:dyDescent="0.25">
      <c r="B87" s="9">
        <v>78</v>
      </c>
      <c r="C87" s="16" t="s">
        <v>43</v>
      </c>
      <c r="D87" s="11"/>
      <c r="E87" s="11"/>
      <c r="F87" s="11"/>
      <c r="G87" s="12" t="s">
        <v>224</v>
      </c>
      <c r="H87" s="13" t="s">
        <v>235</v>
      </c>
      <c r="I87" s="12"/>
      <c r="J87" s="12"/>
      <c r="K87" s="12"/>
      <c r="L87" s="12"/>
      <c r="M87" s="12"/>
      <c r="N87" s="14" t="s">
        <v>236</v>
      </c>
    </row>
    <row r="88" spans="2:14" x14ac:dyDescent="0.25">
      <c r="B88" s="9">
        <v>79</v>
      </c>
      <c r="C88" s="16" t="s">
        <v>43</v>
      </c>
      <c r="D88" s="11"/>
      <c r="E88" s="12" t="s">
        <v>80</v>
      </c>
      <c r="F88" s="12" t="s">
        <v>81</v>
      </c>
      <c r="G88" s="12" t="s">
        <v>237</v>
      </c>
      <c r="H88" s="13" t="s">
        <v>238</v>
      </c>
      <c r="I88" s="12"/>
      <c r="J88" s="12"/>
      <c r="K88" s="12"/>
      <c r="L88" s="12"/>
      <c r="M88" s="12"/>
      <c r="N88" s="14" t="s">
        <v>239</v>
      </c>
    </row>
    <row r="89" spans="2:14" x14ac:dyDescent="0.25">
      <c r="B89" s="9">
        <v>80</v>
      </c>
      <c r="C89" s="10" t="s">
        <v>22</v>
      </c>
      <c r="D89" s="11"/>
      <c r="E89" s="12" t="s">
        <v>130</v>
      </c>
      <c r="F89" s="12" t="s">
        <v>151</v>
      </c>
      <c r="G89" s="12" t="s">
        <v>240</v>
      </c>
      <c r="H89" s="13" t="s">
        <v>241</v>
      </c>
      <c r="I89" s="12"/>
      <c r="J89" s="12"/>
      <c r="K89" s="12"/>
      <c r="L89" s="12"/>
      <c r="M89" s="12"/>
      <c r="N89" s="14" t="s">
        <v>242</v>
      </c>
    </row>
    <row r="90" spans="2:14" x14ac:dyDescent="0.25">
      <c r="B90" s="9">
        <v>81</v>
      </c>
      <c r="C90" s="16" t="s">
        <v>43</v>
      </c>
      <c r="D90" s="11"/>
      <c r="E90" s="12" t="s">
        <v>48</v>
      </c>
      <c r="F90" s="12" t="s">
        <v>57</v>
      </c>
      <c r="G90" s="12" t="s">
        <v>243</v>
      </c>
      <c r="H90" s="13" t="s">
        <v>244</v>
      </c>
      <c r="I90" s="12"/>
      <c r="J90" s="12"/>
      <c r="K90" s="12"/>
      <c r="L90" s="12"/>
      <c r="M90" s="12"/>
      <c r="N90" s="14" t="s">
        <v>245</v>
      </c>
    </row>
    <row r="91" spans="2:14" x14ac:dyDescent="0.25">
      <c r="B91" s="9">
        <v>82</v>
      </c>
      <c r="C91" s="15" t="s">
        <v>36</v>
      </c>
      <c r="D91" s="11"/>
      <c r="E91" s="12" t="s">
        <v>80</v>
      </c>
      <c r="F91" s="12" t="s">
        <v>114</v>
      </c>
      <c r="G91" s="12" t="s">
        <v>246</v>
      </c>
      <c r="H91" s="13" t="s">
        <v>247</v>
      </c>
      <c r="I91" s="12"/>
      <c r="J91" s="12"/>
      <c r="K91" s="12"/>
      <c r="L91" s="12"/>
      <c r="M91" s="12"/>
      <c r="N91" s="14" t="s">
        <v>248</v>
      </c>
    </row>
    <row r="92" spans="2:14" x14ac:dyDescent="0.25">
      <c r="B92" s="9">
        <v>83</v>
      </c>
      <c r="C92" s="16" t="s">
        <v>43</v>
      </c>
      <c r="D92" s="11"/>
      <c r="E92" s="12" t="s">
        <v>130</v>
      </c>
      <c r="F92" s="12" t="s">
        <v>49</v>
      </c>
      <c r="G92" s="12" t="s">
        <v>249</v>
      </c>
      <c r="H92" s="13" t="s">
        <v>250</v>
      </c>
      <c r="I92" s="12"/>
      <c r="J92" s="12"/>
      <c r="K92" s="12"/>
      <c r="L92" s="12"/>
      <c r="M92" s="12"/>
      <c r="N92" s="14" t="s">
        <v>251</v>
      </c>
    </row>
  </sheetData>
  <mergeCells count="27">
    <mergeCell ref="D10:D92"/>
    <mergeCell ref="E11:E15"/>
    <mergeCell ref="F11:F14"/>
    <mergeCell ref="E16:E27"/>
    <mergeCell ref="F16:F18"/>
    <mergeCell ref="F19:F24"/>
    <mergeCell ref="F25:F26"/>
    <mergeCell ref="E28:E47"/>
    <mergeCell ref="F28:F30"/>
    <mergeCell ref="F31:F33"/>
    <mergeCell ref="F34:F36"/>
    <mergeCell ref="F37:F41"/>
    <mergeCell ref="F42:F44"/>
    <mergeCell ref="E48:E65"/>
    <mergeCell ref="F48:F52"/>
    <mergeCell ref="F53:F55"/>
    <mergeCell ref="F56:F59"/>
    <mergeCell ref="F60:F62"/>
    <mergeCell ref="E66:E73"/>
    <mergeCell ref="F66:F68"/>
    <mergeCell ref="F69:F73"/>
    <mergeCell ref="E74:E87"/>
    <mergeCell ref="F74:F75"/>
    <mergeCell ref="F76:F77"/>
    <mergeCell ref="F78:F79"/>
    <mergeCell ref="F80:F83"/>
    <mergeCell ref="F84:F87"/>
  </mergeCells>
  <dataValidations count="1">
    <dataValidation type="list" allowBlank="1" showErrorMessage="1" errorTitle="잘못된 값" error="Pass, Fail, N/T, Block 중 하나를 선택하세요." sqref="I10:J9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맵 메이커 TC (test)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2026-05-13T04:37:17Z</dcterms:created>
  <dcterms:modified xsi:type="dcterms:W3CDTF">2026-05-13T04:37:17Z</dcterms:modified>
</cp:coreProperties>
</file>