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DF 테스트" state="visible" r:id="rId4"/>
  </sheets>
  <calcPr calcId="171027"/>
</workbook>
</file>

<file path=xl/sharedStrings.xml><?xml version="1.0" encoding="utf-8"?>
<sst xmlns="http://schemas.openxmlformats.org/spreadsheetml/2006/main" count="185" uniqueCount="125">
  <si>
    <t>(C)PDF 테스트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</si>
  <si>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</si>
  <si>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</si>
  <si>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</si>
  <si>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</si>
  <si>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</si>
  <si>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</si>
  <si>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</si>
  <si>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</si>
  <si>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</si>
  <si>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</si>
  <si>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</si>
  <si>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</si>
  <si>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</si>
  <si>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</si>
  <si>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</si>
  <si>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</si>
  <si>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</si>
  <si>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</si>
  <si>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</si>
  <si>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</si>
  <si>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</si>
  <si>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Normal</t>
  </si>
  <si>
    <t>악몽 요정</t>
  </si>
  <si>
    <t>기본 정보</t>
  </si>
  <si>
    <t>등급</t>
  </si>
  <si>
    <t>출력</t>
  </si>
  <si>
    <t>악몽 요정 몬스터의 등급이 '일반'으로 적용된다.</t>
  </si>
  <si>
    <t>기획서: 어드벤처 인게임 몬스터_1.pdf - 메타데이터 / 첨부 이미지</t>
  </si>
  <si>
    <t>타입</t>
  </si>
  <si>
    <t>악몽 요정 몬스터의 타입이 '근거리', '비행형'으로 적용된다.</t>
  </si>
  <si>
    <t>Major</t>
  </si>
  <si>
    <t>챕터</t>
  </si>
  <si>
    <t>배치</t>
  </si>
  <si>
    <t>악몽 요정 몬스터가 어드벤처 모드 스페셜 챕터에 배치되어 등장한다.</t>
  </si>
  <si>
    <t>크기</t>
  </si>
  <si>
    <t>악몽 요정 몬스터의 크기가 소형(동굴 테마 박쥐와 동일 사이즈)으로 출력된다.</t>
  </si>
  <si>
    <t>기획서: 어드벤처 인게임 몬스터_1.pdf - 2. 아트</t>
  </si>
  <si>
    <t>Critical</t>
  </si>
  <si>
    <t>전투 배치</t>
  </si>
  <si>
    <t>배치 수</t>
  </si>
  <si>
    <t>최소 배치</t>
  </si>
  <si>
    <t>악몽 요정의 전투 공간 배치 시, 최소 4마리가 배치된다.</t>
  </si>
  <si>
    <t>기획서: 어드벤처 인게임 몬스터_1.pdf - 1. 개요</t>
  </si>
  <si>
    <t>최대 배치</t>
  </si>
  <si>
    <t>악몽 요정의 전투 공간 배치 시, 최대 6마리까지 배치된다.</t>
  </si>
  <si>
    <t>범위 초과 제한</t>
  </si>
  <si>
    <t>악몽 요정의 전투 공간 배치 수가 4~6마리 범위 외로 배치되지 않는다.</t>
  </si>
  <si>
    <t>대기 패턴</t>
  </si>
  <si>
    <t>Patrol</t>
  </si>
  <si>
    <t>랜덤 위치 이동</t>
  </si>
  <si>
    <t>플레이어를 인식하기 전, 악몽 요정이 랜덤 위치로 Patrol 이동을 수행한다.</t>
  </si>
  <si>
    <t>기획서: 어드벤처 인게임 몬스터_1.pdf - 3. 패턴 (1) 대기</t>
  </si>
  <si>
    <t>대기 모션</t>
  </si>
  <si>
    <t>Patrol 중 대기 상태 시, 공중에 가볍게 떠서 천천히 위아래로 흔들리는 _Idle 모션이 재생된다.</t>
  </si>
  <si>
    <t>기획서: 어드벤처 인게임 몬스터_1.pdf - 4. 애니메이션 (_Idle)</t>
  </si>
  <si>
    <t>대기 표정</t>
  </si>
  <si>
    <t>대기 상태 시, 눈을 감은 표정으로 팔이 축 늘어진 채 공허하게 부유하는 모습이 출력된다.</t>
  </si>
  <si>
    <t>플레이어 인식</t>
  </si>
  <si>
    <t>인식 거리</t>
  </si>
  <si>
    <t>악몽 요정의 플레이어 인식 거리가 20m 이상으로 적용된다.</t>
  </si>
  <si>
    <t>이동 패턴</t>
  </si>
  <si>
    <t>플레이어 발견</t>
  </si>
  <si>
    <t>! 표시 출력</t>
  </si>
  <si>
    <t>플레이어 발견 시, 악몽 요정 머리 위에 '!' 표시가 출력된다.</t>
  </si>
  <si>
    <t>기획서: 어드벤처 인게임 몬스터_1.pdf - 3. 패턴 (2) 이동</t>
  </si>
  <si>
    <t>대기 동작</t>
  </si>
  <si>
    <t>플레이어 발견 후 '!' 표시 출력 시, 잠깐 대기 동작을 수행한 후 추적을 시작한다.</t>
  </si>
  <si>
    <t>추적</t>
  </si>
  <si>
    <t>추적 방향</t>
  </si>
  <si>
    <t>플레이어 발견 시, 공격 사거리 안에 들어올 때까지 플레이어 방향으로 추적이 이루어진다.</t>
  </si>
  <si>
    <t>이동 속도</t>
  </si>
  <si>
    <t>악몽 요정의 이동 속도가 700으로 적용된다.</t>
  </si>
  <si>
    <t>이동 모션</t>
  </si>
  <si>
    <t>Patrol 이동 시, 느릿느릿 공중을 표류하듯 움직이는 _Move 모션이 재생된다.</t>
  </si>
  <si>
    <t>기획서: 어드벤처 인게임 몬스터_1.pdf - 4. 애니메이션 (_Move)</t>
  </si>
  <si>
    <t>공격 패턴</t>
  </si>
  <si>
    <t>Skill_A</t>
  </si>
  <si>
    <t>공격 시작 조건</t>
  </si>
  <si>
    <t>플레이어가 악몽 요정 앞 12m 범위 안에 위치 시, Sting 공격이 시작된다.</t>
  </si>
  <si>
    <t>기획서: 어드벤처 인게임 몬스터_1.pdf - 3. 패턴 (3-1) Skill_A</t>
  </si>
  <si>
    <t>데미지 적용</t>
  </si>
  <si>
    <t>공격 시작 후 플레이어가 주변 영역 1.5m 안에 진입 시, 플레이어에게 데미지가 적용된다.</t>
  </si>
  <si>
    <t>데미지 미적용</t>
  </si>
  <si>
    <t>공격 시작 후 플레이어가 주변 영역 1.5m 밖에 있을 시, 플레이어에게 데미지가 적용되지 않는다.</t>
  </si>
  <si>
    <t>공격 모션</t>
  </si>
  <si>
    <t>Skill_A 공격 시, 악몽 요정이 팔을 앞으로 들어올리는 공격 모션이 재생된다.</t>
  </si>
  <si>
    <t>표정 변화</t>
  </si>
  <si>
    <t>Skill_A 공격 시, 악몽 요정의 얼굴 표정이 변하여 공격 중임을 표현한다.</t>
  </si>
  <si>
    <t>추격 애니메이션</t>
  </si>
  <si>
    <t>Skill_A_01 Loop</t>
  </si>
  <si>
    <t>양팔 모션</t>
  </si>
  <si>
    <t>공격 사거리 안 진입 시, 악몽 요정이 양팔을 번쩍 치켜들고 유령처럼 빠르게 추격하는 _Skill_A_01 Loop 모션이 재생된다.</t>
  </si>
  <si>
    <t>기획서: 어드벤처 인게임 몬스터_1.pdf - 4. 애니메이션 (_Skill_A_01)</t>
  </si>
  <si>
    <t>표정 전환</t>
  </si>
  <si>
    <t>_Skill_A_01 모션 재생 시, 악몽 요정의 눈이 번쩍 뜨이며 공격적인 표정으로 전환된다.</t>
  </si>
  <si>
    <t>지속 데미지</t>
  </si>
  <si>
    <t>_Skill_A_01 모션 재생 동안, 공격 범위 내 플레이어에게 지속 대미지가 적용된다.</t>
  </si>
  <si>
    <t>Loop 재생</t>
  </si>
  <si>
    <t>_Skill_A_01 모션은 Loop 형태로 반복 재생된다.</t>
  </si>
  <si>
    <t>스태거 처리</t>
  </si>
  <si>
    <t>애니메이션 전환</t>
  </si>
  <si>
    <t>Skill_A_03 전환</t>
  </si>
  <si>
    <t>_Skill_A_01 진행 중 스태거 발생으로 공격이 끊길 시, _Skill_A_03 모션으로 전환된다.</t>
  </si>
  <si>
    <t>기획서: 어드벤처 인게임 몬스터_1.pdf - 4. 애니메이션</t>
  </si>
  <si>
    <t>플레이어 응시</t>
  </si>
  <si>
    <t>_Skill_A_03 전환 시, 악몽 요정이 잠시 플레이어를 응시하는 동작이 출력된다.</t>
  </si>
  <si>
    <t>Skill_A_01 복귀</t>
  </si>
  <si>
    <t>_Skill_A_03 동작 종료 후, _Skill_A_01 모션으로 복귀된다.</t>
  </si>
  <si>
    <t>피격/사망 처리</t>
  </si>
  <si>
    <t>피격</t>
  </si>
  <si>
    <t>피격 모션</t>
  </si>
  <si>
    <t>악몽 요정이 플레이어에게 공격을 받을 시, _Damaged 피격 모션이 재생된다.</t>
  </si>
  <si>
    <t>기획서: 어드벤처 인게임 몬스터_1.pdf - 4. 애니메이션 (_Damaged)</t>
  </si>
  <si>
    <t>사망</t>
  </si>
  <si>
    <t>약 사망 모션</t>
  </si>
  <si>
    <t>악몽 요정이 일반 공격으로 처치 시, Die_Stand 사망(약) 모션이 재생된다.</t>
  </si>
  <si>
    <t>기획서: 어드벤처 인게임 몬스터_1.pdf - 4. 애니메이션 (Die_Stand)</t>
  </si>
  <si>
    <t>강 사망 모션</t>
  </si>
  <si>
    <t>악몽 요정이 넉백 효과가 동반된 공격으로 처치 시, Die_Knockback 사망(강) 모션이 재생된다.</t>
  </si>
  <si>
    <t>기획서: 어드벤처 인게임 몬스터_1.pdf - 4. 애니메이션 (Die_Knockback)</t>
  </si>
  <si>
    <t>오브젝트 제거</t>
  </si>
  <si>
    <t>사망 모션 재생 종료 후, 악몽 요정 오브젝트가 필드에서 제거된다.</t>
  </si>
  <si>
    <t>공격 중 피격 처리</t>
  </si>
  <si>
    <t>_Skill_A_01 추격 중 피격 시, 피격 반응이 적용되며 스태거 조건 충족 시 _Skill_A_03 모션으로 전환된다.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</si>
</sst>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9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COUNTIF(I10:I42,"Pass")</f>
      </c>
      <c r="K3" t="s">
        <v>4</v>
      </c>
      <c r="L3">
        <f>COUNTIF(I10:I42,"")</f>
      </c>
      <c r="M3" s="3" t="s">
        <v>3</v>
      </c>
      <c r="N3">
        <f>COUNTIF(J10:J42,"Pass")</f>
      </c>
    </row>
    <row r="4" spans="9:14" x14ac:dyDescent="0.25">
      <c r="I4" s="4" t="s">
        <v>5</v>
      </c>
      <c r="J4">
        <f>COUNTIF(I10:I42,"N/T")</f>
      </c>
      <c r="K4" t="s">
        <v>6</v>
      </c>
      <c r="L4">
        <f>COUNTA(I10:I42)-COUNTIF(I10:I42,"")</f>
      </c>
      <c r="M4" s="4" t="s">
        <v>5</v>
      </c>
      <c r="N4">
        <f>COUNTIF(J10:J42,"N/T")</f>
      </c>
    </row>
    <row r="5" spans="9:14" x14ac:dyDescent="0.25">
      <c r="I5" s="5" t="s">
        <v>7</v>
      </c>
      <c r="J5">
        <f>COUNTIF(I10:I42,"Fail")</f>
      </c>
      <c r="K5" t="s">
        <v>8</v>
      </c>
      <c r="L5">
        <v>33</v>
      </c>
      <c r="M5" s="5" t="s">
        <v>7</v>
      </c>
      <c r="N5">
        <f>COUNTIF(J10:J42,"Fail")</f>
      </c>
    </row>
    <row r="6" spans="9:14" x14ac:dyDescent="0.25">
      <c r="I6" s="6" t="s">
        <v>9</v>
      </c>
      <c r="J6">
        <f>COUNTIF(I10:I42,"Block")</f>
      </c>
      <c r="K6" t="s">
        <v>10</v>
      </c>
      <c r="L6" s="7">
        <f>IF(L5=0,0,L4/L5)</f>
      </c>
      <c r="M6" s="6" t="s">
        <v>9</v>
      </c>
      <c r="N6">
        <f>COUNTIF(J10:J42,"Block")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2" t="s">
        <v>29</v>
      </c>
      <c r="G11" s="12" t="s">
        <v>26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5" t="s">
        <v>31</v>
      </c>
      <c r="D12" s="11"/>
      <c r="E12" s="11"/>
      <c r="F12" s="12" t="s">
        <v>32</v>
      </c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0" t="s">
        <v>22</v>
      </c>
      <c r="D13" s="11"/>
      <c r="E13" s="11"/>
      <c r="F13" s="12" t="s">
        <v>35</v>
      </c>
      <c r="G13" s="12" t="s">
        <v>26</v>
      </c>
      <c r="H13" s="13" t="s">
        <v>36</v>
      </c>
      <c r="I13" s="12"/>
      <c r="J13" s="12"/>
      <c r="K13" s="12"/>
      <c r="L13" s="12"/>
      <c r="M13" s="12"/>
      <c r="N13" s="14" t="s">
        <v>37</v>
      </c>
    </row>
    <row r="14" spans="2:14" x14ac:dyDescent="0.25">
      <c r="B14" s="9">
        <v>5</v>
      </c>
      <c r="C14" s="16" t="s">
        <v>38</v>
      </c>
      <c r="D14" s="11"/>
      <c r="E14" s="11" t="s">
        <v>39</v>
      </c>
      <c r="F14" s="11" t="s">
        <v>40</v>
      </c>
      <c r="G14" s="12" t="s">
        <v>41</v>
      </c>
      <c r="H14" s="13" t="s">
        <v>42</v>
      </c>
      <c r="I14" s="12"/>
      <c r="J14" s="12"/>
      <c r="K14" s="12"/>
      <c r="L14" s="12"/>
      <c r="M14" s="12"/>
      <c r="N14" s="14" t="s">
        <v>43</v>
      </c>
    </row>
    <row r="15" spans="2:14" x14ac:dyDescent="0.25">
      <c r="B15" s="9">
        <v>6</v>
      </c>
      <c r="C15" s="15" t="s">
        <v>31</v>
      </c>
      <c r="D15" s="11"/>
      <c r="E15" s="11"/>
      <c r="F15" s="11"/>
      <c r="G15" s="12" t="s">
        <v>44</v>
      </c>
      <c r="H15" s="13" t="s">
        <v>45</v>
      </c>
      <c r="I15" s="12"/>
      <c r="J15" s="12"/>
      <c r="K15" s="12"/>
      <c r="L15" s="12"/>
      <c r="M15" s="12"/>
      <c r="N15" s="14" t="s">
        <v>43</v>
      </c>
    </row>
    <row r="16" spans="2:14" x14ac:dyDescent="0.25">
      <c r="B16" s="9">
        <v>7</v>
      </c>
      <c r="C16" s="15" t="s">
        <v>31</v>
      </c>
      <c r="D16" s="11"/>
      <c r="E16" s="11"/>
      <c r="F16" s="11"/>
      <c r="G16" s="12" t="s">
        <v>46</v>
      </c>
      <c r="H16" s="13" t="s">
        <v>47</v>
      </c>
      <c r="I16" s="12"/>
      <c r="J16" s="12"/>
      <c r="K16" s="12"/>
      <c r="L16" s="12"/>
      <c r="M16" s="12"/>
      <c r="N16" s="14" t="s">
        <v>43</v>
      </c>
    </row>
    <row r="17" spans="2:14" x14ac:dyDescent="0.25">
      <c r="B17" s="9">
        <v>8</v>
      </c>
      <c r="C17" s="15" t="s">
        <v>31</v>
      </c>
      <c r="D17" s="11"/>
      <c r="E17" s="11" t="s">
        <v>48</v>
      </c>
      <c r="F17" s="11" t="s">
        <v>49</v>
      </c>
      <c r="G17" s="12" t="s">
        <v>50</v>
      </c>
      <c r="H17" s="13" t="s">
        <v>51</v>
      </c>
      <c r="I17" s="12"/>
      <c r="J17" s="12"/>
      <c r="K17" s="12"/>
      <c r="L17" s="12"/>
      <c r="M17" s="12"/>
      <c r="N17" s="14" t="s">
        <v>52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53</v>
      </c>
      <c r="H18" s="13" t="s">
        <v>54</v>
      </c>
      <c r="I18" s="12"/>
      <c r="J18" s="12"/>
      <c r="K18" s="12"/>
      <c r="L18" s="12"/>
      <c r="M18" s="12"/>
      <c r="N18" s="14" t="s">
        <v>55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56</v>
      </c>
      <c r="H19" s="13" t="s">
        <v>57</v>
      </c>
      <c r="I19" s="12"/>
      <c r="J19" s="12"/>
      <c r="K19" s="12"/>
      <c r="L19" s="12"/>
      <c r="M19" s="12"/>
      <c r="N19" s="14" t="s">
        <v>55</v>
      </c>
    </row>
    <row r="20" spans="2:14" x14ac:dyDescent="0.25">
      <c r="B20" s="9">
        <v>11</v>
      </c>
      <c r="C20" s="15" t="s">
        <v>31</v>
      </c>
      <c r="D20" s="11"/>
      <c r="E20" s="11"/>
      <c r="F20" s="12" t="s">
        <v>58</v>
      </c>
      <c r="G20" s="12" t="s">
        <v>59</v>
      </c>
      <c r="H20" s="13" t="s">
        <v>60</v>
      </c>
      <c r="I20" s="12"/>
      <c r="J20" s="12"/>
      <c r="K20" s="12"/>
      <c r="L20" s="12"/>
      <c r="M20" s="12"/>
      <c r="N20" s="14" t="s">
        <v>52</v>
      </c>
    </row>
    <row r="21" spans="2:14" x14ac:dyDescent="0.25">
      <c r="B21" s="9">
        <v>12</v>
      </c>
      <c r="C21" s="15" t="s">
        <v>31</v>
      </c>
      <c r="D21" s="11"/>
      <c r="E21" s="11" t="s">
        <v>61</v>
      </c>
      <c r="F21" s="11" t="s">
        <v>62</v>
      </c>
      <c r="G21" s="12" t="s">
        <v>63</v>
      </c>
      <c r="H21" s="13" t="s">
        <v>64</v>
      </c>
      <c r="I21" s="12"/>
      <c r="J21" s="12"/>
      <c r="K21" s="12"/>
      <c r="L21" s="12"/>
      <c r="M21" s="12"/>
      <c r="N21" s="14" t="s">
        <v>65</v>
      </c>
    </row>
    <row r="22" spans="2:14" x14ac:dyDescent="0.25">
      <c r="B22" s="9">
        <v>13</v>
      </c>
      <c r="C22" s="15" t="s">
        <v>31</v>
      </c>
      <c r="D22" s="11"/>
      <c r="E22" s="11"/>
      <c r="F22" s="11"/>
      <c r="G22" s="12" t="s">
        <v>66</v>
      </c>
      <c r="H22" s="13" t="s">
        <v>67</v>
      </c>
      <c r="I22" s="12"/>
      <c r="J22" s="12"/>
      <c r="K22" s="12"/>
      <c r="L22" s="12"/>
      <c r="M22" s="12"/>
      <c r="N22" s="14" t="s">
        <v>65</v>
      </c>
    </row>
    <row r="23" spans="2:14" x14ac:dyDescent="0.25">
      <c r="B23" s="9">
        <v>14</v>
      </c>
      <c r="C23" s="15" t="s">
        <v>31</v>
      </c>
      <c r="D23" s="11"/>
      <c r="E23" s="11"/>
      <c r="F23" s="11" t="s">
        <v>68</v>
      </c>
      <c r="G23" s="12" t="s">
        <v>69</v>
      </c>
      <c r="H23" s="13" t="s">
        <v>70</v>
      </c>
      <c r="I23" s="12"/>
      <c r="J23" s="12"/>
      <c r="K23" s="12"/>
      <c r="L23" s="12"/>
      <c r="M23" s="12"/>
      <c r="N23" s="14" t="s">
        <v>65</v>
      </c>
    </row>
    <row r="24" spans="2:14" x14ac:dyDescent="0.25">
      <c r="B24" s="9">
        <v>15</v>
      </c>
      <c r="C24" s="15" t="s">
        <v>31</v>
      </c>
      <c r="D24" s="11"/>
      <c r="E24" s="11"/>
      <c r="F24" s="11"/>
      <c r="G24" s="12" t="s">
        <v>71</v>
      </c>
      <c r="H24" s="13" t="s">
        <v>72</v>
      </c>
      <c r="I24" s="12"/>
      <c r="J24" s="12"/>
      <c r="K24" s="12"/>
      <c r="L24" s="12"/>
      <c r="M24" s="12"/>
      <c r="N24" s="14" t="s">
        <v>65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73</v>
      </c>
      <c r="H25" s="13" t="s">
        <v>74</v>
      </c>
      <c r="I25" s="12"/>
      <c r="J25" s="12"/>
      <c r="K25" s="12"/>
      <c r="L25" s="12"/>
      <c r="M25" s="12"/>
      <c r="N25" s="14" t="s">
        <v>75</v>
      </c>
    </row>
    <row r="26" spans="2:14" x14ac:dyDescent="0.25">
      <c r="B26" s="9">
        <v>17</v>
      </c>
      <c r="C26" s="16" t="s">
        <v>38</v>
      </c>
      <c r="D26" s="11"/>
      <c r="E26" s="11" t="s">
        <v>76</v>
      </c>
      <c r="F26" s="11" t="s">
        <v>77</v>
      </c>
      <c r="G26" s="12" t="s">
        <v>78</v>
      </c>
      <c r="H26" s="13" t="s">
        <v>79</v>
      </c>
      <c r="I26" s="12"/>
      <c r="J26" s="12"/>
      <c r="K26" s="12"/>
      <c r="L26" s="12"/>
      <c r="M26" s="12"/>
      <c r="N26" s="14" t="s">
        <v>80</v>
      </c>
    </row>
    <row r="27" spans="2:14" x14ac:dyDescent="0.25">
      <c r="B27" s="9">
        <v>18</v>
      </c>
      <c r="C27" s="16" t="s">
        <v>38</v>
      </c>
      <c r="D27" s="11"/>
      <c r="E27" s="11"/>
      <c r="F27" s="11"/>
      <c r="G27" s="12" t="s">
        <v>81</v>
      </c>
      <c r="H27" s="13" t="s">
        <v>82</v>
      </c>
      <c r="I27" s="12"/>
      <c r="J27" s="12"/>
      <c r="K27" s="12"/>
      <c r="L27" s="12"/>
      <c r="M27" s="12"/>
      <c r="N27" s="14" t="s">
        <v>80</v>
      </c>
    </row>
    <row r="28" spans="2:14" x14ac:dyDescent="0.25">
      <c r="B28" s="9">
        <v>19</v>
      </c>
      <c r="C28" s="15" t="s">
        <v>31</v>
      </c>
      <c r="D28" s="11"/>
      <c r="E28" s="11"/>
      <c r="F28" s="11"/>
      <c r="G28" s="12" t="s">
        <v>83</v>
      </c>
      <c r="H28" s="13" t="s">
        <v>84</v>
      </c>
      <c r="I28" s="12"/>
      <c r="J28" s="12"/>
      <c r="K28" s="12"/>
      <c r="L28" s="12"/>
      <c r="M28" s="12"/>
      <c r="N28" s="14" t="s">
        <v>80</v>
      </c>
    </row>
    <row r="29" spans="2:14" x14ac:dyDescent="0.25">
      <c r="B29" s="9">
        <v>20</v>
      </c>
      <c r="C29" s="15" t="s">
        <v>31</v>
      </c>
      <c r="D29" s="11"/>
      <c r="E29" s="11"/>
      <c r="F29" s="11"/>
      <c r="G29" s="12" t="s">
        <v>85</v>
      </c>
      <c r="H29" s="13" t="s">
        <v>86</v>
      </c>
      <c r="I29" s="12"/>
      <c r="J29" s="12"/>
      <c r="K29" s="12"/>
      <c r="L29" s="12"/>
      <c r="M29" s="12"/>
      <c r="N29" s="14" t="s">
        <v>80</v>
      </c>
    </row>
    <row r="30" spans="2:14" x14ac:dyDescent="0.25">
      <c r="B30" s="9">
        <v>21</v>
      </c>
      <c r="C30" s="10" t="s">
        <v>22</v>
      </c>
      <c r="D30" s="11"/>
      <c r="E30" s="11"/>
      <c r="F30" s="11"/>
      <c r="G30" s="12" t="s">
        <v>87</v>
      </c>
      <c r="H30" s="13" t="s">
        <v>88</v>
      </c>
      <c r="I30" s="12"/>
      <c r="J30" s="12"/>
      <c r="K30" s="12"/>
      <c r="L30" s="12"/>
      <c r="M30" s="12"/>
      <c r="N30" s="14" t="s">
        <v>80</v>
      </c>
    </row>
    <row r="31" spans="2:14" x14ac:dyDescent="0.25">
      <c r="B31" s="9">
        <v>22</v>
      </c>
      <c r="C31" s="15" t="s">
        <v>31</v>
      </c>
      <c r="D31" s="11"/>
      <c r="E31" s="11" t="s">
        <v>89</v>
      </c>
      <c r="F31" s="11" t="s">
        <v>90</v>
      </c>
      <c r="G31" s="12" t="s">
        <v>91</v>
      </c>
      <c r="H31" s="13" t="s">
        <v>92</v>
      </c>
      <c r="I31" s="12"/>
      <c r="J31" s="12"/>
      <c r="K31" s="12"/>
      <c r="L31" s="12"/>
      <c r="M31" s="12"/>
      <c r="N31" s="14" t="s">
        <v>93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94</v>
      </c>
      <c r="H32" s="13" t="s">
        <v>95</v>
      </c>
      <c r="I32" s="12"/>
      <c r="J32" s="12"/>
      <c r="K32" s="12"/>
      <c r="L32" s="12"/>
      <c r="M32" s="12"/>
      <c r="N32" s="14" t="s">
        <v>93</v>
      </c>
    </row>
    <row r="33" spans="2:14" x14ac:dyDescent="0.25">
      <c r="B33" s="9">
        <v>24</v>
      </c>
      <c r="C33" s="16" t="s">
        <v>38</v>
      </c>
      <c r="D33" s="11"/>
      <c r="E33" s="11"/>
      <c r="F33" s="11"/>
      <c r="G33" s="12" t="s">
        <v>96</v>
      </c>
      <c r="H33" s="13" t="s">
        <v>97</v>
      </c>
      <c r="I33" s="12"/>
      <c r="J33" s="12"/>
      <c r="K33" s="12"/>
      <c r="L33" s="12"/>
      <c r="M33" s="12"/>
      <c r="N33" s="14" t="s">
        <v>93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98</v>
      </c>
      <c r="H34" s="13" t="s">
        <v>99</v>
      </c>
      <c r="I34" s="12"/>
      <c r="J34" s="12"/>
      <c r="K34" s="12"/>
      <c r="L34" s="12"/>
      <c r="M34" s="12"/>
      <c r="N34" s="14" t="s">
        <v>93</v>
      </c>
    </row>
    <row r="35" spans="2:14" x14ac:dyDescent="0.25">
      <c r="B35" s="9">
        <v>26</v>
      </c>
      <c r="C35" s="15" t="s">
        <v>31</v>
      </c>
      <c r="D35" s="11"/>
      <c r="E35" s="11" t="s">
        <v>100</v>
      </c>
      <c r="F35" s="11" t="s">
        <v>101</v>
      </c>
      <c r="G35" s="12" t="s">
        <v>102</v>
      </c>
      <c r="H35" s="13" t="s">
        <v>103</v>
      </c>
      <c r="I35" s="12"/>
      <c r="J35" s="12"/>
      <c r="K35" s="12"/>
      <c r="L35" s="12"/>
      <c r="M35" s="12"/>
      <c r="N35" s="14" t="s">
        <v>104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105</v>
      </c>
      <c r="H36" s="13" t="s">
        <v>106</v>
      </c>
      <c r="I36" s="12"/>
      <c r="J36" s="12"/>
      <c r="K36" s="12"/>
      <c r="L36" s="12"/>
      <c r="M36" s="12"/>
      <c r="N36" s="14" t="s">
        <v>104</v>
      </c>
    </row>
    <row r="37" spans="2:14" x14ac:dyDescent="0.25">
      <c r="B37" s="9">
        <v>28</v>
      </c>
      <c r="C37" s="15" t="s">
        <v>31</v>
      </c>
      <c r="D37" s="11"/>
      <c r="E37" s="11"/>
      <c r="F37" s="11"/>
      <c r="G37" s="12" t="s">
        <v>107</v>
      </c>
      <c r="H37" s="13" t="s">
        <v>108</v>
      </c>
      <c r="I37" s="12"/>
      <c r="J37" s="12"/>
      <c r="K37" s="12"/>
      <c r="L37" s="12"/>
      <c r="M37" s="12"/>
      <c r="N37" s="14" t="s">
        <v>104</v>
      </c>
    </row>
    <row r="38" spans="2:14" x14ac:dyDescent="0.25">
      <c r="B38" s="9">
        <v>29</v>
      </c>
      <c r="C38" s="15" t="s">
        <v>31</v>
      </c>
      <c r="D38" s="11"/>
      <c r="E38" s="11" t="s">
        <v>109</v>
      </c>
      <c r="F38" s="12" t="s">
        <v>110</v>
      </c>
      <c r="G38" s="12" t="s">
        <v>111</v>
      </c>
      <c r="H38" s="13" t="s">
        <v>112</v>
      </c>
      <c r="I38" s="12"/>
      <c r="J38" s="12"/>
      <c r="K38" s="12"/>
      <c r="L38" s="12"/>
      <c r="M38" s="12"/>
      <c r="N38" s="14" t="s">
        <v>113</v>
      </c>
    </row>
    <row r="39" spans="2:14" x14ac:dyDescent="0.25">
      <c r="B39" s="9">
        <v>30</v>
      </c>
      <c r="C39" s="16" t="s">
        <v>38</v>
      </c>
      <c r="D39" s="11"/>
      <c r="E39" s="11"/>
      <c r="F39" s="11" t="s">
        <v>114</v>
      </c>
      <c r="G39" s="12" t="s">
        <v>115</v>
      </c>
      <c r="H39" s="13" t="s">
        <v>116</v>
      </c>
      <c r="I39" s="12"/>
      <c r="J39" s="12"/>
      <c r="K39" s="12"/>
      <c r="L39" s="12"/>
      <c r="M39" s="12"/>
      <c r="N39" s="14" t="s">
        <v>117</v>
      </c>
    </row>
    <row r="40" spans="2:14" x14ac:dyDescent="0.25">
      <c r="B40" s="9">
        <v>31</v>
      </c>
      <c r="C40" s="15" t="s">
        <v>31</v>
      </c>
      <c r="D40" s="11"/>
      <c r="E40" s="11"/>
      <c r="F40" s="11"/>
      <c r="G40" s="12" t="s">
        <v>118</v>
      </c>
      <c r="H40" s="13" t="s">
        <v>119</v>
      </c>
      <c r="I40" s="12"/>
      <c r="J40" s="12"/>
      <c r="K40" s="12"/>
      <c r="L40" s="12"/>
      <c r="M40" s="12"/>
      <c r="N40" s="14" t="s">
        <v>120</v>
      </c>
    </row>
    <row r="41" spans="2:14" x14ac:dyDescent="0.25">
      <c r="B41" s="9">
        <v>32</v>
      </c>
      <c r="C41" s="15" t="s">
        <v>31</v>
      </c>
      <c r="D41" s="11"/>
      <c r="E41" s="11"/>
      <c r="F41" s="11"/>
      <c r="G41" s="12" t="s">
        <v>121</v>
      </c>
      <c r="H41" s="13" t="s">
        <v>122</v>
      </c>
      <c r="I41" s="12"/>
      <c r="J41" s="12"/>
      <c r="K41" s="12"/>
      <c r="L41" s="12"/>
      <c r="M41" s="12"/>
      <c r="N41" s="14" t="s">
        <v>104</v>
      </c>
    </row>
    <row r="42" spans="2:14" x14ac:dyDescent="0.25">
      <c r="B42" s="9">
        <v>33</v>
      </c>
      <c r="C42" s="10" t="s">
        <v>22</v>
      </c>
      <c r="D42" s="11"/>
      <c r="E42" s="11"/>
      <c r="F42" s="12" t="s">
        <v>110</v>
      </c>
      <c r="G42" s="12" t="s">
        <v>123</v>
      </c>
      <c r="H42" s="13" t="s">
        <v>124</v>
      </c>
      <c r="I42" s="12"/>
      <c r="J42" s="12"/>
      <c r="K42" s="12"/>
      <c r="L42" s="12"/>
      <c r="M42" s="12"/>
      <c r="N42" s="14" t="s">
        <v>104</v>
      </c>
    </row>
  </sheetData>
  <mergeCells count="17">
    <mergeCell ref="D10:D42"/>
    <mergeCell ref="E10:E13"/>
    <mergeCell ref="E14:E16"/>
    <mergeCell ref="F14:F16"/>
    <mergeCell ref="E17:E20"/>
    <mergeCell ref="F17:F19"/>
    <mergeCell ref="E21:E25"/>
    <mergeCell ref="F21:F22"/>
    <mergeCell ref="F23:F25"/>
    <mergeCell ref="E26:E30"/>
    <mergeCell ref="F26:F30"/>
    <mergeCell ref="E31:E34"/>
    <mergeCell ref="F31:F34"/>
    <mergeCell ref="E35:E37"/>
    <mergeCell ref="F35:F37"/>
    <mergeCell ref="E38:E42"/>
    <mergeCell ref="F39:F41"/>
  </mergeCells>
  <dataValidations count="1">
    <dataValidation type="list" allowBlank="1" showErrorMessage="1" errorTitle="잘못된 값" error="Pass, Fail, N/T, Block 중 하나를 선택하세요." sqref="I10:J42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테스트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2026-05-21T03:07:40Z</dcterms:created>
  <dcterms:modified xsi:type="dcterms:W3CDTF">2026-05-21T03:07:40Z</dcterms:modified>
</cp:coreProperties>
</file>