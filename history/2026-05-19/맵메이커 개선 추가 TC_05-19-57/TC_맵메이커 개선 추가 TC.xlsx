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맵메이커 개선 추가 TC" state="visible" r:id="rId4"/>
  </sheets>
  <calcPr calcId="171027"/>
</workbook>
</file>

<file path=xl/sharedStrings.xml><?xml version="1.0" encoding="utf-8"?>
<sst xmlns="http://schemas.openxmlformats.org/spreadsheetml/2006/main" count="747" uniqueCount="571">
  <si>
    <t>(C)맵메이커 개선 추가 TC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</si>
  <si>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</si>
  <si>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</si>
  <si>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</si>
  <si>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</si>
  <si>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</si>
  <si>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</si>
  <si>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</si>
  <si>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</si>
  <si>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</si>
  <si>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</si>
  <si>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</si>
  <si>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</si>
  <si>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</si>
  <si>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</si>
  <si>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</si>
  <si>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</si>
  <si>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</si>
  <si>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</si>
  <si>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</si>
  <si>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</si>
  <si>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</si>
  <si>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Normal</t>
  </si>
  <si>
    <t>맵메이커 - 세부 규칙 설정</t>
  </si>
  <si>
    <t>맵 편집 진입</t>
  </si>
  <si>
    <t>편집 진입 화면</t>
  </si>
  <si>
    <t>화면 출력</t>
  </si>
  <si>
    <t>맵 미리보기 상단에 맵 타이틀(예: 진짜! 잘만든 맵1)이 출력된다.</t>
  </si>
  <si>
    <t>참고 화면: 맵 만들기 &gt; 나의 맵 &gt; 편집하기 진입</t>
  </si>
  <si>
    <t>버튼 출력</t>
  </si>
  <si>
    <t>하단에 공개하기(보라), 편집하기(노랑) 버튼이 출력된다.</t>
  </si>
  <si>
    <t>참고 화면: 맵 편집 진입 화면 하단</t>
  </si>
  <si>
    <t>Major</t>
  </si>
  <si>
    <t>룰 버튼 동작</t>
  </si>
  <si>
    <t>맵 설정 팝업 출력</t>
  </si>
  <si>
    <t>맵 설정 팝업이 출력된다.</t>
  </si>
  <si>
    <t>참고 화면: 맵 설정 팝업 진입</t>
  </si>
  <si>
    <t>맵 설정 팝업</t>
  </si>
  <si>
    <t>좌측 탭 영역</t>
  </si>
  <si>
    <t>탭 출력</t>
  </si>
  <si>
    <t>좌측 탭으로 맵 정보, 플레이어 설정, 추가 규칙이 출력된다.</t>
  </si>
  <si>
    <t>참고 화면: 맵 설정 팝업 좌측 탭</t>
  </si>
  <si>
    <t>탭 전환</t>
  </si>
  <si>
    <t>터치한 탭의 화면으로 전환된다.</t>
  </si>
  <si>
    <t>추가 규칙 탭</t>
  </si>
  <si>
    <t>적용 슬롯 표시</t>
  </si>
  <si>
    <t>상단에 적용된 규칙(N/3) 카운트가 출력된다.</t>
  </si>
  <si>
    <t>참고 화면: 추가 규칙 탭 상단</t>
  </si>
  <si>
    <t>규칙 리스트 출력</t>
  </si>
  <si>
    <t>각 규칙 행에 규칙 아이콘, 규칙명, 설명, 수치(&lt; -20% &gt;), 적용 버튼이 출력된다.</t>
  </si>
  <si>
    <t>참고 화면: 추가 규칙 리스트</t>
  </si>
  <si>
    <t>수치 조절</t>
  </si>
  <si>
    <t>규칙 수치가 단계별로 증감된다.</t>
  </si>
  <si>
    <t>참고 화면: 규칙 수치 조절 화살표</t>
  </si>
  <si>
    <t>적용 버튼 동작</t>
  </si>
  <si>
    <t>적용 버튼이 [✓ 적용중] 상태로 전환되고 상단 적용 카운트가 1 증가된다.</t>
  </si>
  <si>
    <t>참고 화면: 적용 버튼 → 적용중 상태 전환</t>
  </si>
  <si>
    <t>3개 적용 시 버튼 딤드</t>
  </si>
  <si>
    <t>남은 규칙들의 [적용] 버튼이 딤드(비활성화) 상태로 표시된다.</t>
  </si>
  <si>
    <t>참고 화면: 적용 3/3 상태 버튼 딤드</t>
  </si>
  <si>
    <t>기본값으로 버튼</t>
  </si>
  <si>
    <t>적용된 모든 규칙이 초기 기본값으로 리셋된다.</t>
  </si>
  <si>
    <t>참고 화면: 좌측 하단 기본값으로 버튼</t>
  </si>
  <si>
    <t>Critical</t>
  </si>
  <si>
    <t>저장하기 버튼</t>
  </si>
  <si>
    <t>변경한 규칙이 저장되고 맵 상세 보기에 반영된다.</t>
  </si>
  <si>
    <t>참고 화면: 저장하기 버튼</t>
  </si>
  <si>
    <t>저장 미반영 처리</t>
  </si>
  <si>
    <t>미저장 시 미반영</t>
  </si>
  <si>
    <t>변경된 규칙이 반영되지 않고 이전 상태로 표시된다.</t>
  </si>
  <si>
    <t>참고 화면: 미저장 시 변경 미반영</t>
  </si>
  <si>
    <t>플레이어 설정 탭</t>
  </si>
  <si>
    <t>시간 조절 화살표</t>
  </si>
  <si>
    <t>시간 수치가 단계별로 증��된다.</t>
  </si>
  <si>
    <t>참고 화면: 플레이어 설정 - 시간 조절</t>
  </si>
  <si>
    <t>숫자 직접 입력 말풍선</t>
  </si>
  <si>
    <t>입력한 숫자로 시간 값이 변경된다.</t>
  </si>
  <si>
    <t>참고 화면: 시간 수정 말풍선</t>
  </si>
  <si>
    <t>MAX 버튼</t>
  </si>
  <si>
    <t>시간 값이 최대값으로 변경된다.</t>
  </si>
  <si>
    <t>참고 화면: 시간 수정 말풍선 MAX 버튼</t>
  </si>
  <si>
    <t>맵 상세 적용 규칙 표시</t>
  </si>
  <si>
    <t>우상단 아이콘 출력</t>
  </si>
  <si>
    <t>적용 규칙 1~3개 표시</t>
  </si>
  <si>
    <t>적용된 규칙 개수만큼 아이콘이 우상단에 출력된다.</t>
  </si>
  <si>
    <t>참고 화면: 맵 상세 우상단 적용 규칙 아이콘</t>
  </si>
  <si>
    <t>추가규칙 보기 팝업</t>
  </si>
  <si>
    <t>팝업 출력</t>
  </si>
  <si>
    <t>추가규칙 보기 팝업이 출력되고 적용된 규칙명/수치/설명이 항목별로 출력된다.</t>
  </si>
  <si>
    <t>참고 화면: 추가규칙 보기 팝업</t>
  </si>
  <si>
    <t>클리어 조건 설정</t>
  </si>
  <si>
    <t>클리어 조건 팝업</t>
  </si>
  <si>
    <t>진입</t>
  </si>
  <si>
    <t>기본 설정 탭 위치</t>
  </si>
  <si>
    <t>맵 설정 팝업의 첫 화면이 기본 설정 탭에 위치한다.</t>
  </si>
  <si>
    <t>참고 화면: PopMapMakerSetting.ccb 진입 시</t>
  </si>
  <si>
    <t>젤리 획득 미션</t>
  </si>
  <si>
    <t>미션 출력</t>
  </si>
  <si>
    <t>젤리 종류 아이콘, 개수 입력, 이상/이하/일치 조건 선택, 적용하기 버튼이 출력된다.</t>
  </si>
  <si>
    <t>참고 화면: 젤리 획득 미션 영역</t>
  </si>
  <si>
    <t>젤리 아이콘 변경 말풍선</t>
  </si>
  <si>
    <t>선택한 젤리 종류로 변경된다.</t>
  </si>
  <si>
    <t>참고 화면: 젤리 변경 말풍선</t>
  </si>
  <si>
    <t>말풍선 젤리 스크롤</t>
  </si>
  <si>
    <t>젤리 리스트가 스크롤된다.</t>
  </si>
  <si>
    <t>참고 화면: 젤리 변경 말풍선 스크롤</t>
  </si>
  <si>
    <t>숫자/조건 조절</t>
  </si>
  <si>
    <t>숫자/조건(이상/이하/일치)이 단계별로 변경된다.</t>
  </si>
  <si>
    <t>참고 화면: 젤리 획득 미션 조절</t>
  </si>
  <si>
    <t>적용 상태 전환</t>
  </si>
  <si>
    <t>[적용하기] 버튼이 [✓ 적용중] 상태로 전환된다.</t>
  </si>
  <si>
    <t>참고 화면: 적용중 체크 상태</t>
  </si>
  <si>
    <t>클리어 타임 미션</t>
  </si>
  <si>
    <t>시간 입력, 이내(이하) 조건, 적용하기 버튼이 출력된다.</t>
  </si>
  <si>
    <t>참고 화면: 클리어 타임 미션 영역</t>
  </si>
  <si>
    <t>단일 적용 제한</t>
  </si>
  <si>
    <t>1개만 적용 가능</t>
  </si>
  <si>
    <t>클리어 타임 미션이 적용중으로 전환되고 기존 젤리 획득 미션의 적용중 상태는 해제된다.</t>
  </si>
  <si>
    <t>참고 화면: 클리어 조건 1개만 적용 가능</t>
  </si>
  <si>
    <t>하단 버튼</t>
  </si>
  <si>
    <t>초기화 버튼</t>
  </si>
  <si>
    <t>적용된 클리어 조건이 초기 상태로 리셋된다.</t>
  </si>
  <si>
    <t>참고 화면: 클리어 조��� 팝업 초기화 버튼</t>
  </si>
  <si>
    <t>변경한 클리어 조건이 저장되어 맵에 반영된다.</t>
  </si>
  <si>
    <t>참고 화면: 클리어 조건 팝업 저장하기</t>
  </si>
  <si>
    <t>인게임 미션 표시</t>
  </si>
  <si>
    <t>시작 팝업</t>
  </si>
  <si>
    <t>Mission 팝업 출력 후 사라짐</t>
  </si>
  <si>
    <t>게임 시작 시 Mission 안내 팝업(예: 무지개곰젤리 50개 이하로 먹기!)이 출력된 후 자동으로 사라진다.</t>
  </si>
  <si>
    <t>참고 화면: 인게임 시작 Mission 팝업</t>
  </si>
  <si>
    <t>좌측 상단 카운트</t>
  </si>
  <si>
    <t>카운트 출력</t>
  </si>
  <si>
    <t>좌측 상단에 보너스 타임 게이지와 현재 획득/목표 카운트(예: 0/50)가 출력된다.</t>
  </si>
  <si>
    <t>참고 화면: 인게임 좌측 상단 HUD</t>
  </si>
  <si>
    <t>젤리 미션 분기 표시</t>
  </si>
  <si>
    <t>N개 이상 성공</t>
  </si>
  <si>
    <t>카운트가 N/50 → 60/50 ✅(성공) 표기로 출력된다.</t>
  </si>
  <si>
    <t>참고 화면: 젤리 N개 이상 미션 분기</t>
  </si>
  <si>
    <t>N개 이하 성공/실패</t>
  </si>
  <si>
    <t>이하 시 40/50 ✅, 초과 시 60/50 ❌로 표시된다.</t>
  </si>
  <si>
    <t>참고 화면: 젤리 N개 이하 미션 분기</t>
  </si>
  <si>
    <t>N개 일치 성공/실패</t>
  </si>
  <si>
    <t>정확히 일치 시 50/50 ✅, 불일치 시 60/50 ❌로 표시된다.</t>
  </si>
  <si>
    <t>참고 화면: 젤리 N개 일치 미션 분기</t>
  </si>
  <si>
    <t>시간 미션 분기 표시</t>
  </si>
  <si>
    <t>N초 이상 완주</t>
  </si>
  <si>
    <t>남은 시간 ≥ 0 상태로 ✅ 성공 표기가 출력된다.</t>
  </si>
  <si>
    <t>참고 화면: 시간 N초 이상 미션 분기</t>
  </si>
  <si>
    <t>N초 이하 성공/실패</t>
  </si>
  <si>
    <t>시간 내 도달 시 ✅, 남은 시간 = 0 시 ❌로 표시된다.</t>
  </si>
  <si>
    <t>참고 화면: 시간 N초 이하 미션 분기</t>
  </si>
  <si>
    <t>결과화면</t>
  </si>
  <si>
    <t>PERFECT 표기</t>
  </si>
  <si>
    <t>퍼펙트 성공 표시</t>
  </si>
  <si>
    <t>결과화면에 PERFECT! 도장이 표시된다.</t>
  </si>
  <si>
    <t>참고 화면: 결과화면 PERFECT 연출</t>
  </si>
  <si>
    <t>클리어 조건 체크리스트</t>
  </si>
  <si>
    <t>성공 체크 표시</t>
  </si>
  <si>
    <t>각 충족 조건에 ✅(체크) 표시가 슬롯에 하나씩 출력된다.</t>
  </si>
  <si>
    <t>참고 화면: 결과화면 클리어 조건 체크리스트</t>
  </si>
  <si>
    <t>실패 X 표시</t>
  </si>
  <si>
    <t>미충족 조건에 ❌(X) 표시가 출력된다.</t>
  </si>
  <si>
    <t>참고 화면: 클리어 조건 일부 실패 케이스</t>
  </si>
  <si>
    <t>맵 찾아보기</t>
  </si>
  <si>
    <t>메인 화면</t>
  </si>
  <si>
    <t>상단 영역</t>
  </si>
  <si>
    <t>재화 표시</t>
  </si>
  <si>
    <t>다이아(💎)와 코인(💰) 보유량이 출력된다.</t>
  </si>
  <si>
    <t>참고 화면: 맵 찾아보기 메인 우상단</t>
  </si>
  <si>
    <t>설정/홈/메뉴</t>
  </si>
  <si>
    <t>설정(톱니바퀴), 홈, 메뉴(≡) 아이콘이 출력된다.</t>
  </si>
  <si>
    <t>참고 화면: 맵 찾아보기 메인 우상단 아이콘</t>
  </si>
  <si>
    <t>상단 탭 영역</t>
  </si>
  <si>
    <t>추천맵, 인기맵, 신규맵, 명예의 전당, 코드로 찾기, 즐겨찾기 탭이 출력된다.</t>
  </si>
  <si>
    <t>참고 화면: 맵 찾아보기 상단 탭</t>
  </si>
  <si>
    <t>맵 찾아���기</t>
  </si>
  <si>
    <t>참고 화면: 맵 찾아보기 탭 전환</t>
  </si>
  <si>
    <t>맵 그리드</t>
  </si>
  <si>
    <t>카드 정보 출력</t>
  </si>
  <si>
    <t>카드에 썸네일, 맵 코드, 좋아요 수(❤), 플레이수, 작성자 닉네임, 맵 이름이 출력된다.</t>
  </si>
  <si>
    <t>참고 화면: 맵 카드</t>
  </si>
  <si>
    <t>스크롤</t>
  </si>
  <si>
    <t>맵 카드 리스트가 스크롤된다.</t>
  </si>
  <si>
    <t>참고 화면: 맵 그리드 스크롤</t>
  </si>
  <si>
    <t>정렬 드롭다운</t>
  </si>
  <si>
    <t>정렬 옵션 출력</t>
  </si>
  <si>
    <t>별점순, 이름순, 좋아요순, 플레이순 정렬 옵션이 출력된다.</t>
  </si>
  <si>
    <t>참고 화면: 정렬 드롭다운</t>
  </si>
  <si>
    <t>정렬 적용</t>
  </si>
  <si>
    <t>맵 리스트가 선택한 기준으로 정렬되어 출력된다.</t>
  </si>
  <si>
    <t>참고 화면: 정렬 옵션 선택</t>
  </si>
  <si>
    <t>오늘의 PICK</t>
  </si>
  <si>
    <t>인포 버튼</t>
  </si>
  <si>
    <t>안내 팝업 출력</t>
  </si>
  <si>
    <t>안내 문구 팝업이 출력된다.</t>
  </si>
  <si>
    <t>참고 화면: 오늘의 PICK 인포 버튼</t>
  </si>
  <si>
    <t>맵 달려보기</t>
  </si>
  <si>
    <t>카드 터치</t>
  </si>
  <si>
    <t>달려보기 진입</t>
  </si>
  <si>
    <t>해당 맵 달려보기 화면으로 전환된다.</t>
  </si>
  <si>
    <t>참고 화면: 맵 카드 터치 → 달려보기</t>
  </si>
  <si>
    <t>홍보하기</t>
  </si>
  <si>
    <t>홍보 팝업</t>
  </si>
  <si>
    <t>내 맵 홍보하기 팝업이 출력되고 본인 맵 카드 리스트가 노출된다.</t>
  </si>
  <si>
    <t>참고 화면: 내 맵 홍보하기 팝업</t>
  </si>
  <si>
    <t>맵 선택</t>
  </si>
  <si>
    <t>선택한 맵이 강조 표시(체크)된다.</t>
  </si>
  <si>
    <t>참고 화면: 내 맵 홍보하기 카드 선택</t>
  </si>
  <si>
    <t>홍보하기 버튼</t>
  </si>
  <si>
    <t>다이아 2,000이 차감되고 선택한 맵이 홍보중 상태로 등록된다.</t>
  </si>
  <si>
    <t>참고 화면: 홍보하기 버튼 - 재화 차감</t>
  </si>
  <si>
    <t>홍보중 상태</t>
  </si>
  <si>
    <t>버튼 상태 변경</t>
  </si>
  <si>
    <t>버튼이 [홍보종료] 또는 홍보중 상태 표기로 변경된다.</t>
  </si>
  <si>
    <t>참고 화면: 홍보중 상태 버튼</t>
  </si>
  <si>
    <t>24시간 카운트다운</t>
  </si>
  <si>
    <t>홍보 잔여 시간이 카운트다운(예: 23:59:59 남음) 형식으로 출력된다.</t>
  </si>
  <si>
    <t>참고 화면: 홍보종료 카운트다운</t>
  </si>
  <si>
    <t>인기맵/신규맵/명예의 전당 탭</t>
  </si>
  <si>
    <t>인기맵 탭</t>
  </si>
  <si>
    <t>맵 리스트 영역</t>
  </si>
  <si>
    <t>100개 맵 출력</t>
  </si>
  <si>
    <t>최근 7일간 평가받은 최대 100개의 맵이 순위와 함께 출력된다.</t>
  </si>
  <si>
    <t>참고 화면: 인기맵 탭</t>
  </si>
  <si>
    <t>미평가 맵 표시</t>
  </si>
  <si>
    <t>평가받지 않은 맵에 "-" 형태로 표시된다.</t>
  </si>
  <si>
    <t>참고 화면: 인기맵 미평가 표시</t>
  </si>
  <si>
    <t>결과 발표 팝업</t>
  </si>
  <si>
    <t>최종 인기 점수 발표 팝업이 출력되고 달린 횟수, 좋아요 수, 명예의 전당 후보 안내, 상위 % 및 보상이 표시된다.</t>
  </si>
  <si>
    <t>참고 화면: 최종 인기 점수 발표 팝업</t>
  </si>
  <si>
    <t>확인 버튼</t>
  </si>
  <si>
    <t>팝업이 닫히고 메인화면으로 이동된다.</t>
  </si>
  <si>
    <t>참고 화면: 최종 인기 점수 발표 확인 버튼</t>
  </si>
  <si>
    <t>신규맵 탭</t>
  </si>
  <si>
    <t>NEW 뱃지</t>
  </si>
  <si>
    <t>뱃지 출력</t>
  </si>
  <si>
    <t>신규 등록된 맵 카드에 NEW 뱃지가 출력된다.</t>
  </si>
  <si>
    <t>참고 화면: 신규맵 NEW 뱃지</t>
  </si>
  <si>
    <t>상세 확인 후 제거</t>
  </si>
  <si>
    <t>해당 맵의 NEW 뱃지가 사라진다.</t>
  </si>
  <si>
    <t>참고 화면: 신규맵 상세 확인 후 NEW 제거</t>
  </si>
  <si>
    <t>명예의 전당 탭</t>
  </si>
  <si>
    <t>진입 시 최신달 표시</t>
  </si>
  <si>
    <t>최신달 디폴트</t>
  </si>
  <si>
    <t>후보달을 제외한 최신달의 명예의 전당 리스트가 디폴트로 출력된다.</t>
  </si>
  <si>
    <t>참고 화면: 명예의 전당 진입 시 최신달</t>
  </si>
  <si>
    <t>후보달 셀렉터</t>
  </si>
  <si>
    <t>화살표 전환</t>
  </si>
  <si>
    <t>이전 달 또는 현재 진행중인 후보달의 명예의 전당으로 화면이 전환된다.</t>
  </si>
  <si>
    <t>참고 화면: 명예의 전당 월 화살표 네비게이션</t>
  </si>
  <si>
    <t>발표 팝업</t>
  </si>
  <si>
    <t>상위 3개 카드 출력</t>
  </si>
  <si>
    <t>명예의 전당 발표 팝업이 출력되고 1, 2, 3위 맵 카드와 점수/닉네임이 출력된다.</t>
  </si>
  <si>
    <t>참고 화면: 명예의 전당 발표 팝업</t>
  </si>
  <si>
    <t>100개 맵 자동 스크롤</t>
  </si>
  <si>
    <t>100개의 맵 썸네일이 저속으로 자동 스크롤된다.</t>
  </si>
  <si>
    <t>참고 화면: 명예의 전당 100개 맵 자동 스크롤</t>
  </si>
  <si>
    <t>내 기록 없음 분기</t>
  </si>
  <si>
    <t>100개의 맵 리스트만 출력되고 "나의 결과" 영역은 출력되지 않는다.</t>
  </si>
  <si>
    <t>참고 화면: 명예의 전당 발표 - 내 기록 없음</t>
  </si>
  <si>
    <t>내 기록 있음 분기</t>
  </si>
  <si>
    <t>100개 맵 리스트 하단에 "나의 결과" + 상위 % + 보상(💎)이 출력된다.</t>
  </si>
  <si>
    <t>참고 화면: 명예의 전당 발표 - 내 기록 있음</t>
  </si>
  <si>
    <t>코드로 찾기</t>
  </si>
  <si>
    <t>입력 영역</t>
  </si>
  <si>
    <t>입력 필드</t>
  </si>
  <si>
    <t>코드 입력</t>
  </si>
  <si>
    <t>입력 필드에 입력한 코드가 출력된다.</t>
  </si>
  <si>
    <t>참고 화면: 코드로 찾기 입력 필드</t>
  </si>
  <si>
    <t>입력된 코드가 모두 삭제된다.</t>
  </si>
  <si>
    <t>참고 화면: 입력 필드 초기화 버튼</t>
  </si>
  <si>
    <t>찾기 버튼</t>
  </si>
  <si>
    <t>맵 검색</t>
  </si>
  <si>
    <t>입력한 코드에 해당하는 맵의 상세 화면으로 전환된다.</t>
  </si>
  <si>
    <t>참고 화면: 코드로 찾기 - 찾기 버튼</t>
  </si>
  <si>
    <t>즐겨찾기</t>
  </si>
  <si>
    <t>즐겨찾기 등록</t>
  </si>
  <si>
    <t>빈 별 슬롯 동작</t>
  </si>
  <si>
    <t>토스트 출력</t>
  </si>
  <si>
    <t>즐겨찾기 등록 토스트 메시지가 출력된다.</t>
  </si>
  <si>
    <t>참고 화면: 빈 별 슬롯 클릭 - 토스트</t>
  </si>
  <si>
    <t>즐겨찾기 추가</t>
  </si>
  <si>
    <t>해당 맵이 즐겨찾기 리스트에 추가된다.</t>
  </si>
  <si>
    <t>참고 화면: 즐겨찾기 추가 처리</t>
  </si>
  <si>
    <t>채워진 슬롯 동작</t>
  </si>
  <si>
    <t>즐겨찾기 취소 토스트 메시지가 출력된다.</t>
  </si>
  <si>
    <t>참고 화면: 채워진 별 슬롯 클릭 - 토스트</t>
  </si>
  <si>
    <t>즐겨찾기 제거</t>
  </si>
  <si>
    <t>해당 맵이 즐겨찾기 리스트에서 제거된다.</t>
  </si>
  <si>
    <t>참고 화면: 즐겨찾기 제거 처리</t>
  </si>
  <si>
    <t>최대 개수 도달</t>
  </si>
  <si>
    <t>안내 출력</t>
  </si>
  <si>
    <t>최대 개수 도달 안내 토스트가 출력된다.</t>
  </si>
  <si>
    <t>참고 화면: 즐겨찾기 최대 개수 토스트</t>
  </si>
  <si>
    <t>추가 차단</t>
  </si>
  <si>
    <t>해당 맵이 즐겨찾기 리스트에 추가되지 않는다.</t>
  </si>
  <si>
    <t>참고 화면: 즐겨찾기 최대 개수 - 추가 차단</t>
  </si>
  <si>
    <t>즐겨찾기 탭</t>
  </si>
  <si>
    <t>맵 리스트 출력</t>
  </si>
  <si>
    <t>리스트 표시</t>
  </si>
  <si>
    <t>즐겨찾기 등록된 맵 카드 리스트가 출력된다.</t>
  </si>
  <si>
    <t>참고 화면: 즐겨찾기 탭</t>
  </si>
  <si>
    <t>랭킹</t>
  </si>
  <si>
    <t>랭킹 메인</t>
  </si>
  <si>
    <t>맵 만들기 버튼</t>
  </si>
  <si>
    <t>맵메이커 진입</t>
  </si>
  <si>
    <t>맵메이커 화면으로 전환된다.</t>
  </si>
  <si>
    <t>참고 화면: 랭킹 메인 맵 만들기 버튼</t>
  </si>
  <si>
    <t>맵짱 랭킹</t>
  </si>
  <si>
    <t>내 기록 없음</t>
  </si>
  <si>
    <t>안내 문구</t>
  </si>
  <si>
    <t>내 기록이 없을 경우 안내 문구가 출력된다.</t>
  </si>
  <si>
    <t>참고 화면: 내 기록 없음 안내</t>
  </si>
  <si>
    <t>Top 3 강조</t>
  </si>
  <si>
    <t>강조 표시</t>
  </si>
  <si>
    <t>내 랭킹 영역이 강조 표시된다.</t>
  </si>
  <si>
    <t>참고 화면: Top 3 강조 표시</t>
  </si>
  <si>
    <t>랭킹 표시</t>
  </si>
  <si>
    <t>Top 3 노출</t>
  </si>
  <si>
    <t>맵 랭킹은 Top 3까지 노출된다.</t>
  </si>
  <si>
    <t>참고 화면: 추천맵 달려보기 - Top 3 랭킹</t>
  </si>
  <si>
    <t>치트 퍼펙트 랭킹</t>
  </si>
  <si>
    <t>전체 랭킹</t>
  </si>
  <si>
    <t>전체 탭 표시</t>
  </si>
  <si>
    <t>Top 100 형태의 전체 랭킹 보드가 출력된다.</t>
  </si>
  <si>
    <t>참고 화면: 치트 퍼펙트 전체 랭킹</t>
  </si>
  <si>
    <t>월간 랭킹</t>
  </si>
  <si>
    <t>월간 탭 표시</t>
  </si>
  <si>
    <t>월간 집계 랭킹 보드가 출력된다.</t>
  </si>
  <si>
    <t>참고 화면: 치트 퍼펙트 월간 랭킹</t>
  </si>
  <si>
    <t>명예의 전당 점수 1등 맵 개수</t>
  </si>
  <si>
    <t>랭킹 화면</t>
  </si>
  <si>
    <t>1등 맵 개수 랭킹 출력</t>
  </si>
  <si>
    <t>상위 랭킹 유저 리스트와 1등 맵 개수가 출력된다.</t>
  </si>
  <si>
    <t>참고 화면: 명예의 전당 점수 1등 맵 개수 랭킹</t>
  </si>
  <si>
    <t>맵 심사하기</t>
  </si>
  <si>
    <t>심사 진입</t>
  </si>
  <si>
    <t>캠프 화면</t>
  </si>
  <si>
    <t>심사하기 버튼</t>
  </si>
  <si>
    <t>맵 심사하기 화면으로 전환된다.</t>
  </si>
  <si>
    <t>참고 화면: 캠프 - 심사하기 버튼</t>
  </si>
  <si>
    <t>상단 배너</t>
  </si>
  <si>
    <t>횟수 표시</t>
  </si>
  <si>
    <t>오늘의 심사 횟수(N/3) 표기가 출력된다.</t>
  </si>
  <si>
    <t>참고 화면: 심사하기 상단 횟수</t>
  </si>
  <si>
    <t>맵 후보 선택</t>
  </si>
  <si>
    <t>진입 연출</t>
  </si>
  <si>
    <t>등장 연출</t>
  </si>
  <si>
    <t>맵 카드 3개가 우→좌 방향으로 등장 연출과 함께 출력된다.</t>
  </si>
  <si>
    <t>참고 화면: 맵 등장 연출</t>
  </si>
  <si>
    <t>타이틀 연출</t>
  </si>
  <si>
    <t>타이틀이 작아졌다 커지는 연출이 재생된다.</t>
  </si>
  <si>
    <t>참고 화면: 타이틀 펄럭 연출</t>
  </si>
  <si>
    <t>셀 선택</t>
  </si>
  <si>
    <t>확대 유지</t>
  </si>
  <si>
    <t>선택된 셀이 1.2배 확대된 상태로 유지된다.</t>
  </si>
  <si>
    <t>참고 화면: 셀 1.2배 확대</t>
  </si>
  <si>
    <t>확정하기 노출</t>
  </si>
  <si>
    <t>하단에 [확정하기] 노란 버튼이 출력된다.</t>
  </si>
  <si>
    <t>참고 화면: 확정하기 버튼 노출</t>
  </si>
  <si>
    <t>확정</t>
  </si>
  <si>
    <t>선택률 % 표시</t>
  </si>
  <si>
    <t>각 맵 카드 하단에 선택률 %(예: 6.25% / 37.5% / 56.25%)가 출력된다.</t>
  </si>
  <si>
    <t>참고 화면: 선택률 % 표시</t>
  </si>
  <si>
    <t>강조 연출</t>
  </si>
  <si>
    <t>미선택 맵이 사라지고 선택한 맵이 중앙으로 이동되며 캐릭터/말풍선이 출력된다.</t>
  </si>
  <si>
    <t>참고 화면: 선택 맵 중앙 이동 연출</t>
  </si>
  <si>
    <t>횟수 소진</t>
  </si>
  <si>
    <t>"오늘의 심사 완료!" 안내 문구가 출력된다.</t>
  </si>
  <si>
    <t>참고 화면: 심사 횟수 소진</t>
  </si>
  <si>
    <t>카운트다운</t>
  </si>
  <si>
    <t>다음 심사 가능 시간이 99:99:99 형식의 카운트다운으로 출력된다.</t>
  </si>
  <si>
    <t>참고 화면: 심사 횟수 소진 카운트다운</t>
  </si>
  <si>
    <t>심사 팝업</t>
  </si>
  <si>
    <t>맵 정보 영역</t>
  </si>
  <si>
    <t>작성자/맵코드/등록일</t>
  </si>
  <si>
    <t>맵 이름, 작성자 닉네임, 맵 코드, 등록일이 출력된다.</t>
  </si>
  <si>
    <t>참고 화면: 심사하기 맵 정보 영역</t>
  </si>
  <si>
    <t>클리어 조건 표시</t>
  </si>
  <si>
    <t>해당 맵의 클리어 조건이 출력된다.</t>
  </si>
  <si>
    <t>참고 화면: 심사하기 클리어 조건 표시</t>
  </si>
  <si>
    <t>추가 규칙 가변 표시</t>
  </si>
  <si>
    <t>적용된 규칙 개수만큼 1~3개의 항목이 출력된다.</t>
  </si>
  <si>
    <t>참고 화면: 심사하기 추가 규칙 가변 표시</t>
  </si>
  <si>
    <t>PLAY 버튼</t>
  </si>
  <si>
    <t>인게임 진입</t>
  </si>
  <si>
    <t>심사 대상 맵의 인게임으로 진입된다.</t>
  </si>
  <si>
    <t>참고 화면: 심사하기 PLAY 버튼</t>
  </si>
  <si>
    <t>일시정지 평가</t>
  </si>
  <si>
    <t>일시정지 팝업</t>
  </si>
  <si>
    <t>계속하기 버튼</t>
  </si>
  <si>
    <t>일시정지가 해제되고 인게임이 재개된다.</t>
  </si>
  <si>
    <t>참고 화면: 일시정지 팝업 계속하기</t>
  </si>
  <si>
    <t>그만하기 버튼</t>
  </si>
  <si>
    <t>인게임이 종료되고 결과 화면으로 전환된다.</t>
  </si>
  <si>
    <t>참고 화면: 일시정지 팝업 그만하기</t>
  </si>
  <si>
    <t>평가 가능 상태</t>
  </si>
  <si>
    <t>좋아요 선택</t>
  </si>
  <si>
    <t>해당 맵에 좋아요 평가가 등록된다.</t>
  </si>
  <si>
    <t>참고 화면: 일시정지 좋아요 평가</t>
  </si>
  <si>
    <t>별로에요 선택</t>
  </si>
  <si>
    <t>해당 맵에 별로에요 평가가 등록된다.</t>
  </si>
  <si>
    <t>참고 화면: 일시정지 별로에요 평가</t>
  </si>
  <si>
    <t>평가 불가 상태</t>
  </si>
  <si>
    <t>자물쇠 표시</t>
  </si>
  <si>
    <t>좋아요/별로에요 버튼 위에 자물쇠(🔒) 아이콘이 출력된다.</t>
  </si>
  <si>
    <t>참고 화면: 평가 불가 자물쇠 표시</t>
  </si>
  <si>
    <t>"아직 평가할 수 없어요" 안내 문구가 출력된다.</t>
  </si>
  <si>
    <t>참고 화면: 평가 불가 안내 문구</t>
  </si>
  <si>
    <t>즐겨찾기 등록 버튼</t>
  </si>
  <si>
    <t>등록 동작</t>
  </si>
  <si>
    <t>해당 맵이 즐겨찾기에 등록된다.</t>
  </si>
  <si>
    <t>참고 화면: 일시정지 즐겨찾기 등록</t>
  </si>
  <si>
    <t>취소 동작</t>
  </si>
  <si>
    <t>해당 맵이 즐겨찾기에서 해제된다.</t>
  </si>
  <si>
    <t>참고 화면: 일시정지 즐겨찾기 취소</t>
  </si>
  <si>
    <t>신고하기 버튼</t>
  </si>
  <si>
    <t>신고 동작</t>
  </si>
  <si>
    <t>신고 관련 화면 또는 팝업이 출력된다.</t>
  </si>
  <si>
    <t>참고 화면: 일시정지 신고하기</t>
  </si>
  <si>
    <t>결과 화면 평가</t>
  </si>
  <si>
    <t>Result 화면 출력</t>
  </si>
  <si>
    <t>결과 정보 표시</t>
  </si>
  <si>
    <t>Result 타이틀, 맵 점수, 젤리 획득 수, 심사 보상(💰50)이 출력된다.</t>
  </si>
  <si>
    <t>참고 화면: Result 화면 - 심사</t>
  </si>
  <si>
    <t>평가 패널 펼침</t>
  </si>
  <si>
    <t>토글 동작</t>
  </si>
  <si>
    <t>평가 패널이 펼쳐지며 별로에요/좋아요 버튼이 출력된다.</t>
  </si>
  <si>
    <t>참고 화면: 결과 화면 평가 패널 토글</t>
  </si>
  <si>
    <t>해당 맵에 좋아요가 등록되고 심사 보상(💰50)이 지급된다.</t>
  </si>
  <si>
    <t>참고 화면: 결과 화면 좋아요</t>
  </si>
  <si>
    <t>해당 맵에 별로에요가 등록되고 심사 보상(💰50)이 지급된다.</t>
  </si>
  <si>
    <t>참고 화면: 결과 화면 별로에요</t>
  </si>
  <si>
    <t>달성목록 펼침</t>
  </si>
  <si>
    <t>클리어 조건 달성 목록이 펼쳐져 출력된다.</t>
  </si>
  <si>
    <t>참고 화면: 결과 화면 달성목록 토글</t>
  </si>
  <si>
    <t>조합 고정 &amp; 능력</t>
  </si>
  <si>
    <t>조합 및 능력 탭</t>
  </si>
  <si>
    <t>기본 상태</t>
  </si>
  <si>
    <t>최초 진입 기본값</t>
  </si>
  <si>
    <t>쿠키/펫/보물 능력 사용 ON, 고정 조합 없음 상태로 출력된다.</t>
  </si>
  <si>
    <t>참고 화면: 조합 및 능력 탭 최초 기본값</t>
  </si>
  <si>
    <t>능력 사용 토글</t>
  </si>
  <si>
    <t>ON 동작</t>
  </si>
  <si>
    <t>공개하기 화면 하단 띠가 "쿠키/펫/보물 능력 ON!"으로 출력된다.</t>
  </si>
  <si>
    <t>참고 화면: 능력 ON 동작</t>
  </si>
  <si>
    <t>OFF 동작</t>
  </si>
  <si>
    <t>공개하기 화면 하단 띠가 "쿠키/펫/보물 능력 OFF"로 출력된다.</t>
  </si>
  <si>
    <t>참고 화면: 능력 OFF 동작</t>
  </si>
  <si>
    <t>고정조합 설정 버튼</t>
  </si>
  <si>
    <t>설정 화면 진입</t>
  </si>
  <si>
    <t>쿠키 조합 변경 화면으로 전환된다.</t>
  </si>
  <si>
    <t>참고 화면: 고정 조합 설정 진입</t>
  </si>
  <si>
    <t>고정 조합 설정</t>
  </si>
  <si>
    <t>캐릭터 선택</t>
  </si>
  <si>
    <t>선택 표시</t>
  </si>
  <si>
    <t>선택된 캐릭터에 녹색 테두리 강조 표시가 출력된다.</t>
  </si>
  <si>
    <t>참고 화면: 캐릭터 선택 강조 표시</t>
  </si>
  <si>
    <t>검색/정렬</t>
  </si>
  <si>
    <t>검색/정렬 UI가 출력된다.</t>
  </si>
  <si>
    <t>참고 화면: 검색/정렬 드롭다운</t>
  </si>
  <si>
    <t>조합 저장</t>
  </si>
  <si>
    <t>저장 동작</t>
  </si>
  <si>
    <t>선택한 조합이 고정 조합으로 저장된다.</t>
  </si>
  <si>
    <t>참고 화면: 조합 저장하기</t>
  </si>
  <si>
    <t>해제하기</t>
  </si>
  <si>
    <t>초기화 안내</t>
  </si>
  <si>
    <t>"초기화할까요?" 안내 문구가 출력된다.</t>
  </si>
  <si>
    <t>참고 화면: 해제하기 초기화 안내</t>
  </si>
  <si>
    <t>리셋 동작</t>
  </si>
  <si>
    <t>고정 조합이 리셋되어 미설정 상태로 출력된다.</t>
  </si>
  <si>
    <t>참고 화면: 조합 리셋</t>
  </si>
  <si>
    <t>저장 후 화면</t>
  </si>
  <si>
    <t>캐릭터 아이콘 출력</t>
  </si>
  <si>
    <t>저장된 펫/쿠키 아이콘이 출력된다.</t>
  </si>
  <si>
    <t>참고 화면: 조합 저장 후 아이콘 표시</t>
  </si>
  <si>
    <t>삭제 버튼</t>
  </si>
  <si>
    <t>해당 슬롯의 캐릭터가 삭제된다.</t>
  </si>
  <si>
    <t>참고 화면: 조합 저장 후 삭제 버튼</t>
  </si>
  <si>
    <t>조합 변경</t>
  </si>
  <si>
    <t>변경 불가 안내</t>
  </si>
  <si>
    <t>고정 조합 변경 차단</t>
  </si>
  <si>
    <t>고정된 조합은 변경 불가 상태로 그리드가 비활성화된다.</t>
  </si>
  <si>
    <t>참고 화면: 고정 조합 변경 불가</t>
  </si>
  <si>
    <t>미고정 조합 변경 가능</t>
  </si>
  <si>
    <t>고정되지 않은 조합은 변경 가능하며 [조합 저장하기] 버튼이 활성화된다.</t>
  </si>
  <si>
    <t>참고 화면: 미고정 조합 변경 가능</t>
  </si>
  <si>
    <t>공개하기/달려보기</t>
  </si>
  <si>
    <t>공개하기 화면</t>
  </si>
  <si>
    <t>능력 OFF 표시</t>
  </si>
  <si>
    <t>OFF 띠 출력</t>
  </si>
  <si>
    <t>화면 하단에 "쿠키/펫/보물 능력 OFF" 띠가 출력된다.</t>
  </si>
  <si>
    <t>참고 화면: 공개하기 능력 OFF 표시</t>
  </si>
  <si>
    <t>능력 ON 표시</t>
  </si>
  <si>
    <t>ON 띠 출력</t>
  </si>
  <si>
    <t>화면 하단에 "쿠키/펫/보물 능력 ON!" 띠가 출력된다.</t>
  </si>
  <si>
    <t>참고 화면: 공개하기 능력 ON 표시</t>
  </si>
  <si>
    <t>등록 테스트 버튼</t>
  </si>
  <si>
    <t>문구 변경</t>
  </si>
  <si>
    <t>OFF 시 "쿠키/펫/보물 능력 OFF", ON 시 "쿠키/펫/보물 능력 ON!" 문구로 변경 출력된다.</t>
  </si>
  <si>
    <t>참고 화면: 등록 테스트 버튼 상단 문구</t>
  </si>
  <si>
    <t>등록 테스트 진입</t>
  </si>
  <si>
    <t>등록 테스트 인게임으로 진입된다.</t>
  </si>
  <si>
    <t>참고 화면: 등록 테스트 버튼</t>
  </si>
  <si>
    <t>공개 토글</t>
  </si>
  <si>
    <t>등록 테스트 미완료 시 비활성</t>
  </si>
  <si>
    <t>맵 코드/등록일 영역에 "등록 테스트 필요" 문구가 출력되고 공개하기 토글이 비활성화된다.</t>
  </si>
  <si>
    <t>참고 화면: 등록 테스트 미완료 공개 비활성</t>
  </si>
  <si>
    <t>공개하기 동작</t>
  </si>
  <si>
    <t>해당 맵이 공개 상태로 등록된다.</t>
  </si>
  <si>
    <t>참고 화면: 공개하기 동작</t>
  </si>
  <si>
    <t>달려보기 화면</t>
  </si>
  <si>
    <t>달려보기 정보 표시</t>
  </si>
  <si>
    <t>맵 미리보기, 캐릭터 슬롯, 능력 OFF 표시 띠, [등록 테스트] 버튼이 출력된다.</t>
  </si>
  <si>
    <t>참고 화면: 달려보기 화면</t>
  </si>
  <si>
    <t>맵 공개 성공</t>
  </si>
  <si>
    <t>황금셀 팝업</t>
  </si>
  <si>
    <t>"맵 공개 성공!" 팝업이 출력된다.</t>
  </si>
  <si>
    <t>참고 화면: 맵 공개 성공 황금셀 팝업</t>
  </si>
  <si>
    <t>평가 결과 표시</t>
  </si>
  <si>
    <t>달린 횟수, 좋아요 수, "공개 후 7일간 측정한 인기도로 명예의 전당에 도전해보세요!" 안내 문구가 출력된다.</t>
  </si>
  <si>
    <t>참고 화면: 맵 공개 성공 본문</t>
  </si>
  <si>
    <t>팝업이 닫힌다.</t>
  </si>
  <si>
    <t>참고 화면: 맵 공개 성공 확인 버튼</t>
  </si>
  <si>
    <t>공개 후 셀 상태</t>
  </si>
  <si>
    <t>인기도 측정 카운트다운</t>
  </si>
  <si>
    <t>셀 하단에 "인기도 측정중... N일" 카운트다운과 잠금(🔒) 아이콘이 출력된다.</t>
  </si>
  <si>
    <t>참고 화면: 공개 후 셀 상태</t>
  </si>
  <si>
    <t>Result 화면</t>
  </si>
  <si>
    <t>슬롯 순차 출력</t>
  </si>
  <si>
    <t>조건 슬롯 등장</t>
  </si>
  <si>
    <t>클리어 조건 슬롯이 하나씩 순차적으로 출력된다.</t>
  </si>
  <si>
    <t>참고 화면: Result 슬롯 순차 표시</t>
  </si>
  <si>
    <t>성공 체크</t>
  </si>
  <si>
    <t>✅ 표시</t>
  </si>
  <si>
    <t>충족된 조건에 ✅(체크) 표시가 출력된다.</t>
  </si>
  <si>
    <t>참고 화면: Result 성공 체크</t>
  </si>
  <si>
    <t>실패 X</t>
  </si>
  <si>
    <t>❌ 표시</t>
  </si>
  <si>
    <t>참고 화면: Result 실패 X 표시</t>
  </si>
  <si>
    <t>PERFECT 연출</t>
  </si>
  <si>
    <t>도장 연출</t>
  </si>
  <si>
    <t>PERFECT 도장 등장</t>
  </si>
  <si>
    <t>일정 시간 후 클리어 조건 위로 PERFECT! 도장 연출이 재생된다.</t>
  </si>
  <si>
    <t>참고 화면: PERFECT 도장 연출</t>
  </si>
  <si>
    <t>접힘 연출</t>
  </si>
  <si>
    <t>조건 영역 접힘</t>
  </si>
  <si>
    <t>일정 시간 후 클리어 조건 영역이 접힌다.</t>
  </si>
  <si>
    <t>참고 화면: PERFECT 접힘 연출</t>
  </si>
  <si>
    <t>평가/달성 토글</t>
  </si>
  <si>
    <t>▼ 평가 펼침</t>
  </si>
  <si>
    <t>평가 패널 토글</t>
  </si>
  <si>
    <t>평가 패널(별로에요/좋아요)이 펼쳐진다.</t>
  </si>
  <si>
    <t>참고 화면: Result 평가 펼침</t>
  </si>
  <si>
    <t>▲ 달성목록 펼침</t>
  </si>
  <si>
    <t>달성목록 토글</t>
  </si>
  <si>
    <t>클리어 조건 달성 목록이 펼쳐진다.</t>
  </si>
  <si>
    <t>참고 화면: Result 달성목록 펼침</t>
  </si>
  <si>
    <t>맵 상세정보 진입</t>
  </si>
  <si>
    <t>맵 코드 표시</t>
  </si>
  <si>
    <t>맵 코드 출력</t>
  </si>
  <si>
    <t>맵 코드(예: ABCDEFG1234567)와 복사 아이콘이 출력된다.</t>
  </si>
  <si>
    <t>참고 화면: 맵 상세 - 맵 코드</t>
  </si>
  <si>
    <t>공개하기 버튼</t>
  </si>
  <si>
    <t>공개하기 진입</t>
  </si>
  <si>
    <t>공개하기 화면으로 전환된다.</t>
  </si>
  <si>
    <t>참고 화면: 맵 상세 - 공개하기 버튼</t>
  </si>
  <si>
    <t>편집하기 버튼</t>
  </si>
  <si>
    <t>편집하기 진입</t>
  </si>
  <si>
    <t>맵 편집 화면으로 전환된다.</t>
  </si>
  <si>
    <t>참고 화면: 맵 상세 - 편집하기 버튼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</si>
</sst>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9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COUNTIF(I10:I154,"Pass")</f>
      </c>
      <c r="K3" t="s">
        <v>4</v>
      </c>
      <c r="L3">
        <f>COUNTIF(I10:I154,"")</f>
      </c>
      <c r="M3" s="3" t="s">
        <v>3</v>
      </c>
      <c r="N3">
        <f>COUNTIF(J10:J154,"Pass")</f>
      </c>
    </row>
    <row r="4" spans="9:14" x14ac:dyDescent="0.25">
      <c r="I4" s="4" t="s">
        <v>5</v>
      </c>
      <c r="J4">
        <f>COUNTIF(I10:I154,"N/T")</f>
      </c>
      <c r="K4" t="s">
        <v>6</v>
      </c>
      <c r="L4">
        <f>COUNTA(I10:I154)-COUNTIF(I10:I154,"")</f>
      </c>
      <c r="M4" s="4" t="s">
        <v>5</v>
      </c>
      <c r="N4">
        <f>COUNTIF(J10:J154,"N/T")</f>
      </c>
    </row>
    <row r="5" spans="9:14" x14ac:dyDescent="0.25">
      <c r="I5" s="5" t="s">
        <v>7</v>
      </c>
      <c r="J5">
        <f>COUNTIF(I10:I154,"Fail")</f>
      </c>
      <c r="K5" t="s">
        <v>8</v>
      </c>
      <c r="L5">
        <v>145</v>
      </c>
      <c r="M5" s="5" t="s">
        <v>7</v>
      </c>
      <c r="N5">
        <f>COUNTIF(J10:J154,"Fail")</f>
      </c>
    </row>
    <row r="6" spans="9:14" x14ac:dyDescent="0.25">
      <c r="I6" s="6" t="s">
        <v>9</v>
      </c>
      <c r="J6">
        <f>COUNTIF(I10:I154,"Block")</f>
      </c>
      <c r="K6" t="s">
        <v>10</v>
      </c>
      <c r="L6" s="7">
        <f>IF(L5=0,0,L4/L5)</f>
      </c>
      <c r="M6" s="6" t="s">
        <v>9</v>
      </c>
      <c r="N6">
        <f>COUNTIF(J10:J154,"Block")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31</v>
      </c>
    </row>
    <row r="12" spans="2:14" x14ac:dyDescent="0.25">
      <c r="B12" s="9">
        <v>3</v>
      </c>
      <c r="C12" s="15" t="s">
        <v>32</v>
      </c>
      <c r="D12" s="11"/>
      <c r="E12" s="11"/>
      <c r="F12" s="12" t="s">
        <v>33</v>
      </c>
      <c r="G12" s="12" t="s">
        <v>34</v>
      </c>
      <c r="H12" s="13" t="s">
        <v>35</v>
      </c>
      <c r="I12" s="12"/>
      <c r="J12" s="12"/>
      <c r="K12" s="12"/>
      <c r="L12" s="12"/>
      <c r="M12" s="12"/>
      <c r="N12" s="14" t="s">
        <v>36</v>
      </c>
    </row>
    <row r="13" spans="2:14" x14ac:dyDescent="0.25">
      <c r="B13" s="9">
        <v>4</v>
      </c>
      <c r="C13" s="10" t="s">
        <v>22</v>
      </c>
      <c r="D13" s="11"/>
      <c r="E13" s="11" t="s">
        <v>37</v>
      </c>
      <c r="F13" s="11" t="s">
        <v>38</v>
      </c>
      <c r="G13" s="12" t="s">
        <v>39</v>
      </c>
      <c r="H13" s="13" t="s">
        <v>40</v>
      </c>
      <c r="I13" s="12"/>
      <c r="J13" s="12"/>
      <c r="K13" s="12"/>
      <c r="L13" s="12"/>
      <c r="M13" s="12"/>
      <c r="N13" s="14" t="s">
        <v>41</v>
      </c>
    </row>
    <row r="14" spans="2:14" x14ac:dyDescent="0.25">
      <c r="B14" s="9">
        <v>5</v>
      </c>
      <c r="C14" s="15" t="s">
        <v>32</v>
      </c>
      <c r="D14" s="11"/>
      <c r="E14" s="11"/>
      <c r="F14" s="11"/>
      <c r="G14" s="12" t="s">
        <v>42</v>
      </c>
      <c r="H14" s="13" t="s">
        <v>43</v>
      </c>
      <c r="I14" s="12"/>
      <c r="J14" s="12"/>
      <c r="K14" s="12"/>
      <c r="L14" s="12"/>
      <c r="M14" s="12"/>
      <c r="N14" s="14" t="s">
        <v>41</v>
      </c>
    </row>
    <row r="15" spans="2:14" x14ac:dyDescent="0.25">
      <c r="B15" s="9">
        <v>6</v>
      </c>
      <c r="C15" s="10" t="s">
        <v>22</v>
      </c>
      <c r="D15" s="11"/>
      <c r="E15" s="11"/>
      <c r="F15" s="11" t="s">
        <v>44</v>
      </c>
      <c r="G15" s="12" t="s">
        <v>45</v>
      </c>
      <c r="H15" s="13" t="s">
        <v>46</v>
      </c>
      <c r="I15" s="12"/>
      <c r="J15" s="12"/>
      <c r="K15" s="12"/>
      <c r="L15" s="12"/>
      <c r="M15" s="12"/>
      <c r="N15" s="14" t="s">
        <v>47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48</v>
      </c>
      <c r="H16" s="13" t="s">
        <v>49</v>
      </c>
      <c r="I16" s="12"/>
      <c r="J16" s="12"/>
      <c r="K16" s="12"/>
      <c r="L16" s="12"/>
      <c r="M16" s="12"/>
      <c r="N16" s="14" t="s">
        <v>50</v>
      </c>
    </row>
    <row r="17" spans="2:14" x14ac:dyDescent="0.25">
      <c r="B17" s="9">
        <v>8</v>
      </c>
      <c r="C17" s="15" t="s">
        <v>32</v>
      </c>
      <c r="D17" s="11"/>
      <c r="E17" s="11"/>
      <c r="F17" s="11"/>
      <c r="G17" s="12" t="s">
        <v>51</v>
      </c>
      <c r="H17" s="13" t="s">
        <v>52</v>
      </c>
      <c r="I17" s="12"/>
      <c r="J17" s="12"/>
      <c r="K17" s="12"/>
      <c r="L17" s="12"/>
      <c r="M17" s="12"/>
      <c r="N17" s="14" t="s">
        <v>53</v>
      </c>
    </row>
    <row r="18" spans="2:14" x14ac:dyDescent="0.25">
      <c r="B18" s="9">
        <v>9</v>
      </c>
      <c r="C18" s="15" t="s">
        <v>32</v>
      </c>
      <c r="D18" s="11"/>
      <c r="E18" s="11"/>
      <c r="F18" s="11"/>
      <c r="G18" s="12" t="s">
        <v>54</v>
      </c>
      <c r="H18" s="13" t="s">
        <v>55</v>
      </c>
      <c r="I18" s="12"/>
      <c r="J18" s="12"/>
      <c r="K18" s="12"/>
      <c r="L18" s="12"/>
      <c r="M18" s="12"/>
      <c r="N18" s="14" t="s">
        <v>56</v>
      </c>
    </row>
    <row r="19" spans="2:14" x14ac:dyDescent="0.25">
      <c r="B19" s="9">
        <v>10</v>
      </c>
      <c r="C19" s="15" t="s">
        <v>32</v>
      </c>
      <c r="D19" s="11"/>
      <c r="E19" s="11"/>
      <c r="F19" s="11"/>
      <c r="G19" s="12" t="s">
        <v>57</v>
      </c>
      <c r="H19" s="13" t="s">
        <v>58</v>
      </c>
      <c r="I19" s="12"/>
      <c r="J19" s="12"/>
      <c r="K19" s="12"/>
      <c r="L19" s="12"/>
      <c r="M19" s="12"/>
      <c r="N19" s="14" t="s">
        <v>59</v>
      </c>
    </row>
    <row r="20" spans="2:14" x14ac:dyDescent="0.25">
      <c r="B20" s="9">
        <v>11</v>
      </c>
      <c r="C20" s="15" t="s">
        <v>32</v>
      </c>
      <c r="D20" s="11"/>
      <c r="E20" s="11"/>
      <c r="F20" s="11"/>
      <c r="G20" s="12" t="s">
        <v>60</v>
      </c>
      <c r="H20" s="13" t="s">
        <v>61</v>
      </c>
      <c r="I20" s="12"/>
      <c r="J20" s="12"/>
      <c r="K20" s="12"/>
      <c r="L20" s="12"/>
      <c r="M20" s="12"/>
      <c r="N20" s="14" t="s">
        <v>62</v>
      </c>
    </row>
    <row r="21" spans="2:14" x14ac:dyDescent="0.25">
      <c r="B21" s="9">
        <v>12</v>
      </c>
      <c r="C21" s="16" t="s">
        <v>63</v>
      </c>
      <c r="D21" s="11"/>
      <c r="E21" s="11"/>
      <c r="F21" s="11"/>
      <c r="G21" s="12" t="s">
        <v>64</v>
      </c>
      <c r="H21" s="13" t="s">
        <v>65</v>
      </c>
      <c r="I21" s="12"/>
      <c r="J21" s="12"/>
      <c r="K21" s="12"/>
      <c r="L21" s="12"/>
      <c r="M21" s="12"/>
      <c r="N21" s="14" t="s">
        <v>66</v>
      </c>
    </row>
    <row r="22" spans="2:14" x14ac:dyDescent="0.25">
      <c r="B22" s="9">
        <v>13</v>
      </c>
      <c r="C22" s="15" t="s">
        <v>32</v>
      </c>
      <c r="D22" s="11"/>
      <c r="E22" s="11"/>
      <c r="F22" s="12" t="s">
        <v>67</v>
      </c>
      <c r="G22" s="12" t="s">
        <v>68</v>
      </c>
      <c r="H22" s="13" t="s">
        <v>69</v>
      </c>
      <c r="I22" s="12"/>
      <c r="J22" s="12"/>
      <c r="K22" s="12"/>
      <c r="L22" s="12"/>
      <c r="M22" s="12"/>
      <c r="N22" s="14" t="s">
        <v>70</v>
      </c>
    </row>
    <row r="23" spans="2:14" x14ac:dyDescent="0.25">
      <c r="B23" s="9">
        <v>14</v>
      </c>
      <c r="C23" s="10" t="s">
        <v>22</v>
      </c>
      <c r="D23" s="11"/>
      <c r="E23" s="11"/>
      <c r="F23" s="11" t="s">
        <v>71</v>
      </c>
      <c r="G23" s="12" t="s">
        <v>72</v>
      </c>
      <c r="H23" s="13" t="s">
        <v>73</v>
      </c>
      <c r="I23" s="12"/>
      <c r="J23" s="12"/>
      <c r="K23" s="12"/>
      <c r="L23" s="12"/>
      <c r="M23" s="12"/>
      <c r="N23" s="14" t="s">
        <v>74</v>
      </c>
    </row>
    <row r="24" spans="2:14" x14ac:dyDescent="0.25">
      <c r="B24" s="9">
        <v>15</v>
      </c>
      <c r="C24" s="15" t="s">
        <v>32</v>
      </c>
      <c r="D24" s="11"/>
      <c r="E24" s="11"/>
      <c r="F24" s="11"/>
      <c r="G24" s="12" t="s">
        <v>75</v>
      </c>
      <c r="H24" s="13" t="s">
        <v>76</v>
      </c>
      <c r="I24" s="12"/>
      <c r="J24" s="12"/>
      <c r="K24" s="12"/>
      <c r="L24" s="12"/>
      <c r="M24" s="12"/>
      <c r="N24" s="14" t="s">
        <v>77</v>
      </c>
    </row>
    <row r="25" spans="2:14" x14ac:dyDescent="0.25">
      <c r="B25" s="9">
        <v>16</v>
      </c>
      <c r="C25" s="15" t="s">
        <v>32</v>
      </c>
      <c r="D25" s="11"/>
      <c r="E25" s="11"/>
      <c r="F25" s="11"/>
      <c r="G25" s="12" t="s">
        <v>78</v>
      </c>
      <c r="H25" s="13" t="s">
        <v>79</v>
      </c>
      <c r="I25" s="12"/>
      <c r="J25" s="12"/>
      <c r="K25" s="12"/>
      <c r="L25" s="12"/>
      <c r="M25" s="12"/>
      <c r="N25" s="14" t="s">
        <v>80</v>
      </c>
    </row>
    <row r="26" spans="2:14" x14ac:dyDescent="0.25">
      <c r="B26" s="9">
        <v>17</v>
      </c>
      <c r="C26" s="10" t="s">
        <v>22</v>
      </c>
      <c r="D26" s="11"/>
      <c r="E26" s="11" t="s">
        <v>81</v>
      </c>
      <c r="F26" s="12" t="s">
        <v>82</v>
      </c>
      <c r="G26" s="12" t="s">
        <v>83</v>
      </c>
      <c r="H26" s="13" t="s">
        <v>84</v>
      </c>
      <c r="I26" s="12"/>
      <c r="J26" s="12"/>
      <c r="K26" s="12"/>
      <c r="L26" s="12"/>
      <c r="M26" s="12"/>
      <c r="N26" s="14" t="s">
        <v>85</v>
      </c>
    </row>
    <row r="27" spans="2:14" x14ac:dyDescent="0.25">
      <c r="B27" s="9">
        <v>18</v>
      </c>
      <c r="C27" s="15" t="s">
        <v>32</v>
      </c>
      <c r="D27" s="11"/>
      <c r="E27" s="11"/>
      <c r="F27" s="12" t="s">
        <v>86</v>
      </c>
      <c r="G27" s="12" t="s">
        <v>87</v>
      </c>
      <c r="H27" s="13" t="s">
        <v>88</v>
      </c>
      <c r="I27" s="12"/>
      <c r="J27" s="12"/>
      <c r="K27" s="12"/>
      <c r="L27" s="12"/>
      <c r="M27" s="12"/>
      <c r="N27" s="14" t="s">
        <v>89</v>
      </c>
    </row>
    <row r="28" spans="2:14" x14ac:dyDescent="0.25">
      <c r="B28" s="9">
        <v>19</v>
      </c>
      <c r="C28" s="10" t="s">
        <v>22</v>
      </c>
      <c r="D28" s="11" t="s">
        <v>90</v>
      </c>
      <c r="E28" s="11" t="s">
        <v>91</v>
      </c>
      <c r="F28" s="12" t="s">
        <v>92</v>
      </c>
      <c r="G28" s="12" t="s">
        <v>93</v>
      </c>
      <c r="H28" s="13" t="s">
        <v>94</v>
      </c>
      <c r="I28" s="12"/>
      <c r="J28" s="12"/>
      <c r="K28" s="12"/>
      <c r="L28" s="12"/>
      <c r="M28" s="12"/>
      <c r="N28" s="14" t="s">
        <v>95</v>
      </c>
    </row>
    <row r="29" spans="2:14" x14ac:dyDescent="0.25">
      <c r="B29" s="9">
        <v>20</v>
      </c>
      <c r="C29" s="10" t="s">
        <v>22</v>
      </c>
      <c r="D29" s="11"/>
      <c r="E29" s="11"/>
      <c r="F29" s="11" t="s">
        <v>96</v>
      </c>
      <c r="G29" s="12" t="s">
        <v>97</v>
      </c>
      <c r="H29" s="13" t="s">
        <v>98</v>
      </c>
      <c r="I29" s="12"/>
      <c r="J29" s="12"/>
      <c r="K29" s="12"/>
      <c r="L29" s="12"/>
      <c r="M29" s="12"/>
      <c r="N29" s="14" t="s">
        <v>99</v>
      </c>
    </row>
    <row r="30" spans="2:14" x14ac:dyDescent="0.25">
      <c r="B30" s="9">
        <v>21</v>
      </c>
      <c r="C30" s="15" t="s">
        <v>32</v>
      </c>
      <c r="D30" s="11"/>
      <c r="E30" s="11"/>
      <c r="F30" s="11"/>
      <c r="G30" s="12" t="s">
        <v>100</v>
      </c>
      <c r="H30" s="13" t="s">
        <v>101</v>
      </c>
      <c r="I30" s="12"/>
      <c r="J30" s="12"/>
      <c r="K30" s="12"/>
      <c r="L30" s="12"/>
      <c r="M30" s="12"/>
      <c r="N30" s="14" t="s">
        <v>102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103</v>
      </c>
      <c r="H31" s="13" t="s">
        <v>104</v>
      </c>
      <c r="I31" s="12"/>
      <c r="J31" s="12"/>
      <c r="K31" s="12"/>
      <c r="L31" s="12"/>
      <c r="M31" s="12"/>
      <c r="N31" s="14" t="s">
        <v>105</v>
      </c>
    </row>
    <row r="32" spans="2:14" x14ac:dyDescent="0.25">
      <c r="B32" s="9">
        <v>23</v>
      </c>
      <c r="C32" s="15" t="s">
        <v>32</v>
      </c>
      <c r="D32" s="11"/>
      <c r="E32" s="11"/>
      <c r="F32" s="11"/>
      <c r="G32" s="12" t="s">
        <v>106</v>
      </c>
      <c r="H32" s="13" t="s">
        <v>107</v>
      </c>
      <c r="I32" s="12"/>
      <c r="J32" s="12"/>
      <c r="K32" s="12"/>
      <c r="L32" s="12"/>
      <c r="M32" s="12"/>
      <c r="N32" s="14" t="s">
        <v>108</v>
      </c>
    </row>
    <row r="33" spans="2:14" x14ac:dyDescent="0.25">
      <c r="B33" s="9">
        <v>24</v>
      </c>
      <c r="C33" s="15" t="s">
        <v>32</v>
      </c>
      <c r="D33" s="11"/>
      <c r="E33" s="11"/>
      <c r="F33" s="11"/>
      <c r="G33" s="12" t="s">
        <v>109</v>
      </c>
      <c r="H33" s="13" t="s">
        <v>110</v>
      </c>
      <c r="I33" s="12"/>
      <c r="J33" s="12"/>
      <c r="K33" s="12"/>
      <c r="L33" s="12"/>
      <c r="M33" s="12"/>
      <c r="N33" s="14" t="s">
        <v>111</v>
      </c>
    </row>
    <row r="34" spans="2:14" x14ac:dyDescent="0.25">
      <c r="B34" s="9">
        <v>25</v>
      </c>
      <c r="C34" s="10" t="s">
        <v>22</v>
      </c>
      <c r="D34" s="11"/>
      <c r="E34" s="11"/>
      <c r="F34" s="11" t="s">
        <v>112</v>
      </c>
      <c r="G34" s="12" t="s">
        <v>97</v>
      </c>
      <c r="H34" s="13" t="s">
        <v>113</v>
      </c>
      <c r="I34" s="12"/>
      <c r="J34" s="12"/>
      <c r="K34" s="12"/>
      <c r="L34" s="12"/>
      <c r="M34" s="12"/>
      <c r="N34" s="14" t="s">
        <v>114</v>
      </c>
    </row>
    <row r="35" spans="2:14" x14ac:dyDescent="0.25">
      <c r="B35" s="9">
        <v>26</v>
      </c>
      <c r="C35" s="15" t="s">
        <v>32</v>
      </c>
      <c r="D35" s="11"/>
      <c r="E35" s="11"/>
      <c r="F35" s="11"/>
      <c r="G35" s="12" t="s">
        <v>109</v>
      </c>
      <c r="H35" s="13" t="s">
        <v>110</v>
      </c>
      <c r="I35" s="12"/>
      <c r="J35" s="12"/>
      <c r="K35" s="12"/>
      <c r="L35" s="12"/>
      <c r="M35" s="12"/>
      <c r="N35" s="14" t="s">
        <v>111</v>
      </c>
    </row>
    <row r="36" spans="2:14" x14ac:dyDescent="0.25">
      <c r="B36" s="9">
        <v>27</v>
      </c>
      <c r="C36" s="15" t="s">
        <v>32</v>
      </c>
      <c r="D36" s="11"/>
      <c r="E36" s="11"/>
      <c r="F36" s="12" t="s">
        <v>115</v>
      </c>
      <c r="G36" s="12" t="s">
        <v>116</v>
      </c>
      <c r="H36" s="13" t="s">
        <v>117</v>
      </c>
      <c r="I36" s="12"/>
      <c r="J36" s="12"/>
      <c r="K36" s="12"/>
      <c r="L36" s="12"/>
      <c r="M36" s="12"/>
      <c r="N36" s="14" t="s">
        <v>118</v>
      </c>
    </row>
    <row r="37" spans="2:14" x14ac:dyDescent="0.25">
      <c r="B37" s="9">
        <v>28</v>
      </c>
      <c r="C37" s="15" t="s">
        <v>32</v>
      </c>
      <c r="D37" s="11"/>
      <c r="E37" s="11"/>
      <c r="F37" s="11" t="s">
        <v>119</v>
      </c>
      <c r="G37" s="12" t="s">
        <v>120</v>
      </c>
      <c r="H37" s="13" t="s">
        <v>121</v>
      </c>
      <c r="I37" s="12"/>
      <c r="J37" s="12"/>
      <c r="K37" s="12"/>
      <c r="L37" s="12"/>
      <c r="M37" s="12"/>
      <c r="N37" s="14" t="s">
        <v>122</v>
      </c>
    </row>
    <row r="38" spans="2:14" x14ac:dyDescent="0.25">
      <c r="B38" s="9">
        <v>29</v>
      </c>
      <c r="C38" s="16" t="s">
        <v>63</v>
      </c>
      <c r="D38" s="11"/>
      <c r="E38" s="11"/>
      <c r="F38" s="11"/>
      <c r="G38" s="12" t="s">
        <v>64</v>
      </c>
      <c r="H38" s="13" t="s">
        <v>123</v>
      </c>
      <c r="I38" s="12"/>
      <c r="J38" s="12"/>
      <c r="K38" s="12"/>
      <c r="L38" s="12"/>
      <c r="M38" s="12"/>
      <c r="N38" s="14" t="s">
        <v>124</v>
      </c>
    </row>
    <row r="39" spans="2:14" x14ac:dyDescent="0.25">
      <c r="B39" s="9">
        <v>30</v>
      </c>
      <c r="C39" s="15" t="s">
        <v>32</v>
      </c>
      <c r="D39" s="11"/>
      <c r="E39" s="11" t="s">
        <v>125</v>
      </c>
      <c r="F39" s="12" t="s">
        <v>126</v>
      </c>
      <c r="G39" s="12" t="s">
        <v>127</v>
      </c>
      <c r="H39" s="13" t="s">
        <v>128</v>
      </c>
      <c r="I39" s="12"/>
      <c r="J39" s="12"/>
      <c r="K39" s="12"/>
      <c r="L39" s="12"/>
      <c r="M39" s="12"/>
      <c r="N39" s="14" t="s">
        <v>129</v>
      </c>
    </row>
    <row r="40" spans="2:14" x14ac:dyDescent="0.25">
      <c r="B40" s="9">
        <v>31</v>
      </c>
      <c r="C40" s="15" t="s">
        <v>32</v>
      </c>
      <c r="D40" s="11"/>
      <c r="E40" s="11"/>
      <c r="F40" s="12" t="s">
        <v>130</v>
      </c>
      <c r="G40" s="12" t="s">
        <v>131</v>
      </c>
      <c r="H40" s="13" t="s">
        <v>132</v>
      </c>
      <c r="I40" s="12"/>
      <c r="J40" s="12"/>
      <c r="K40" s="12"/>
      <c r="L40" s="12"/>
      <c r="M40" s="12"/>
      <c r="N40" s="14" t="s">
        <v>133</v>
      </c>
    </row>
    <row r="41" spans="2:14" x14ac:dyDescent="0.25">
      <c r="B41" s="9">
        <v>32</v>
      </c>
      <c r="C41" s="15" t="s">
        <v>32</v>
      </c>
      <c r="D41" s="11"/>
      <c r="E41" s="11"/>
      <c r="F41" s="11" t="s">
        <v>134</v>
      </c>
      <c r="G41" s="12" t="s">
        <v>135</v>
      </c>
      <c r="H41" s="13" t="s">
        <v>136</v>
      </c>
      <c r="I41" s="12"/>
      <c r="J41" s="12"/>
      <c r="K41" s="12"/>
      <c r="L41" s="12"/>
      <c r="M41" s="12"/>
      <c r="N41" s="14" t="s">
        <v>137</v>
      </c>
    </row>
    <row r="42" spans="2:14" x14ac:dyDescent="0.25">
      <c r="B42" s="9">
        <v>33</v>
      </c>
      <c r="C42" s="15" t="s">
        <v>32</v>
      </c>
      <c r="D42" s="11"/>
      <c r="E42" s="11"/>
      <c r="F42" s="11"/>
      <c r="G42" s="12" t="s">
        <v>138</v>
      </c>
      <c r="H42" s="13" t="s">
        <v>139</v>
      </c>
      <c r="I42" s="12"/>
      <c r="J42" s="12"/>
      <c r="K42" s="12"/>
      <c r="L42" s="12"/>
      <c r="M42" s="12"/>
      <c r="N42" s="14" t="s">
        <v>140</v>
      </c>
    </row>
    <row r="43" spans="2:14" x14ac:dyDescent="0.25">
      <c r="B43" s="9">
        <v>34</v>
      </c>
      <c r="C43" s="15" t="s">
        <v>32</v>
      </c>
      <c r="D43" s="11"/>
      <c r="E43" s="11"/>
      <c r="F43" s="11"/>
      <c r="G43" s="12" t="s">
        <v>141</v>
      </c>
      <c r="H43" s="13" t="s">
        <v>142</v>
      </c>
      <c r="I43" s="12"/>
      <c r="J43" s="12"/>
      <c r="K43" s="12"/>
      <c r="L43" s="12"/>
      <c r="M43" s="12"/>
      <c r="N43" s="14" t="s">
        <v>143</v>
      </c>
    </row>
    <row r="44" spans="2:14" x14ac:dyDescent="0.25">
      <c r="B44" s="9">
        <v>35</v>
      </c>
      <c r="C44" s="15" t="s">
        <v>32</v>
      </c>
      <c r="D44" s="11"/>
      <c r="E44" s="11"/>
      <c r="F44" s="11" t="s">
        <v>144</v>
      </c>
      <c r="G44" s="12" t="s">
        <v>145</v>
      </c>
      <c r="H44" s="13" t="s">
        <v>146</v>
      </c>
      <c r="I44" s="12"/>
      <c r="J44" s="12"/>
      <c r="K44" s="12"/>
      <c r="L44" s="12"/>
      <c r="M44" s="12"/>
      <c r="N44" s="14" t="s">
        <v>147</v>
      </c>
    </row>
    <row r="45" spans="2:14" x14ac:dyDescent="0.25">
      <c r="B45" s="9">
        <v>36</v>
      </c>
      <c r="C45" s="15" t="s">
        <v>32</v>
      </c>
      <c r="D45" s="11"/>
      <c r="E45" s="11"/>
      <c r="F45" s="11"/>
      <c r="G45" s="12" t="s">
        <v>148</v>
      </c>
      <c r="H45" s="13" t="s">
        <v>149</v>
      </c>
      <c r="I45" s="12"/>
      <c r="J45" s="12"/>
      <c r="K45" s="12"/>
      <c r="L45" s="12"/>
      <c r="M45" s="12"/>
      <c r="N45" s="14" t="s">
        <v>150</v>
      </c>
    </row>
    <row r="46" spans="2:14" x14ac:dyDescent="0.25">
      <c r="B46" s="9">
        <v>37</v>
      </c>
      <c r="C46" s="10" t="s">
        <v>22</v>
      </c>
      <c r="D46" s="11"/>
      <c r="E46" s="11" t="s">
        <v>151</v>
      </c>
      <c r="F46" s="12" t="s">
        <v>152</v>
      </c>
      <c r="G46" s="12" t="s">
        <v>153</v>
      </c>
      <c r="H46" s="13" t="s">
        <v>154</v>
      </c>
      <c r="I46" s="12"/>
      <c r="J46" s="12"/>
      <c r="K46" s="12"/>
      <c r="L46" s="12"/>
      <c r="M46" s="12"/>
      <c r="N46" s="14" t="s">
        <v>155</v>
      </c>
    </row>
    <row r="47" spans="2:14" x14ac:dyDescent="0.25">
      <c r="B47" s="9">
        <v>38</v>
      </c>
      <c r="C47" s="15" t="s">
        <v>32</v>
      </c>
      <c r="D47" s="11"/>
      <c r="E47" s="11"/>
      <c r="F47" s="11" t="s">
        <v>156</v>
      </c>
      <c r="G47" s="12" t="s">
        <v>157</v>
      </c>
      <c r="H47" s="13" t="s">
        <v>158</v>
      </c>
      <c r="I47" s="12"/>
      <c r="J47" s="12"/>
      <c r="K47" s="12"/>
      <c r="L47" s="12"/>
      <c r="M47" s="12"/>
      <c r="N47" s="14" t="s">
        <v>159</v>
      </c>
    </row>
    <row r="48" spans="2:14" x14ac:dyDescent="0.25">
      <c r="B48" s="9">
        <v>39</v>
      </c>
      <c r="C48" s="15" t="s">
        <v>32</v>
      </c>
      <c r="D48" s="11"/>
      <c r="E48" s="11"/>
      <c r="F48" s="11"/>
      <c r="G48" s="12" t="s">
        <v>160</v>
      </c>
      <c r="H48" s="13" t="s">
        <v>161</v>
      </c>
      <c r="I48" s="12"/>
      <c r="J48" s="12"/>
      <c r="K48" s="12"/>
      <c r="L48" s="12"/>
      <c r="M48" s="12"/>
      <c r="N48" s="14" t="s">
        <v>162</v>
      </c>
    </row>
    <row r="49" spans="2:14" x14ac:dyDescent="0.25">
      <c r="B49" s="9">
        <v>40</v>
      </c>
      <c r="C49" s="10" t="s">
        <v>22</v>
      </c>
      <c r="D49" s="11" t="s">
        <v>163</v>
      </c>
      <c r="E49" s="11" t="s">
        <v>164</v>
      </c>
      <c r="F49" s="11" t="s">
        <v>165</v>
      </c>
      <c r="G49" s="12" t="s">
        <v>166</v>
      </c>
      <c r="H49" s="13" t="s">
        <v>167</v>
      </c>
      <c r="I49" s="12"/>
      <c r="J49" s="12"/>
      <c r="K49" s="12"/>
      <c r="L49" s="12"/>
      <c r="M49" s="12"/>
      <c r="N49" s="14" t="s">
        <v>168</v>
      </c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169</v>
      </c>
      <c r="H50" s="13" t="s">
        <v>170</v>
      </c>
      <c r="I50" s="12"/>
      <c r="J50" s="12"/>
      <c r="K50" s="12"/>
      <c r="L50" s="12"/>
      <c r="M50" s="12"/>
      <c r="N50" s="14" t="s">
        <v>171</v>
      </c>
    </row>
    <row r="51" spans="2:14" x14ac:dyDescent="0.25">
      <c r="B51" s="9">
        <v>42</v>
      </c>
      <c r="C51" s="10" t="s">
        <v>22</v>
      </c>
      <c r="D51" s="11"/>
      <c r="E51" s="11"/>
      <c r="F51" s="12" t="s">
        <v>172</v>
      </c>
      <c r="G51" s="12" t="s">
        <v>39</v>
      </c>
      <c r="H51" s="13" t="s">
        <v>173</v>
      </c>
      <c r="I51" s="12"/>
      <c r="J51" s="12"/>
      <c r="K51" s="12"/>
      <c r="L51" s="12"/>
      <c r="M51" s="12"/>
      <c r="N51" s="14" t="s">
        <v>174</v>
      </c>
    </row>
    <row r="52" spans="2:14" x14ac:dyDescent="0.25">
      <c r="B52" s="9">
        <v>43</v>
      </c>
      <c r="C52" s="15" t="s">
        <v>32</v>
      </c>
      <c r="D52" s="12" t="s">
        <v>175</v>
      </c>
      <c r="E52" s="12" t="s">
        <v>164</v>
      </c>
      <c r="F52" s="12" t="s">
        <v>172</v>
      </c>
      <c r="G52" s="12" t="s">
        <v>42</v>
      </c>
      <c r="H52" s="13" t="s">
        <v>43</v>
      </c>
      <c r="I52" s="12"/>
      <c r="J52" s="12"/>
      <c r="K52" s="12"/>
      <c r="L52" s="12"/>
      <c r="M52" s="12"/>
      <c r="N52" s="14" t="s">
        <v>176</v>
      </c>
    </row>
    <row r="53" spans="2:14" x14ac:dyDescent="0.25">
      <c r="B53" s="9">
        <v>44</v>
      </c>
      <c r="C53" s="10" t="s">
        <v>22</v>
      </c>
      <c r="D53" s="11" t="s">
        <v>163</v>
      </c>
      <c r="E53" s="11" t="s">
        <v>164</v>
      </c>
      <c r="F53" s="11" t="s">
        <v>177</v>
      </c>
      <c r="G53" s="12" t="s">
        <v>178</v>
      </c>
      <c r="H53" s="13" t="s">
        <v>179</v>
      </c>
      <c r="I53" s="12"/>
      <c r="J53" s="12"/>
      <c r="K53" s="12"/>
      <c r="L53" s="12"/>
      <c r="M53" s="12"/>
      <c r="N53" s="14" t="s">
        <v>180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181</v>
      </c>
      <c r="H54" s="13" t="s">
        <v>182</v>
      </c>
      <c r="I54" s="12"/>
      <c r="J54" s="12"/>
      <c r="K54" s="12"/>
      <c r="L54" s="12"/>
      <c r="M54" s="12"/>
      <c r="N54" s="14" t="s">
        <v>183</v>
      </c>
    </row>
    <row r="55" spans="2:14" x14ac:dyDescent="0.25">
      <c r="B55" s="9">
        <v>46</v>
      </c>
      <c r="C55" s="10" t="s">
        <v>22</v>
      </c>
      <c r="D55" s="11"/>
      <c r="E55" s="11"/>
      <c r="F55" s="11" t="s">
        <v>184</v>
      </c>
      <c r="G55" s="12" t="s">
        <v>185</v>
      </c>
      <c r="H55" s="13" t="s">
        <v>186</v>
      </c>
      <c r="I55" s="12"/>
      <c r="J55" s="12"/>
      <c r="K55" s="12"/>
      <c r="L55" s="12"/>
      <c r="M55" s="12"/>
      <c r="N55" s="14" t="s">
        <v>187</v>
      </c>
    </row>
    <row r="56" spans="2:14" x14ac:dyDescent="0.25">
      <c r="B56" s="9">
        <v>47</v>
      </c>
      <c r="C56" s="15" t="s">
        <v>32</v>
      </c>
      <c r="D56" s="11"/>
      <c r="E56" s="11"/>
      <c r="F56" s="11"/>
      <c r="G56" s="12" t="s">
        <v>188</v>
      </c>
      <c r="H56" s="13" t="s">
        <v>189</v>
      </c>
      <c r="I56" s="12"/>
      <c r="J56" s="12"/>
      <c r="K56" s="12"/>
      <c r="L56" s="12"/>
      <c r="M56" s="12"/>
      <c r="N56" s="14" t="s">
        <v>190</v>
      </c>
    </row>
    <row r="57" spans="2:14" x14ac:dyDescent="0.25">
      <c r="B57" s="9">
        <v>48</v>
      </c>
      <c r="C57" s="10" t="s">
        <v>22</v>
      </c>
      <c r="D57" s="11"/>
      <c r="E57" s="12" t="s">
        <v>191</v>
      </c>
      <c r="F57" s="12" t="s">
        <v>192</v>
      </c>
      <c r="G57" s="12" t="s">
        <v>193</v>
      </c>
      <c r="H57" s="13" t="s">
        <v>194</v>
      </c>
      <c r="I57" s="12"/>
      <c r="J57" s="12"/>
      <c r="K57" s="12"/>
      <c r="L57" s="12"/>
      <c r="M57" s="12"/>
      <c r="N57" s="14" t="s">
        <v>195</v>
      </c>
    </row>
    <row r="58" spans="2:14" x14ac:dyDescent="0.25">
      <c r="B58" s="9">
        <v>49</v>
      </c>
      <c r="C58" s="15" t="s">
        <v>32</v>
      </c>
      <c r="D58" s="11"/>
      <c r="E58" s="12" t="s">
        <v>196</v>
      </c>
      <c r="F58" s="12" t="s">
        <v>197</v>
      </c>
      <c r="G58" s="12" t="s">
        <v>198</v>
      </c>
      <c r="H58" s="13" t="s">
        <v>199</v>
      </c>
      <c r="I58" s="12"/>
      <c r="J58" s="12"/>
      <c r="K58" s="12"/>
      <c r="L58" s="12"/>
      <c r="M58" s="12"/>
      <c r="N58" s="14" t="s">
        <v>200</v>
      </c>
    </row>
    <row r="59" spans="2:14" x14ac:dyDescent="0.25">
      <c r="B59" s="9">
        <v>50</v>
      </c>
      <c r="C59" s="15" t="s">
        <v>32</v>
      </c>
      <c r="D59" s="11"/>
      <c r="E59" s="11" t="s">
        <v>201</v>
      </c>
      <c r="F59" s="11" t="s">
        <v>202</v>
      </c>
      <c r="G59" s="12" t="s">
        <v>87</v>
      </c>
      <c r="H59" s="13" t="s">
        <v>203</v>
      </c>
      <c r="I59" s="12"/>
      <c r="J59" s="12"/>
      <c r="K59" s="12"/>
      <c r="L59" s="12"/>
      <c r="M59" s="12"/>
      <c r="N59" s="14" t="s">
        <v>204</v>
      </c>
    </row>
    <row r="60" spans="2:14" x14ac:dyDescent="0.25">
      <c r="B60" s="9">
        <v>51</v>
      </c>
      <c r="C60" s="15" t="s">
        <v>32</v>
      </c>
      <c r="D60" s="11"/>
      <c r="E60" s="11"/>
      <c r="F60" s="11"/>
      <c r="G60" s="12" t="s">
        <v>205</v>
      </c>
      <c r="H60" s="13" t="s">
        <v>206</v>
      </c>
      <c r="I60" s="12"/>
      <c r="J60" s="12"/>
      <c r="K60" s="12"/>
      <c r="L60" s="12"/>
      <c r="M60" s="12"/>
      <c r="N60" s="14" t="s">
        <v>207</v>
      </c>
    </row>
    <row r="61" spans="2:14" x14ac:dyDescent="0.25">
      <c r="B61" s="9">
        <v>52</v>
      </c>
      <c r="C61" s="16" t="s">
        <v>63</v>
      </c>
      <c r="D61" s="11"/>
      <c r="E61" s="11"/>
      <c r="F61" s="11"/>
      <c r="G61" s="12" t="s">
        <v>208</v>
      </c>
      <c r="H61" s="13" t="s">
        <v>209</v>
      </c>
      <c r="I61" s="12"/>
      <c r="J61" s="12"/>
      <c r="K61" s="12"/>
      <c r="L61" s="12"/>
      <c r="M61" s="12"/>
      <c r="N61" s="14" t="s">
        <v>210</v>
      </c>
    </row>
    <row r="62" spans="2:14" x14ac:dyDescent="0.25">
      <c r="B62" s="9">
        <v>53</v>
      </c>
      <c r="C62" s="15" t="s">
        <v>32</v>
      </c>
      <c r="D62" s="11"/>
      <c r="E62" s="11"/>
      <c r="F62" s="11" t="s">
        <v>211</v>
      </c>
      <c r="G62" s="12" t="s">
        <v>212</v>
      </c>
      <c r="H62" s="13" t="s">
        <v>213</v>
      </c>
      <c r="I62" s="12"/>
      <c r="J62" s="12"/>
      <c r="K62" s="12"/>
      <c r="L62" s="12"/>
      <c r="M62" s="12"/>
      <c r="N62" s="14" t="s">
        <v>214</v>
      </c>
    </row>
    <row r="63" spans="2:14" x14ac:dyDescent="0.25">
      <c r="B63" s="9">
        <v>54</v>
      </c>
      <c r="C63" s="15" t="s">
        <v>32</v>
      </c>
      <c r="D63" s="11"/>
      <c r="E63" s="11"/>
      <c r="F63" s="11"/>
      <c r="G63" s="12" t="s">
        <v>215</v>
      </c>
      <c r="H63" s="13" t="s">
        <v>216</v>
      </c>
      <c r="I63" s="12"/>
      <c r="J63" s="12"/>
      <c r="K63" s="12"/>
      <c r="L63" s="12"/>
      <c r="M63" s="12"/>
      <c r="N63" s="14" t="s">
        <v>217</v>
      </c>
    </row>
    <row r="64" spans="2:14" x14ac:dyDescent="0.25">
      <c r="B64" s="9">
        <v>55</v>
      </c>
      <c r="C64" s="10" t="s">
        <v>22</v>
      </c>
      <c r="D64" s="11" t="s">
        <v>218</v>
      </c>
      <c r="E64" s="11" t="s">
        <v>219</v>
      </c>
      <c r="F64" s="11" t="s">
        <v>220</v>
      </c>
      <c r="G64" s="12" t="s">
        <v>221</v>
      </c>
      <c r="H64" s="13" t="s">
        <v>222</v>
      </c>
      <c r="I64" s="12"/>
      <c r="J64" s="12"/>
      <c r="K64" s="12"/>
      <c r="L64" s="12"/>
      <c r="M64" s="12"/>
      <c r="N64" s="14" t="s">
        <v>223</v>
      </c>
    </row>
    <row r="65" spans="2:14" x14ac:dyDescent="0.25">
      <c r="B65" s="9">
        <v>56</v>
      </c>
      <c r="C65" s="10" t="s">
        <v>22</v>
      </c>
      <c r="D65" s="11"/>
      <c r="E65" s="11"/>
      <c r="F65" s="11"/>
      <c r="G65" s="12" t="s">
        <v>224</v>
      </c>
      <c r="H65" s="13" t="s">
        <v>225</v>
      </c>
      <c r="I65" s="12"/>
      <c r="J65" s="12"/>
      <c r="K65" s="12"/>
      <c r="L65" s="12"/>
      <c r="M65" s="12"/>
      <c r="N65" s="14" t="s">
        <v>226</v>
      </c>
    </row>
    <row r="66" spans="2:14" x14ac:dyDescent="0.25">
      <c r="B66" s="9">
        <v>57</v>
      </c>
      <c r="C66" s="15" t="s">
        <v>32</v>
      </c>
      <c r="D66" s="11"/>
      <c r="E66" s="11"/>
      <c r="F66" s="11" t="s">
        <v>227</v>
      </c>
      <c r="G66" s="12" t="s">
        <v>87</v>
      </c>
      <c r="H66" s="13" t="s">
        <v>228</v>
      </c>
      <c r="I66" s="12"/>
      <c r="J66" s="12"/>
      <c r="K66" s="12"/>
      <c r="L66" s="12"/>
      <c r="M66" s="12"/>
      <c r="N66" s="14" t="s">
        <v>229</v>
      </c>
    </row>
    <row r="67" spans="2:14" x14ac:dyDescent="0.25">
      <c r="B67" s="9">
        <v>58</v>
      </c>
      <c r="C67" s="15" t="s">
        <v>32</v>
      </c>
      <c r="D67" s="11"/>
      <c r="E67" s="11"/>
      <c r="F67" s="11"/>
      <c r="G67" s="12" t="s">
        <v>230</v>
      </c>
      <c r="H67" s="13" t="s">
        <v>231</v>
      </c>
      <c r="I67" s="12"/>
      <c r="J67" s="12"/>
      <c r="K67" s="12"/>
      <c r="L67" s="12"/>
      <c r="M67" s="12"/>
      <c r="N67" s="14" t="s">
        <v>232</v>
      </c>
    </row>
    <row r="68" spans="2:14" x14ac:dyDescent="0.25">
      <c r="B68" s="9">
        <v>59</v>
      </c>
      <c r="C68" s="10" t="s">
        <v>22</v>
      </c>
      <c r="D68" s="11"/>
      <c r="E68" s="11" t="s">
        <v>233</v>
      </c>
      <c r="F68" s="11" t="s">
        <v>234</v>
      </c>
      <c r="G68" s="12" t="s">
        <v>235</v>
      </c>
      <c r="H68" s="13" t="s">
        <v>236</v>
      </c>
      <c r="I68" s="12"/>
      <c r="J68" s="12"/>
      <c r="K68" s="12"/>
      <c r="L68" s="12"/>
      <c r="M68" s="12"/>
      <c r="N68" s="14" t="s">
        <v>237</v>
      </c>
    </row>
    <row r="69" spans="2:14" x14ac:dyDescent="0.25">
      <c r="B69" s="9">
        <v>60</v>
      </c>
      <c r="C69" s="15" t="s">
        <v>32</v>
      </c>
      <c r="D69" s="11"/>
      <c r="E69" s="11"/>
      <c r="F69" s="11"/>
      <c r="G69" s="12" t="s">
        <v>238</v>
      </c>
      <c r="H69" s="13" t="s">
        <v>239</v>
      </c>
      <c r="I69" s="12"/>
      <c r="J69" s="12"/>
      <c r="K69" s="12"/>
      <c r="L69" s="12"/>
      <c r="M69" s="12"/>
      <c r="N69" s="14" t="s">
        <v>240</v>
      </c>
    </row>
    <row r="70" spans="2:14" x14ac:dyDescent="0.25">
      <c r="B70" s="9">
        <v>61</v>
      </c>
      <c r="C70" s="10" t="s">
        <v>22</v>
      </c>
      <c r="D70" s="11"/>
      <c r="E70" s="11" t="s">
        <v>241</v>
      </c>
      <c r="F70" s="12" t="s">
        <v>242</v>
      </c>
      <c r="G70" s="12" t="s">
        <v>243</v>
      </c>
      <c r="H70" s="13" t="s">
        <v>244</v>
      </c>
      <c r="I70" s="12"/>
      <c r="J70" s="12"/>
      <c r="K70" s="12"/>
      <c r="L70" s="12"/>
      <c r="M70" s="12"/>
      <c r="N70" s="14" t="s">
        <v>245</v>
      </c>
    </row>
    <row r="71" spans="2:14" x14ac:dyDescent="0.25">
      <c r="B71" s="9">
        <v>62</v>
      </c>
      <c r="C71" s="15" t="s">
        <v>32</v>
      </c>
      <c r="D71" s="11"/>
      <c r="E71" s="11"/>
      <c r="F71" s="12" t="s">
        <v>246</v>
      </c>
      <c r="G71" s="12" t="s">
        <v>247</v>
      </c>
      <c r="H71" s="13" t="s">
        <v>248</v>
      </c>
      <c r="I71" s="12"/>
      <c r="J71" s="12"/>
      <c r="K71" s="12"/>
      <c r="L71" s="12"/>
      <c r="M71" s="12"/>
      <c r="N71" s="14" t="s">
        <v>249</v>
      </c>
    </row>
    <row r="72" spans="2:14" x14ac:dyDescent="0.25">
      <c r="B72" s="9">
        <v>63</v>
      </c>
      <c r="C72" s="15" t="s">
        <v>32</v>
      </c>
      <c r="D72" s="11"/>
      <c r="E72" s="11"/>
      <c r="F72" s="11" t="s">
        <v>250</v>
      </c>
      <c r="G72" s="12" t="s">
        <v>251</v>
      </c>
      <c r="H72" s="13" t="s">
        <v>252</v>
      </c>
      <c r="I72" s="12"/>
      <c r="J72" s="12"/>
      <c r="K72" s="12"/>
      <c r="L72" s="12"/>
      <c r="M72" s="12"/>
      <c r="N72" s="14" t="s">
        <v>253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254</v>
      </c>
      <c r="H73" s="13" t="s">
        <v>255</v>
      </c>
      <c r="I73" s="12"/>
      <c r="J73" s="12"/>
      <c r="K73" s="12"/>
      <c r="L73" s="12"/>
      <c r="M73" s="12"/>
      <c r="N73" s="14" t="s">
        <v>256</v>
      </c>
    </row>
    <row r="74" spans="2:14" x14ac:dyDescent="0.25">
      <c r="B74" s="9">
        <v>65</v>
      </c>
      <c r="C74" s="15" t="s">
        <v>32</v>
      </c>
      <c r="D74" s="11"/>
      <c r="E74" s="11"/>
      <c r="F74" s="11"/>
      <c r="G74" s="12" t="s">
        <v>257</v>
      </c>
      <c r="H74" s="13" t="s">
        <v>258</v>
      </c>
      <c r="I74" s="12"/>
      <c r="J74" s="12"/>
      <c r="K74" s="12"/>
      <c r="L74" s="12"/>
      <c r="M74" s="12"/>
      <c r="N74" s="14" t="s">
        <v>259</v>
      </c>
    </row>
    <row r="75" spans="2:14" x14ac:dyDescent="0.25">
      <c r="B75" s="9">
        <v>66</v>
      </c>
      <c r="C75" s="15" t="s">
        <v>32</v>
      </c>
      <c r="D75" s="11"/>
      <c r="E75" s="11"/>
      <c r="F75" s="11"/>
      <c r="G75" s="12" t="s">
        <v>260</v>
      </c>
      <c r="H75" s="13" t="s">
        <v>261</v>
      </c>
      <c r="I75" s="12"/>
      <c r="J75" s="12"/>
      <c r="K75" s="12"/>
      <c r="L75" s="12"/>
      <c r="M75" s="12"/>
      <c r="N75" s="14" t="s">
        <v>262</v>
      </c>
    </row>
    <row r="76" spans="2:14" x14ac:dyDescent="0.25">
      <c r="B76" s="9">
        <v>67</v>
      </c>
      <c r="C76" s="10" t="s">
        <v>22</v>
      </c>
      <c r="D76" s="11" t="s">
        <v>263</v>
      </c>
      <c r="E76" s="11" t="s">
        <v>264</v>
      </c>
      <c r="F76" s="11" t="s">
        <v>265</v>
      </c>
      <c r="G76" s="12" t="s">
        <v>266</v>
      </c>
      <c r="H76" s="13" t="s">
        <v>267</v>
      </c>
      <c r="I76" s="12"/>
      <c r="J76" s="12"/>
      <c r="K76" s="12"/>
      <c r="L76" s="12"/>
      <c r="M76" s="12"/>
      <c r="N76" s="14" t="s">
        <v>268</v>
      </c>
    </row>
    <row r="77" spans="2:14" x14ac:dyDescent="0.25">
      <c r="B77" s="9">
        <v>68</v>
      </c>
      <c r="C77" s="15" t="s">
        <v>32</v>
      </c>
      <c r="D77" s="11"/>
      <c r="E77" s="11"/>
      <c r="F77" s="11"/>
      <c r="G77" s="12" t="s">
        <v>120</v>
      </c>
      <c r="H77" s="13" t="s">
        <v>269</v>
      </c>
      <c r="I77" s="12"/>
      <c r="J77" s="12"/>
      <c r="K77" s="12"/>
      <c r="L77" s="12"/>
      <c r="M77" s="12"/>
      <c r="N77" s="14" t="s">
        <v>270</v>
      </c>
    </row>
    <row r="78" spans="2:14" x14ac:dyDescent="0.25">
      <c r="B78" s="9">
        <v>69</v>
      </c>
      <c r="C78" s="16" t="s">
        <v>63</v>
      </c>
      <c r="D78" s="11"/>
      <c r="E78" s="11"/>
      <c r="F78" s="12" t="s">
        <v>271</v>
      </c>
      <c r="G78" s="12" t="s">
        <v>272</v>
      </c>
      <c r="H78" s="13" t="s">
        <v>273</v>
      </c>
      <c r="I78" s="12"/>
      <c r="J78" s="12"/>
      <c r="K78" s="12"/>
      <c r="L78" s="12"/>
      <c r="M78" s="12"/>
      <c r="N78" s="14" t="s">
        <v>274</v>
      </c>
    </row>
    <row r="79" spans="2:14" x14ac:dyDescent="0.25">
      <c r="B79" s="9">
        <v>70</v>
      </c>
      <c r="C79" s="15" t="s">
        <v>32</v>
      </c>
      <c r="D79" s="11" t="s">
        <v>275</v>
      </c>
      <c r="E79" s="11" t="s">
        <v>276</v>
      </c>
      <c r="F79" s="11" t="s">
        <v>277</v>
      </c>
      <c r="G79" s="12" t="s">
        <v>278</v>
      </c>
      <c r="H79" s="13" t="s">
        <v>279</v>
      </c>
      <c r="I79" s="12"/>
      <c r="J79" s="12"/>
      <c r="K79" s="12"/>
      <c r="L79" s="12"/>
      <c r="M79" s="12"/>
      <c r="N79" s="14" t="s">
        <v>280</v>
      </c>
    </row>
    <row r="80" spans="2:14" x14ac:dyDescent="0.25">
      <c r="B80" s="9">
        <v>71</v>
      </c>
      <c r="C80" s="16" t="s">
        <v>63</v>
      </c>
      <c r="D80" s="11"/>
      <c r="E80" s="11"/>
      <c r="F80" s="11"/>
      <c r="G80" s="12" t="s">
        <v>281</v>
      </c>
      <c r="H80" s="13" t="s">
        <v>282</v>
      </c>
      <c r="I80" s="12"/>
      <c r="J80" s="12"/>
      <c r="K80" s="12"/>
      <c r="L80" s="12"/>
      <c r="M80" s="12"/>
      <c r="N80" s="14" t="s">
        <v>283</v>
      </c>
    </row>
    <row r="81" spans="2:14" x14ac:dyDescent="0.25">
      <c r="B81" s="9">
        <v>72</v>
      </c>
      <c r="C81" s="15" t="s">
        <v>32</v>
      </c>
      <c r="D81" s="11"/>
      <c r="E81" s="11"/>
      <c r="F81" s="11" t="s">
        <v>284</v>
      </c>
      <c r="G81" s="12" t="s">
        <v>278</v>
      </c>
      <c r="H81" s="13" t="s">
        <v>285</v>
      </c>
      <c r="I81" s="12"/>
      <c r="J81" s="12"/>
      <c r="K81" s="12"/>
      <c r="L81" s="12"/>
      <c r="M81" s="12"/>
      <c r="N81" s="14" t="s">
        <v>286</v>
      </c>
    </row>
    <row r="82" spans="2:14" x14ac:dyDescent="0.25">
      <c r="B82" s="9">
        <v>73</v>
      </c>
      <c r="C82" s="16" t="s">
        <v>63</v>
      </c>
      <c r="D82" s="11"/>
      <c r="E82" s="11"/>
      <c r="F82" s="11"/>
      <c r="G82" s="12" t="s">
        <v>287</v>
      </c>
      <c r="H82" s="13" t="s">
        <v>288</v>
      </c>
      <c r="I82" s="12"/>
      <c r="J82" s="12"/>
      <c r="K82" s="12"/>
      <c r="L82" s="12"/>
      <c r="M82" s="12"/>
      <c r="N82" s="14" t="s">
        <v>289</v>
      </c>
    </row>
    <row r="83" spans="2:14" x14ac:dyDescent="0.25">
      <c r="B83" s="9">
        <v>74</v>
      </c>
      <c r="C83" s="15" t="s">
        <v>32</v>
      </c>
      <c r="D83" s="11"/>
      <c r="E83" s="11"/>
      <c r="F83" s="11" t="s">
        <v>290</v>
      </c>
      <c r="G83" s="12" t="s">
        <v>291</v>
      </c>
      <c r="H83" s="13" t="s">
        <v>292</v>
      </c>
      <c r="I83" s="12"/>
      <c r="J83" s="12"/>
      <c r="K83" s="12"/>
      <c r="L83" s="12"/>
      <c r="M83" s="12"/>
      <c r="N83" s="14" t="s">
        <v>293</v>
      </c>
    </row>
    <row r="84" spans="2:14" x14ac:dyDescent="0.25">
      <c r="B84" s="9">
        <v>75</v>
      </c>
      <c r="C84" s="15" t="s">
        <v>32</v>
      </c>
      <c r="D84" s="11"/>
      <c r="E84" s="11"/>
      <c r="F84" s="11"/>
      <c r="G84" s="12" t="s">
        <v>294</v>
      </c>
      <c r="H84" s="13" t="s">
        <v>295</v>
      </c>
      <c r="I84" s="12"/>
      <c r="J84" s="12"/>
      <c r="K84" s="12"/>
      <c r="L84" s="12"/>
      <c r="M84" s="12"/>
      <c r="N84" s="14" t="s">
        <v>296</v>
      </c>
    </row>
    <row r="85" spans="2:14" x14ac:dyDescent="0.25">
      <c r="B85" s="9">
        <v>76</v>
      </c>
      <c r="C85" s="10" t="s">
        <v>22</v>
      </c>
      <c r="D85" s="11"/>
      <c r="E85" s="12" t="s">
        <v>297</v>
      </c>
      <c r="F85" s="12" t="s">
        <v>298</v>
      </c>
      <c r="G85" s="12" t="s">
        <v>299</v>
      </c>
      <c r="H85" s="13" t="s">
        <v>300</v>
      </c>
      <c r="I85" s="12"/>
      <c r="J85" s="12"/>
      <c r="K85" s="12"/>
      <c r="L85" s="12"/>
      <c r="M85" s="12"/>
      <c r="N85" s="14" t="s">
        <v>301</v>
      </c>
    </row>
    <row r="86" spans="2:14" x14ac:dyDescent="0.25">
      <c r="B86" s="9">
        <v>77</v>
      </c>
      <c r="C86" s="15" t="s">
        <v>32</v>
      </c>
      <c r="D86" s="11" t="s">
        <v>302</v>
      </c>
      <c r="E86" s="12" t="s">
        <v>303</v>
      </c>
      <c r="F86" s="12" t="s">
        <v>304</v>
      </c>
      <c r="G86" s="12" t="s">
        <v>305</v>
      </c>
      <c r="H86" s="13" t="s">
        <v>306</v>
      </c>
      <c r="I86" s="12"/>
      <c r="J86" s="12"/>
      <c r="K86" s="12"/>
      <c r="L86" s="12"/>
      <c r="M86" s="12"/>
      <c r="N86" s="14" t="s">
        <v>307</v>
      </c>
    </row>
    <row r="87" spans="2:14" x14ac:dyDescent="0.25">
      <c r="B87" s="9">
        <v>78</v>
      </c>
      <c r="C87" s="10" t="s">
        <v>22</v>
      </c>
      <c r="D87" s="11"/>
      <c r="E87" s="11" t="s">
        <v>308</v>
      </c>
      <c r="F87" s="12" t="s">
        <v>309</v>
      </c>
      <c r="G87" s="12" t="s">
        <v>310</v>
      </c>
      <c r="H87" s="13" t="s">
        <v>311</v>
      </c>
      <c r="I87" s="12"/>
      <c r="J87" s="12"/>
      <c r="K87" s="12"/>
      <c r="L87" s="12"/>
      <c r="M87" s="12"/>
      <c r="N87" s="14" t="s">
        <v>312</v>
      </c>
    </row>
    <row r="88" spans="2:14" x14ac:dyDescent="0.25">
      <c r="B88" s="9">
        <v>79</v>
      </c>
      <c r="C88" s="10" t="s">
        <v>22</v>
      </c>
      <c r="D88" s="11"/>
      <c r="E88" s="11"/>
      <c r="F88" s="12" t="s">
        <v>313</v>
      </c>
      <c r="G88" s="12" t="s">
        <v>314</v>
      </c>
      <c r="H88" s="13" t="s">
        <v>315</v>
      </c>
      <c r="I88" s="12"/>
      <c r="J88" s="12"/>
      <c r="K88" s="12"/>
      <c r="L88" s="12"/>
      <c r="M88" s="12"/>
      <c r="N88" s="14" t="s">
        <v>316</v>
      </c>
    </row>
    <row r="89" spans="2:14" x14ac:dyDescent="0.25">
      <c r="B89" s="9">
        <v>80</v>
      </c>
      <c r="C89" s="10" t="s">
        <v>22</v>
      </c>
      <c r="D89" s="11"/>
      <c r="E89" s="11"/>
      <c r="F89" s="12" t="s">
        <v>317</v>
      </c>
      <c r="G89" s="12" t="s">
        <v>318</v>
      </c>
      <c r="H89" s="13" t="s">
        <v>319</v>
      </c>
      <c r="I89" s="12"/>
      <c r="J89" s="12"/>
      <c r="K89" s="12"/>
      <c r="L89" s="12"/>
      <c r="M89" s="12"/>
      <c r="N89" s="14" t="s">
        <v>320</v>
      </c>
    </row>
    <row r="90" spans="2:14" x14ac:dyDescent="0.25">
      <c r="B90" s="9">
        <v>81</v>
      </c>
      <c r="C90" s="10" t="s">
        <v>22</v>
      </c>
      <c r="D90" s="11"/>
      <c r="E90" s="11" t="s">
        <v>321</v>
      </c>
      <c r="F90" s="12" t="s">
        <v>322</v>
      </c>
      <c r="G90" s="12" t="s">
        <v>323</v>
      </c>
      <c r="H90" s="13" t="s">
        <v>324</v>
      </c>
      <c r="I90" s="12"/>
      <c r="J90" s="12"/>
      <c r="K90" s="12"/>
      <c r="L90" s="12"/>
      <c r="M90" s="12"/>
      <c r="N90" s="14" t="s">
        <v>325</v>
      </c>
    </row>
    <row r="91" spans="2:14" x14ac:dyDescent="0.25">
      <c r="B91" s="9">
        <v>82</v>
      </c>
      <c r="C91" s="10" t="s">
        <v>22</v>
      </c>
      <c r="D91" s="11"/>
      <c r="E91" s="11"/>
      <c r="F91" s="12" t="s">
        <v>326</v>
      </c>
      <c r="G91" s="12" t="s">
        <v>327</v>
      </c>
      <c r="H91" s="13" t="s">
        <v>328</v>
      </c>
      <c r="I91" s="12"/>
      <c r="J91" s="12"/>
      <c r="K91" s="12"/>
      <c r="L91" s="12"/>
      <c r="M91" s="12"/>
      <c r="N91" s="14" t="s">
        <v>329</v>
      </c>
    </row>
    <row r="92" spans="2:14" x14ac:dyDescent="0.25">
      <c r="B92" s="9">
        <v>83</v>
      </c>
      <c r="C92" s="15" t="s">
        <v>32</v>
      </c>
      <c r="D92" s="11"/>
      <c r="E92" s="12" t="s">
        <v>330</v>
      </c>
      <c r="F92" s="12" t="s">
        <v>331</v>
      </c>
      <c r="G92" s="12" t="s">
        <v>332</v>
      </c>
      <c r="H92" s="13" t="s">
        <v>333</v>
      </c>
      <c r="I92" s="12"/>
      <c r="J92" s="12"/>
      <c r="K92" s="12"/>
      <c r="L92" s="12"/>
      <c r="M92" s="12"/>
      <c r="N92" s="14" t="s">
        <v>334</v>
      </c>
    </row>
    <row r="93" spans="2:14" x14ac:dyDescent="0.25">
      <c r="B93" s="9">
        <v>84</v>
      </c>
      <c r="C93" s="10" t="s">
        <v>22</v>
      </c>
      <c r="D93" s="11" t="s">
        <v>335</v>
      </c>
      <c r="E93" s="11" t="s">
        <v>336</v>
      </c>
      <c r="F93" s="12" t="s">
        <v>337</v>
      </c>
      <c r="G93" s="12" t="s">
        <v>338</v>
      </c>
      <c r="H93" s="13" t="s">
        <v>339</v>
      </c>
      <c r="I93" s="12"/>
      <c r="J93" s="12"/>
      <c r="K93" s="12"/>
      <c r="L93" s="12"/>
      <c r="M93" s="12"/>
      <c r="N93" s="14" t="s">
        <v>340</v>
      </c>
    </row>
    <row r="94" spans="2:14" x14ac:dyDescent="0.25">
      <c r="B94" s="9">
        <v>85</v>
      </c>
      <c r="C94" s="10" t="s">
        <v>22</v>
      </c>
      <c r="D94" s="11"/>
      <c r="E94" s="11"/>
      <c r="F94" s="12" t="s">
        <v>341</v>
      </c>
      <c r="G94" s="12" t="s">
        <v>342</v>
      </c>
      <c r="H94" s="13" t="s">
        <v>343</v>
      </c>
      <c r="I94" s="12"/>
      <c r="J94" s="12"/>
      <c r="K94" s="12"/>
      <c r="L94" s="12"/>
      <c r="M94" s="12"/>
      <c r="N94" s="14" t="s">
        <v>344</v>
      </c>
    </row>
    <row r="95" spans="2:14" x14ac:dyDescent="0.25">
      <c r="B95" s="9">
        <v>86</v>
      </c>
      <c r="C95" s="10" t="s">
        <v>22</v>
      </c>
      <c r="D95" s="11"/>
      <c r="E95" s="11" t="s">
        <v>345</v>
      </c>
      <c r="F95" s="11" t="s">
        <v>346</v>
      </c>
      <c r="G95" s="12" t="s">
        <v>347</v>
      </c>
      <c r="H95" s="13" t="s">
        <v>348</v>
      </c>
      <c r="I95" s="12"/>
      <c r="J95" s="12"/>
      <c r="K95" s="12"/>
      <c r="L95" s="12"/>
      <c r="M95" s="12"/>
      <c r="N95" s="14" t="s">
        <v>349</v>
      </c>
    </row>
    <row r="96" spans="2:14" x14ac:dyDescent="0.25">
      <c r="B96" s="9">
        <v>87</v>
      </c>
      <c r="C96" s="10" t="s">
        <v>22</v>
      </c>
      <c r="D96" s="11"/>
      <c r="E96" s="11"/>
      <c r="F96" s="11"/>
      <c r="G96" s="12" t="s">
        <v>350</v>
      </c>
      <c r="H96" s="13" t="s">
        <v>351</v>
      </c>
      <c r="I96" s="12"/>
      <c r="J96" s="12"/>
      <c r="K96" s="12"/>
      <c r="L96" s="12"/>
      <c r="M96" s="12"/>
      <c r="N96" s="14" t="s">
        <v>352</v>
      </c>
    </row>
    <row r="97" spans="2:14" x14ac:dyDescent="0.25">
      <c r="B97" s="9">
        <v>88</v>
      </c>
      <c r="C97" s="15" t="s">
        <v>32</v>
      </c>
      <c r="D97" s="11"/>
      <c r="E97" s="11"/>
      <c r="F97" s="11" t="s">
        <v>353</v>
      </c>
      <c r="G97" s="12" t="s">
        <v>354</v>
      </c>
      <c r="H97" s="13" t="s">
        <v>355</v>
      </c>
      <c r="I97" s="12"/>
      <c r="J97" s="12"/>
      <c r="K97" s="12"/>
      <c r="L97" s="12"/>
      <c r="M97" s="12"/>
      <c r="N97" s="14" t="s">
        <v>356</v>
      </c>
    </row>
    <row r="98" spans="2:14" x14ac:dyDescent="0.25">
      <c r="B98" s="9">
        <v>89</v>
      </c>
      <c r="C98" s="15" t="s">
        <v>32</v>
      </c>
      <c r="D98" s="11"/>
      <c r="E98" s="11"/>
      <c r="F98" s="11"/>
      <c r="G98" s="12" t="s">
        <v>357</v>
      </c>
      <c r="H98" s="13" t="s">
        <v>358</v>
      </c>
      <c r="I98" s="12"/>
      <c r="J98" s="12"/>
      <c r="K98" s="12"/>
      <c r="L98" s="12"/>
      <c r="M98" s="12"/>
      <c r="N98" s="14" t="s">
        <v>359</v>
      </c>
    </row>
    <row r="99" spans="2:14" x14ac:dyDescent="0.25">
      <c r="B99" s="9">
        <v>90</v>
      </c>
      <c r="C99" s="15" t="s">
        <v>32</v>
      </c>
      <c r="D99" s="11"/>
      <c r="E99" s="11"/>
      <c r="F99" s="11" t="s">
        <v>360</v>
      </c>
      <c r="G99" s="12" t="s">
        <v>361</v>
      </c>
      <c r="H99" s="13" t="s">
        <v>362</v>
      </c>
      <c r="I99" s="12"/>
      <c r="J99" s="12"/>
      <c r="K99" s="12"/>
      <c r="L99" s="12"/>
      <c r="M99" s="12"/>
      <c r="N99" s="14" t="s">
        <v>363</v>
      </c>
    </row>
    <row r="100" spans="2:14" x14ac:dyDescent="0.25">
      <c r="B100" s="9">
        <v>91</v>
      </c>
      <c r="C100" s="10" t="s">
        <v>22</v>
      </c>
      <c r="D100" s="11"/>
      <c r="E100" s="11"/>
      <c r="F100" s="11"/>
      <c r="G100" s="12" t="s">
        <v>364</v>
      </c>
      <c r="H100" s="13" t="s">
        <v>365</v>
      </c>
      <c r="I100" s="12"/>
      <c r="J100" s="12"/>
      <c r="K100" s="12"/>
      <c r="L100" s="12"/>
      <c r="M100" s="12"/>
      <c r="N100" s="14" t="s">
        <v>366</v>
      </c>
    </row>
    <row r="101" spans="2:14" x14ac:dyDescent="0.25">
      <c r="B101" s="9">
        <v>92</v>
      </c>
      <c r="C101" s="15" t="s">
        <v>32</v>
      </c>
      <c r="D101" s="11"/>
      <c r="E101" s="11"/>
      <c r="F101" s="11" t="s">
        <v>367</v>
      </c>
      <c r="G101" s="12" t="s">
        <v>291</v>
      </c>
      <c r="H101" s="13" t="s">
        <v>368</v>
      </c>
      <c r="I101" s="12"/>
      <c r="J101" s="12"/>
      <c r="K101" s="12"/>
      <c r="L101" s="12"/>
      <c r="M101" s="12"/>
      <c r="N101" s="14" t="s">
        <v>369</v>
      </c>
    </row>
    <row r="102" spans="2:14" x14ac:dyDescent="0.25">
      <c r="B102" s="9">
        <v>93</v>
      </c>
      <c r="C102" s="15" t="s">
        <v>32</v>
      </c>
      <c r="D102" s="11"/>
      <c r="E102" s="11"/>
      <c r="F102" s="11"/>
      <c r="G102" s="12" t="s">
        <v>370</v>
      </c>
      <c r="H102" s="13" t="s">
        <v>371</v>
      </c>
      <c r="I102" s="12"/>
      <c r="J102" s="12"/>
      <c r="K102" s="12"/>
      <c r="L102" s="12"/>
      <c r="M102" s="12"/>
      <c r="N102" s="14" t="s">
        <v>372</v>
      </c>
    </row>
    <row r="103" spans="2:14" x14ac:dyDescent="0.25">
      <c r="B103" s="9">
        <v>94</v>
      </c>
      <c r="C103" s="10" t="s">
        <v>22</v>
      </c>
      <c r="D103" s="11"/>
      <c r="E103" s="11" t="s">
        <v>373</v>
      </c>
      <c r="F103" s="11" t="s">
        <v>374</v>
      </c>
      <c r="G103" s="12" t="s">
        <v>375</v>
      </c>
      <c r="H103" s="13" t="s">
        <v>376</v>
      </c>
      <c r="I103" s="12"/>
      <c r="J103" s="12"/>
      <c r="K103" s="12"/>
      <c r="L103" s="12"/>
      <c r="M103" s="12"/>
      <c r="N103" s="14" t="s">
        <v>377</v>
      </c>
    </row>
    <row r="104" spans="2:14" x14ac:dyDescent="0.25">
      <c r="B104" s="9">
        <v>95</v>
      </c>
      <c r="C104" s="15" t="s">
        <v>32</v>
      </c>
      <c r="D104" s="11"/>
      <c r="E104" s="11"/>
      <c r="F104" s="11"/>
      <c r="G104" s="12" t="s">
        <v>378</v>
      </c>
      <c r="H104" s="13" t="s">
        <v>379</v>
      </c>
      <c r="I104" s="12"/>
      <c r="J104" s="12"/>
      <c r="K104" s="12"/>
      <c r="L104" s="12"/>
      <c r="M104" s="12"/>
      <c r="N104" s="14" t="s">
        <v>380</v>
      </c>
    </row>
    <row r="105" spans="2:14" x14ac:dyDescent="0.25">
      <c r="B105" s="9">
        <v>96</v>
      </c>
      <c r="C105" s="15" t="s">
        <v>32</v>
      </c>
      <c r="D105" s="11"/>
      <c r="E105" s="11"/>
      <c r="F105" s="11"/>
      <c r="G105" s="12" t="s">
        <v>381</v>
      </c>
      <c r="H105" s="13" t="s">
        <v>382</v>
      </c>
      <c r="I105" s="12"/>
      <c r="J105" s="12"/>
      <c r="K105" s="12"/>
      <c r="L105" s="12"/>
      <c r="M105" s="12"/>
      <c r="N105" s="14" t="s">
        <v>383</v>
      </c>
    </row>
    <row r="106" spans="2:14" x14ac:dyDescent="0.25">
      <c r="B106" s="9">
        <v>97</v>
      </c>
      <c r="C106" s="16" t="s">
        <v>63</v>
      </c>
      <c r="D106" s="11"/>
      <c r="E106" s="11"/>
      <c r="F106" s="12" t="s">
        <v>384</v>
      </c>
      <c r="G106" s="12" t="s">
        <v>385</v>
      </c>
      <c r="H106" s="13" t="s">
        <v>386</v>
      </c>
      <c r="I106" s="12"/>
      <c r="J106" s="12"/>
      <c r="K106" s="12"/>
      <c r="L106" s="12"/>
      <c r="M106" s="12"/>
      <c r="N106" s="14" t="s">
        <v>387</v>
      </c>
    </row>
    <row r="107" spans="2:14" x14ac:dyDescent="0.25">
      <c r="B107" s="9">
        <v>98</v>
      </c>
      <c r="C107" s="10" t="s">
        <v>22</v>
      </c>
      <c r="D107" s="11"/>
      <c r="E107" s="11" t="s">
        <v>388</v>
      </c>
      <c r="F107" s="11" t="s">
        <v>389</v>
      </c>
      <c r="G107" s="12" t="s">
        <v>390</v>
      </c>
      <c r="H107" s="13" t="s">
        <v>391</v>
      </c>
      <c r="I107" s="12"/>
      <c r="J107" s="12"/>
      <c r="K107" s="12"/>
      <c r="L107" s="12"/>
      <c r="M107" s="12"/>
      <c r="N107" s="14" t="s">
        <v>392</v>
      </c>
    </row>
    <row r="108" spans="2:14" x14ac:dyDescent="0.25">
      <c r="B108" s="9">
        <v>99</v>
      </c>
      <c r="C108" s="10" t="s">
        <v>22</v>
      </c>
      <c r="D108" s="11"/>
      <c r="E108" s="11"/>
      <c r="F108" s="11"/>
      <c r="G108" s="12" t="s">
        <v>393</v>
      </c>
      <c r="H108" s="13" t="s">
        <v>394</v>
      </c>
      <c r="I108" s="12"/>
      <c r="J108" s="12"/>
      <c r="K108" s="12"/>
      <c r="L108" s="12"/>
      <c r="M108" s="12"/>
      <c r="N108" s="14" t="s">
        <v>395</v>
      </c>
    </row>
    <row r="109" spans="2:14" x14ac:dyDescent="0.25">
      <c r="B109" s="9">
        <v>100</v>
      </c>
      <c r="C109" s="16" t="s">
        <v>63</v>
      </c>
      <c r="D109" s="11"/>
      <c r="E109" s="11"/>
      <c r="F109" s="11" t="s">
        <v>396</v>
      </c>
      <c r="G109" s="12" t="s">
        <v>397</v>
      </c>
      <c r="H109" s="13" t="s">
        <v>398</v>
      </c>
      <c r="I109" s="12"/>
      <c r="J109" s="12"/>
      <c r="K109" s="12"/>
      <c r="L109" s="12"/>
      <c r="M109" s="12"/>
      <c r="N109" s="14" t="s">
        <v>399</v>
      </c>
    </row>
    <row r="110" spans="2:14" x14ac:dyDescent="0.25">
      <c r="B110" s="9">
        <v>101</v>
      </c>
      <c r="C110" s="16" t="s">
        <v>63</v>
      </c>
      <c r="D110" s="11"/>
      <c r="E110" s="11"/>
      <c r="F110" s="11"/>
      <c r="G110" s="12" t="s">
        <v>400</v>
      </c>
      <c r="H110" s="13" t="s">
        <v>401</v>
      </c>
      <c r="I110" s="12"/>
      <c r="J110" s="12"/>
      <c r="K110" s="12"/>
      <c r="L110" s="12"/>
      <c r="M110" s="12"/>
      <c r="N110" s="14" t="s">
        <v>402</v>
      </c>
    </row>
    <row r="111" spans="2:14" x14ac:dyDescent="0.25">
      <c r="B111" s="9">
        <v>102</v>
      </c>
      <c r="C111" s="15" t="s">
        <v>32</v>
      </c>
      <c r="D111" s="11"/>
      <c r="E111" s="11"/>
      <c r="F111" s="11" t="s">
        <v>403</v>
      </c>
      <c r="G111" s="12" t="s">
        <v>404</v>
      </c>
      <c r="H111" s="13" t="s">
        <v>405</v>
      </c>
      <c r="I111" s="12"/>
      <c r="J111" s="12"/>
      <c r="K111" s="12"/>
      <c r="L111" s="12"/>
      <c r="M111" s="12"/>
      <c r="N111" s="14" t="s">
        <v>406</v>
      </c>
    </row>
    <row r="112" spans="2:14" x14ac:dyDescent="0.25">
      <c r="B112" s="9">
        <v>103</v>
      </c>
      <c r="C112" s="10" t="s">
        <v>22</v>
      </c>
      <c r="D112" s="11"/>
      <c r="E112" s="11"/>
      <c r="F112" s="11"/>
      <c r="G112" s="12" t="s">
        <v>310</v>
      </c>
      <c r="H112" s="13" t="s">
        <v>407</v>
      </c>
      <c r="I112" s="12"/>
      <c r="J112" s="12"/>
      <c r="K112" s="12"/>
      <c r="L112" s="12"/>
      <c r="M112" s="12"/>
      <c r="N112" s="14" t="s">
        <v>408</v>
      </c>
    </row>
    <row r="113" spans="2:14" x14ac:dyDescent="0.25">
      <c r="B113" s="9">
        <v>104</v>
      </c>
      <c r="C113" s="15" t="s">
        <v>32</v>
      </c>
      <c r="D113" s="11"/>
      <c r="E113" s="11"/>
      <c r="F113" s="11" t="s">
        <v>409</v>
      </c>
      <c r="G113" s="12" t="s">
        <v>410</v>
      </c>
      <c r="H113" s="13" t="s">
        <v>411</v>
      </c>
      <c r="I113" s="12"/>
      <c r="J113" s="12"/>
      <c r="K113" s="12"/>
      <c r="L113" s="12"/>
      <c r="M113" s="12"/>
      <c r="N113" s="14" t="s">
        <v>412</v>
      </c>
    </row>
    <row r="114" spans="2:14" x14ac:dyDescent="0.25">
      <c r="B114" s="9">
        <v>105</v>
      </c>
      <c r="C114" s="15" t="s">
        <v>32</v>
      </c>
      <c r="D114" s="11"/>
      <c r="E114" s="11"/>
      <c r="F114" s="11"/>
      <c r="G114" s="12" t="s">
        <v>413</v>
      </c>
      <c r="H114" s="13" t="s">
        <v>414</v>
      </c>
      <c r="I114" s="12"/>
      <c r="J114" s="12"/>
      <c r="K114" s="12"/>
      <c r="L114" s="12"/>
      <c r="M114" s="12"/>
      <c r="N114" s="14" t="s">
        <v>415</v>
      </c>
    </row>
    <row r="115" spans="2:14" x14ac:dyDescent="0.25">
      <c r="B115" s="9">
        <v>106</v>
      </c>
      <c r="C115" s="15" t="s">
        <v>32</v>
      </c>
      <c r="D115" s="11"/>
      <c r="E115" s="11"/>
      <c r="F115" s="12" t="s">
        <v>416</v>
      </c>
      <c r="G115" s="12" t="s">
        <v>417</v>
      </c>
      <c r="H115" s="13" t="s">
        <v>418</v>
      </c>
      <c r="I115" s="12"/>
      <c r="J115" s="12"/>
      <c r="K115" s="12"/>
      <c r="L115" s="12"/>
      <c r="M115" s="12"/>
      <c r="N115" s="14" t="s">
        <v>419</v>
      </c>
    </row>
    <row r="116" spans="2:14" x14ac:dyDescent="0.25">
      <c r="B116" s="9">
        <v>107</v>
      </c>
      <c r="C116" s="10" t="s">
        <v>22</v>
      </c>
      <c r="D116" s="11"/>
      <c r="E116" s="11" t="s">
        <v>420</v>
      </c>
      <c r="F116" s="12" t="s">
        <v>421</v>
      </c>
      <c r="G116" s="12" t="s">
        <v>422</v>
      </c>
      <c r="H116" s="13" t="s">
        <v>423</v>
      </c>
      <c r="I116" s="12"/>
      <c r="J116" s="12"/>
      <c r="K116" s="12"/>
      <c r="L116" s="12"/>
      <c r="M116" s="12"/>
      <c r="N116" s="14" t="s">
        <v>424</v>
      </c>
    </row>
    <row r="117" spans="2:14" x14ac:dyDescent="0.25">
      <c r="B117" s="9">
        <v>108</v>
      </c>
      <c r="C117" s="10" t="s">
        <v>22</v>
      </c>
      <c r="D117" s="11"/>
      <c r="E117" s="11"/>
      <c r="F117" s="11" t="s">
        <v>425</v>
      </c>
      <c r="G117" s="12" t="s">
        <v>426</v>
      </c>
      <c r="H117" s="13" t="s">
        <v>427</v>
      </c>
      <c r="I117" s="12"/>
      <c r="J117" s="12"/>
      <c r="K117" s="12"/>
      <c r="L117" s="12"/>
      <c r="M117" s="12"/>
      <c r="N117" s="14" t="s">
        <v>428</v>
      </c>
    </row>
    <row r="118" spans="2:14" x14ac:dyDescent="0.25">
      <c r="B118" s="9">
        <v>109</v>
      </c>
      <c r="C118" s="16" t="s">
        <v>63</v>
      </c>
      <c r="D118" s="11"/>
      <c r="E118" s="11"/>
      <c r="F118" s="11"/>
      <c r="G118" s="12" t="s">
        <v>397</v>
      </c>
      <c r="H118" s="13" t="s">
        <v>429</v>
      </c>
      <c r="I118" s="12"/>
      <c r="J118" s="12"/>
      <c r="K118" s="12"/>
      <c r="L118" s="12"/>
      <c r="M118" s="12"/>
      <c r="N118" s="14" t="s">
        <v>430</v>
      </c>
    </row>
    <row r="119" spans="2:14" x14ac:dyDescent="0.25">
      <c r="B119" s="9">
        <v>110</v>
      </c>
      <c r="C119" s="16" t="s">
        <v>63</v>
      </c>
      <c r="D119" s="11"/>
      <c r="E119" s="11"/>
      <c r="F119" s="11"/>
      <c r="G119" s="12" t="s">
        <v>400</v>
      </c>
      <c r="H119" s="13" t="s">
        <v>431</v>
      </c>
      <c r="I119" s="12"/>
      <c r="J119" s="12"/>
      <c r="K119" s="12"/>
      <c r="L119" s="12"/>
      <c r="M119" s="12"/>
      <c r="N119" s="14" t="s">
        <v>432</v>
      </c>
    </row>
    <row r="120" spans="2:14" x14ac:dyDescent="0.25">
      <c r="B120" s="9">
        <v>111</v>
      </c>
      <c r="C120" s="10" t="s">
        <v>22</v>
      </c>
      <c r="D120" s="11"/>
      <c r="E120" s="11"/>
      <c r="F120" s="12" t="s">
        <v>433</v>
      </c>
      <c r="G120" s="12" t="s">
        <v>426</v>
      </c>
      <c r="H120" s="13" t="s">
        <v>434</v>
      </c>
      <c r="I120" s="12"/>
      <c r="J120" s="12"/>
      <c r="K120" s="12"/>
      <c r="L120" s="12"/>
      <c r="M120" s="12"/>
      <c r="N120" s="14" t="s">
        <v>435</v>
      </c>
    </row>
    <row r="121" spans="2:14" x14ac:dyDescent="0.25">
      <c r="B121" s="9">
        <v>112</v>
      </c>
      <c r="C121" s="10" t="s">
        <v>22</v>
      </c>
      <c r="D121" s="11" t="s">
        <v>436</v>
      </c>
      <c r="E121" s="11" t="s">
        <v>437</v>
      </c>
      <c r="F121" s="12" t="s">
        <v>438</v>
      </c>
      <c r="G121" s="12" t="s">
        <v>439</v>
      </c>
      <c r="H121" s="13" t="s">
        <v>440</v>
      </c>
      <c r="I121" s="12"/>
      <c r="J121" s="12"/>
      <c r="K121" s="12"/>
      <c r="L121" s="12"/>
      <c r="M121" s="12"/>
      <c r="N121" s="14" t="s">
        <v>441</v>
      </c>
    </row>
    <row r="122" spans="2:14" x14ac:dyDescent="0.25">
      <c r="B122" s="9">
        <v>113</v>
      </c>
      <c r="C122" s="15" t="s">
        <v>32</v>
      </c>
      <c r="D122" s="11"/>
      <c r="E122" s="11"/>
      <c r="F122" s="11" t="s">
        <v>442</v>
      </c>
      <c r="G122" s="12" t="s">
        <v>443</v>
      </c>
      <c r="H122" s="13" t="s">
        <v>444</v>
      </c>
      <c r="I122" s="12"/>
      <c r="J122" s="12"/>
      <c r="K122" s="12"/>
      <c r="L122" s="12"/>
      <c r="M122" s="12"/>
      <c r="N122" s="14" t="s">
        <v>445</v>
      </c>
    </row>
    <row r="123" spans="2:14" x14ac:dyDescent="0.25">
      <c r="B123" s="9">
        <v>114</v>
      </c>
      <c r="C123" s="15" t="s">
        <v>32</v>
      </c>
      <c r="D123" s="11"/>
      <c r="E123" s="11"/>
      <c r="F123" s="11"/>
      <c r="G123" s="12" t="s">
        <v>446</v>
      </c>
      <c r="H123" s="13" t="s">
        <v>447</v>
      </c>
      <c r="I123" s="12"/>
      <c r="J123" s="12"/>
      <c r="K123" s="12"/>
      <c r="L123" s="12"/>
      <c r="M123" s="12"/>
      <c r="N123" s="14" t="s">
        <v>448</v>
      </c>
    </row>
    <row r="124" spans="2:14" x14ac:dyDescent="0.25">
      <c r="B124" s="9">
        <v>115</v>
      </c>
      <c r="C124" s="15" t="s">
        <v>32</v>
      </c>
      <c r="D124" s="11"/>
      <c r="E124" s="11"/>
      <c r="F124" s="12" t="s">
        <v>449</v>
      </c>
      <c r="G124" s="12" t="s">
        <v>450</v>
      </c>
      <c r="H124" s="13" t="s">
        <v>451</v>
      </c>
      <c r="I124" s="12"/>
      <c r="J124" s="12"/>
      <c r="K124" s="12"/>
      <c r="L124" s="12"/>
      <c r="M124" s="12"/>
      <c r="N124" s="14" t="s">
        <v>452</v>
      </c>
    </row>
    <row r="125" spans="2:14" x14ac:dyDescent="0.25">
      <c r="B125" s="9">
        <v>116</v>
      </c>
      <c r="C125" s="10" t="s">
        <v>22</v>
      </c>
      <c r="D125" s="11"/>
      <c r="E125" s="11" t="s">
        <v>453</v>
      </c>
      <c r="F125" s="11" t="s">
        <v>454</v>
      </c>
      <c r="G125" s="12" t="s">
        <v>455</v>
      </c>
      <c r="H125" s="13" t="s">
        <v>456</v>
      </c>
      <c r="I125" s="12"/>
      <c r="J125" s="12"/>
      <c r="K125" s="12"/>
      <c r="L125" s="12"/>
      <c r="M125" s="12"/>
      <c r="N125" s="14" t="s">
        <v>457</v>
      </c>
    </row>
    <row r="126" spans="2:14" x14ac:dyDescent="0.25">
      <c r="B126" s="9">
        <v>117</v>
      </c>
      <c r="C126" s="10" t="s">
        <v>22</v>
      </c>
      <c r="D126" s="11"/>
      <c r="E126" s="11"/>
      <c r="F126" s="11"/>
      <c r="G126" s="12" t="s">
        <v>458</v>
      </c>
      <c r="H126" s="13" t="s">
        <v>459</v>
      </c>
      <c r="I126" s="12"/>
      <c r="J126" s="12"/>
      <c r="K126" s="12"/>
      <c r="L126" s="12"/>
      <c r="M126" s="12"/>
      <c r="N126" s="14" t="s">
        <v>460</v>
      </c>
    </row>
    <row r="127" spans="2:14" x14ac:dyDescent="0.25">
      <c r="B127" s="9">
        <v>118</v>
      </c>
      <c r="C127" s="16" t="s">
        <v>63</v>
      </c>
      <c r="D127" s="11"/>
      <c r="E127" s="11"/>
      <c r="F127" s="12" t="s">
        <v>461</v>
      </c>
      <c r="G127" s="12" t="s">
        <v>462</v>
      </c>
      <c r="H127" s="13" t="s">
        <v>463</v>
      </c>
      <c r="I127" s="12"/>
      <c r="J127" s="12"/>
      <c r="K127" s="12"/>
      <c r="L127" s="12"/>
      <c r="M127" s="12"/>
      <c r="N127" s="14" t="s">
        <v>464</v>
      </c>
    </row>
    <row r="128" spans="2:14" x14ac:dyDescent="0.25">
      <c r="B128" s="9">
        <v>119</v>
      </c>
      <c r="C128" s="10" t="s">
        <v>22</v>
      </c>
      <c r="D128" s="11"/>
      <c r="E128" s="11"/>
      <c r="F128" s="11" t="s">
        <v>465</v>
      </c>
      <c r="G128" s="12" t="s">
        <v>466</v>
      </c>
      <c r="H128" s="13" t="s">
        <v>467</v>
      </c>
      <c r="I128" s="12"/>
      <c r="J128" s="12"/>
      <c r="K128" s="12"/>
      <c r="L128" s="12"/>
      <c r="M128" s="12"/>
      <c r="N128" s="14" t="s">
        <v>468</v>
      </c>
    </row>
    <row r="129" spans="2:14" x14ac:dyDescent="0.25">
      <c r="B129" s="9">
        <v>120</v>
      </c>
      <c r="C129" s="16" t="s">
        <v>63</v>
      </c>
      <c r="D129" s="11"/>
      <c r="E129" s="11"/>
      <c r="F129" s="11"/>
      <c r="G129" s="12" t="s">
        <v>469</v>
      </c>
      <c r="H129" s="13" t="s">
        <v>470</v>
      </c>
      <c r="I129" s="12"/>
      <c r="J129" s="12"/>
      <c r="K129" s="12"/>
      <c r="L129" s="12"/>
      <c r="M129" s="12"/>
      <c r="N129" s="14" t="s">
        <v>471</v>
      </c>
    </row>
    <row r="130" spans="2:14" x14ac:dyDescent="0.25">
      <c r="B130" s="9">
        <v>121</v>
      </c>
      <c r="C130" s="10" t="s">
        <v>22</v>
      </c>
      <c r="D130" s="11"/>
      <c r="E130" s="11"/>
      <c r="F130" s="11" t="s">
        <v>472</v>
      </c>
      <c r="G130" s="12" t="s">
        <v>473</v>
      </c>
      <c r="H130" s="13" t="s">
        <v>474</v>
      </c>
      <c r="I130" s="12"/>
      <c r="J130" s="12"/>
      <c r="K130" s="12"/>
      <c r="L130" s="12"/>
      <c r="M130" s="12"/>
      <c r="N130" s="14" t="s">
        <v>475</v>
      </c>
    </row>
    <row r="131" spans="2:14" x14ac:dyDescent="0.25">
      <c r="B131" s="9">
        <v>122</v>
      </c>
      <c r="C131" s="15" t="s">
        <v>32</v>
      </c>
      <c r="D131" s="11"/>
      <c r="E131" s="11"/>
      <c r="F131" s="11"/>
      <c r="G131" s="12" t="s">
        <v>476</v>
      </c>
      <c r="H131" s="13" t="s">
        <v>477</v>
      </c>
      <c r="I131" s="12"/>
      <c r="J131" s="12"/>
      <c r="K131" s="12"/>
      <c r="L131" s="12"/>
      <c r="M131" s="12"/>
      <c r="N131" s="14" t="s">
        <v>478</v>
      </c>
    </row>
    <row r="132" spans="2:14" x14ac:dyDescent="0.25">
      <c r="B132" s="9">
        <v>123</v>
      </c>
      <c r="C132" s="15" t="s">
        <v>32</v>
      </c>
      <c r="D132" s="11"/>
      <c r="E132" s="11" t="s">
        <v>479</v>
      </c>
      <c r="F132" s="11" t="s">
        <v>480</v>
      </c>
      <c r="G132" s="12" t="s">
        <v>481</v>
      </c>
      <c r="H132" s="13" t="s">
        <v>482</v>
      </c>
      <c r="I132" s="12"/>
      <c r="J132" s="12"/>
      <c r="K132" s="12"/>
      <c r="L132" s="12"/>
      <c r="M132" s="12"/>
      <c r="N132" s="14" t="s">
        <v>483</v>
      </c>
    </row>
    <row r="133" spans="2:14" x14ac:dyDescent="0.25">
      <c r="B133" s="9">
        <v>124</v>
      </c>
      <c r="C133" s="10" t="s">
        <v>22</v>
      </c>
      <c r="D133" s="11"/>
      <c r="E133" s="11"/>
      <c r="F133" s="11"/>
      <c r="G133" s="12" t="s">
        <v>484</v>
      </c>
      <c r="H133" s="13" t="s">
        <v>485</v>
      </c>
      <c r="I133" s="12"/>
      <c r="J133" s="12"/>
      <c r="K133" s="12"/>
      <c r="L133" s="12"/>
      <c r="M133" s="12"/>
      <c r="N133" s="14" t="s">
        <v>486</v>
      </c>
    </row>
    <row r="134" spans="2:14" x14ac:dyDescent="0.25">
      <c r="B134" s="9">
        <v>125</v>
      </c>
      <c r="C134" s="10" t="s">
        <v>22</v>
      </c>
      <c r="D134" s="11" t="s">
        <v>487</v>
      </c>
      <c r="E134" s="11" t="s">
        <v>488</v>
      </c>
      <c r="F134" s="12" t="s">
        <v>489</v>
      </c>
      <c r="G134" s="12" t="s">
        <v>490</v>
      </c>
      <c r="H134" s="13" t="s">
        <v>491</v>
      </c>
      <c r="I134" s="12"/>
      <c r="J134" s="12"/>
      <c r="K134" s="12"/>
      <c r="L134" s="12"/>
      <c r="M134" s="12"/>
      <c r="N134" s="14" t="s">
        <v>492</v>
      </c>
    </row>
    <row r="135" spans="2:14" x14ac:dyDescent="0.25">
      <c r="B135" s="9">
        <v>126</v>
      </c>
      <c r="C135" s="10" t="s">
        <v>22</v>
      </c>
      <c r="D135" s="11"/>
      <c r="E135" s="11"/>
      <c r="F135" s="12" t="s">
        <v>493</v>
      </c>
      <c r="G135" s="12" t="s">
        <v>494</v>
      </c>
      <c r="H135" s="13" t="s">
        <v>495</v>
      </c>
      <c r="I135" s="12"/>
      <c r="J135" s="12"/>
      <c r="K135" s="12"/>
      <c r="L135" s="12"/>
      <c r="M135" s="12"/>
      <c r="N135" s="14" t="s">
        <v>496</v>
      </c>
    </row>
    <row r="136" spans="2:14" x14ac:dyDescent="0.25">
      <c r="B136" s="9">
        <v>127</v>
      </c>
      <c r="C136" s="15" t="s">
        <v>32</v>
      </c>
      <c r="D136" s="11"/>
      <c r="E136" s="11"/>
      <c r="F136" s="11" t="s">
        <v>497</v>
      </c>
      <c r="G136" s="12" t="s">
        <v>498</v>
      </c>
      <c r="H136" s="13" t="s">
        <v>499</v>
      </c>
      <c r="I136" s="12"/>
      <c r="J136" s="12"/>
      <c r="K136" s="12"/>
      <c r="L136" s="12"/>
      <c r="M136" s="12"/>
      <c r="N136" s="14" t="s">
        <v>500</v>
      </c>
    </row>
    <row r="137" spans="2:14" x14ac:dyDescent="0.25">
      <c r="B137" s="9">
        <v>128</v>
      </c>
      <c r="C137" s="16" t="s">
        <v>63</v>
      </c>
      <c r="D137" s="11"/>
      <c r="E137" s="11"/>
      <c r="F137" s="11"/>
      <c r="G137" s="12" t="s">
        <v>501</v>
      </c>
      <c r="H137" s="13" t="s">
        <v>502</v>
      </c>
      <c r="I137" s="12"/>
      <c r="J137" s="12"/>
      <c r="K137" s="12"/>
      <c r="L137" s="12"/>
      <c r="M137" s="12"/>
      <c r="N137" s="14" t="s">
        <v>503</v>
      </c>
    </row>
    <row r="138" spans="2:14" x14ac:dyDescent="0.25">
      <c r="B138" s="9">
        <v>129</v>
      </c>
      <c r="C138" s="15" t="s">
        <v>32</v>
      </c>
      <c r="D138" s="11"/>
      <c r="E138" s="11"/>
      <c r="F138" s="11" t="s">
        <v>504</v>
      </c>
      <c r="G138" s="12" t="s">
        <v>505</v>
      </c>
      <c r="H138" s="13" t="s">
        <v>506</v>
      </c>
      <c r="I138" s="12"/>
      <c r="J138" s="12"/>
      <c r="K138" s="12"/>
      <c r="L138" s="12"/>
      <c r="M138" s="12"/>
      <c r="N138" s="14" t="s">
        <v>507</v>
      </c>
    </row>
    <row r="139" spans="2:14" x14ac:dyDescent="0.25">
      <c r="B139" s="9">
        <v>130</v>
      </c>
      <c r="C139" s="16" t="s">
        <v>63</v>
      </c>
      <c r="D139" s="11"/>
      <c r="E139" s="11"/>
      <c r="F139" s="11"/>
      <c r="G139" s="12" t="s">
        <v>508</v>
      </c>
      <c r="H139" s="13" t="s">
        <v>509</v>
      </c>
      <c r="I139" s="12"/>
      <c r="J139" s="12"/>
      <c r="K139" s="12"/>
      <c r="L139" s="12"/>
      <c r="M139" s="12"/>
      <c r="N139" s="14" t="s">
        <v>510</v>
      </c>
    </row>
    <row r="140" spans="2:14" x14ac:dyDescent="0.25">
      <c r="B140" s="9">
        <v>131</v>
      </c>
      <c r="C140" s="10" t="s">
        <v>22</v>
      </c>
      <c r="D140" s="11"/>
      <c r="E140" s="12" t="s">
        <v>511</v>
      </c>
      <c r="F140" s="12" t="s">
        <v>26</v>
      </c>
      <c r="G140" s="12" t="s">
        <v>512</v>
      </c>
      <c r="H140" s="13" t="s">
        <v>513</v>
      </c>
      <c r="I140" s="12"/>
      <c r="J140" s="12"/>
      <c r="K140" s="12"/>
      <c r="L140" s="12"/>
      <c r="M140" s="12"/>
      <c r="N140" s="14" t="s">
        <v>514</v>
      </c>
    </row>
    <row r="141" spans="2:14" x14ac:dyDescent="0.25">
      <c r="B141" s="9">
        <v>132</v>
      </c>
      <c r="C141" s="15" t="s">
        <v>32</v>
      </c>
      <c r="D141" s="11"/>
      <c r="E141" s="11" t="s">
        <v>515</v>
      </c>
      <c r="F141" s="11" t="s">
        <v>516</v>
      </c>
      <c r="G141" s="12" t="s">
        <v>87</v>
      </c>
      <c r="H141" s="13" t="s">
        <v>517</v>
      </c>
      <c r="I141" s="12"/>
      <c r="J141" s="12"/>
      <c r="K141" s="12"/>
      <c r="L141" s="12"/>
      <c r="M141" s="12"/>
      <c r="N141" s="14" t="s">
        <v>518</v>
      </c>
    </row>
    <row r="142" spans="2:14" x14ac:dyDescent="0.25">
      <c r="B142" s="9">
        <v>133</v>
      </c>
      <c r="C142" s="10" t="s">
        <v>22</v>
      </c>
      <c r="D142" s="11"/>
      <c r="E142" s="11"/>
      <c r="F142" s="11"/>
      <c r="G142" s="12" t="s">
        <v>519</v>
      </c>
      <c r="H142" s="13" t="s">
        <v>520</v>
      </c>
      <c r="I142" s="12"/>
      <c r="J142" s="12"/>
      <c r="K142" s="12"/>
      <c r="L142" s="12"/>
      <c r="M142" s="12"/>
      <c r="N142" s="14" t="s">
        <v>521</v>
      </c>
    </row>
    <row r="143" spans="2:14" x14ac:dyDescent="0.25">
      <c r="B143" s="9">
        <v>134</v>
      </c>
      <c r="C143" s="10" t="s">
        <v>22</v>
      </c>
      <c r="D143" s="11"/>
      <c r="E143" s="11"/>
      <c r="F143" s="11"/>
      <c r="G143" s="12" t="s">
        <v>230</v>
      </c>
      <c r="H143" s="13" t="s">
        <v>522</v>
      </c>
      <c r="I143" s="12"/>
      <c r="J143" s="12"/>
      <c r="K143" s="12"/>
      <c r="L143" s="12"/>
      <c r="M143" s="12"/>
      <c r="N143" s="14" t="s">
        <v>523</v>
      </c>
    </row>
    <row r="144" spans="2:14" x14ac:dyDescent="0.25">
      <c r="B144" s="9">
        <v>135</v>
      </c>
      <c r="C144" s="15" t="s">
        <v>32</v>
      </c>
      <c r="D144" s="11"/>
      <c r="E144" s="11"/>
      <c r="F144" s="12" t="s">
        <v>524</v>
      </c>
      <c r="G144" s="12" t="s">
        <v>525</v>
      </c>
      <c r="H144" s="13" t="s">
        <v>526</v>
      </c>
      <c r="I144" s="12"/>
      <c r="J144" s="12"/>
      <c r="K144" s="12"/>
      <c r="L144" s="12"/>
      <c r="M144" s="12"/>
      <c r="N144" s="14" t="s">
        <v>527</v>
      </c>
    </row>
    <row r="145" spans="2:14" x14ac:dyDescent="0.25">
      <c r="B145" s="9">
        <v>136</v>
      </c>
      <c r="C145" s="15" t="s">
        <v>32</v>
      </c>
      <c r="D145" s="11" t="s">
        <v>528</v>
      </c>
      <c r="E145" s="11" t="s">
        <v>378</v>
      </c>
      <c r="F145" s="12" t="s">
        <v>529</v>
      </c>
      <c r="G145" s="12" t="s">
        <v>530</v>
      </c>
      <c r="H145" s="13" t="s">
        <v>531</v>
      </c>
      <c r="I145" s="12"/>
      <c r="J145" s="12"/>
      <c r="K145" s="12"/>
      <c r="L145" s="12"/>
      <c r="M145" s="12"/>
      <c r="N145" s="14" t="s">
        <v>532</v>
      </c>
    </row>
    <row r="146" spans="2:14" x14ac:dyDescent="0.25">
      <c r="B146" s="9">
        <v>137</v>
      </c>
      <c r="C146" s="15" t="s">
        <v>32</v>
      </c>
      <c r="D146" s="11"/>
      <c r="E146" s="11"/>
      <c r="F146" s="12" t="s">
        <v>533</v>
      </c>
      <c r="G146" s="12" t="s">
        <v>534</v>
      </c>
      <c r="H146" s="13" t="s">
        <v>535</v>
      </c>
      <c r="I146" s="12"/>
      <c r="J146" s="12"/>
      <c r="K146" s="12"/>
      <c r="L146" s="12"/>
      <c r="M146" s="12"/>
      <c r="N146" s="14" t="s">
        <v>536</v>
      </c>
    </row>
    <row r="147" spans="2:14" x14ac:dyDescent="0.25">
      <c r="B147" s="9">
        <v>138</v>
      </c>
      <c r="C147" s="15" t="s">
        <v>32</v>
      </c>
      <c r="D147" s="11"/>
      <c r="E147" s="11"/>
      <c r="F147" s="12" t="s">
        <v>537</v>
      </c>
      <c r="G147" s="12" t="s">
        <v>538</v>
      </c>
      <c r="H147" s="13" t="s">
        <v>161</v>
      </c>
      <c r="I147" s="12"/>
      <c r="J147" s="12"/>
      <c r="K147" s="12"/>
      <c r="L147" s="12"/>
      <c r="M147" s="12"/>
      <c r="N147" s="14" t="s">
        <v>539</v>
      </c>
    </row>
    <row r="148" spans="2:14" x14ac:dyDescent="0.25">
      <c r="B148" s="9">
        <v>139</v>
      </c>
      <c r="C148" s="10" t="s">
        <v>22</v>
      </c>
      <c r="D148" s="11"/>
      <c r="E148" s="11" t="s">
        <v>540</v>
      </c>
      <c r="F148" s="12" t="s">
        <v>541</v>
      </c>
      <c r="G148" s="12" t="s">
        <v>542</v>
      </c>
      <c r="H148" s="13" t="s">
        <v>543</v>
      </c>
      <c r="I148" s="12"/>
      <c r="J148" s="12"/>
      <c r="K148" s="12"/>
      <c r="L148" s="12"/>
      <c r="M148" s="12"/>
      <c r="N148" s="14" t="s">
        <v>544</v>
      </c>
    </row>
    <row r="149" spans="2:14" x14ac:dyDescent="0.25">
      <c r="B149" s="9">
        <v>140</v>
      </c>
      <c r="C149" s="10" t="s">
        <v>22</v>
      </c>
      <c r="D149" s="11"/>
      <c r="E149" s="11"/>
      <c r="F149" s="12" t="s">
        <v>545</v>
      </c>
      <c r="G149" s="12" t="s">
        <v>546</v>
      </c>
      <c r="H149" s="13" t="s">
        <v>547</v>
      </c>
      <c r="I149" s="12"/>
      <c r="J149" s="12"/>
      <c r="K149" s="12"/>
      <c r="L149" s="12"/>
      <c r="M149" s="12"/>
      <c r="N149" s="14" t="s">
        <v>548</v>
      </c>
    </row>
    <row r="150" spans="2:14" x14ac:dyDescent="0.25">
      <c r="B150" s="9">
        <v>141</v>
      </c>
      <c r="C150" s="15" t="s">
        <v>32</v>
      </c>
      <c r="D150" s="11"/>
      <c r="E150" s="11" t="s">
        <v>549</v>
      </c>
      <c r="F150" s="12" t="s">
        <v>550</v>
      </c>
      <c r="G150" s="12" t="s">
        <v>551</v>
      </c>
      <c r="H150" s="13" t="s">
        <v>552</v>
      </c>
      <c r="I150" s="12"/>
      <c r="J150" s="12"/>
      <c r="K150" s="12"/>
      <c r="L150" s="12"/>
      <c r="M150" s="12"/>
      <c r="N150" s="14" t="s">
        <v>553</v>
      </c>
    </row>
    <row r="151" spans="2:14" x14ac:dyDescent="0.25">
      <c r="B151" s="9">
        <v>142</v>
      </c>
      <c r="C151" s="15" t="s">
        <v>32</v>
      </c>
      <c r="D151" s="11"/>
      <c r="E151" s="11"/>
      <c r="F151" s="12" t="s">
        <v>554</v>
      </c>
      <c r="G151" s="12" t="s">
        <v>555</v>
      </c>
      <c r="H151" s="13" t="s">
        <v>556</v>
      </c>
      <c r="I151" s="12"/>
      <c r="J151" s="12"/>
      <c r="K151" s="12"/>
      <c r="L151" s="12"/>
      <c r="M151" s="12"/>
      <c r="N151" s="14" t="s">
        <v>557</v>
      </c>
    </row>
    <row r="152" spans="2:14" x14ac:dyDescent="0.25">
      <c r="B152" s="9">
        <v>143</v>
      </c>
      <c r="C152" s="10" t="s">
        <v>22</v>
      </c>
      <c r="D152" s="11"/>
      <c r="E152" s="11" t="s">
        <v>558</v>
      </c>
      <c r="F152" s="12" t="s">
        <v>559</v>
      </c>
      <c r="G152" s="12" t="s">
        <v>560</v>
      </c>
      <c r="H152" s="13" t="s">
        <v>561</v>
      </c>
      <c r="I152" s="12"/>
      <c r="J152" s="12"/>
      <c r="K152" s="12"/>
      <c r="L152" s="12"/>
      <c r="M152" s="12"/>
      <c r="N152" s="14" t="s">
        <v>562</v>
      </c>
    </row>
    <row r="153" spans="2:14" x14ac:dyDescent="0.25">
      <c r="B153" s="9">
        <v>144</v>
      </c>
      <c r="C153" s="15" t="s">
        <v>32</v>
      </c>
      <c r="D153" s="11"/>
      <c r="E153" s="11"/>
      <c r="F153" s="12" t="s">
        <v>563</v>
      </c>
      <c r="G153" s="12" t="s">
        <v>564</v>
      </c>
      <c r="H153" s="13" t="s">
        <v>565</v>
      </c>
      <c r="I153" s="12"/>
      <c r="J153" s="12"/>
      <c r="K153" s="12"/>
      <c r="L153" s="12"/>
      <c r="M153" s="12"/>
      <c r="N153" s="14" t="s">
        <v>566</v>
      </c>
    </row>
    <row r="154" spans="2:14" x14ac:dyDescent="0.25">
      <c r="B154" s="9">
        <v>145</v>
      </c>
      <c r="C154" s="15" t="s">
        <v>32</v>
      </c>
      <c r="D154" s="11"/>
      <c r="E154" s="11"/>
      <c r="F154" s="12" t="s">
        <v>567</v>
      </c>
      <c r="G154" s="12" t="s">
        <v>568</v>
      </c>
      <c r="H154" s="13" t="s">
        <v>569</v>
      </c>
      <c r="I154" s="12"/>
      <c r="J154" s="12"/>
      <c r="K154" s="12"/>
      <c r="L154" s="12"/>
      <c r="M154" s="12"/>
      <c r="N154" s="14" t="s">
        <v>570</v>
      </c>
    </row>
  </sheetData>
  <mergeCells count="83">
    <mergeCell ref="D10:D27"/>
    <mergeCell ref="E10:E12"/>
    <mergeCell ref="F10:F11"/>
    <mergeCell ref="E13:E25"/>
    <mergeCell ref="F13:F14"/>
    <mergeCell ref="F15:F21"/>
    <mergeCell ref="F23:F25"/>
    <mergeCell ref="E26:E27"/>
    <mergeCell ref="D28:D48"/>
    <mergeCell ref="E28:E38"/>
    <mergeCell ref="F29:F33"/>
    <mergeCell ref="F34:F35"/>
    <mergeCell ref="F37:F38"/>
    <mergeCell ref="E39:E45"/>
    <mergeCell ref="F41:F43"/>
    <mergeCell ref="F44:F45"/>
    <mergeCell ref="E46:E48"/>
    <mergeCell ref="F47:F48"/>
    <mergeCell ref="D49:D51"/>
    <mergeCell ref="E49:E51"/>
    <mergeCell ref="F49:F50"/>
    <mergeCell ref="D53:D63"/>
    <mergeCell ref="E53:E56"/>
    <mergeCell ref="F53:F54"/>
    <mergeCell ref="F55:F56"/>
    <mergeCell ref="E59:E63"/>
    <mergeCell ref="F59:F61"/>
    <mergeCell ref="F62:F63"/>
    <mergeCell ref="D64:D75"/>
    <mergeCell ref="E64:E67"/>
    <mergeCell ref="F64:F65"/>
    <mergeCell ref="F66:F67"/>
    <mergeCell ref="E68:E69"/>
    <mergeCell ref="F68:F69"/>
    <mergeCell ref="E70:E75"/>
    <mergeCell ref="F72:F75"/>
    <mergeCell ref="D76:D78"/>
    <mergeCell ref="E76:E78"/>
    <mergeCell ref="F76:F77"/>
    <mergeCell ref="D79:D85"/>
    <mergeCell ref="E79:E84"/>
    <mergeCell ref="F79:F80"/>
    <mergeCell ref="F81:F82"/>
    <mergeCell ref="F83:F84"/>
    <mergeCell ref="D86:D92"/>
    <mergeCell ref="E87:E89"/>
    <mergeCell ref="E90:E91"/>
    <mergeCell ref="D93:D120"/>
    <mergeCell ref="E93:E94"/>
    <mergeCell ref="E95:E102"/>
    <mergeCell ref="F95:F96"/>
    <mergeCell ref="F97:F98"/>
    <mergeCell ref="F99:F100"/>
    <mergeCell ref="F101:F102"/>
    <mergeCell ref="E103:E106"/>
    <mergeCell ref="F103:F105"/>
    <mergeCell ref="E107:E115"/>
    <mergeCell ref="F107:F108"/>
    <mergeCell ref="F109:F110"/>
    <mergeCell ref="F111:F112"/>
    <mergeCell ref="F113:F114"/>
    <mergeCell ref="E116:E120"/>
    <mergeCell ref="F117:F119"/>
    <mergeCell ref="D121:D133"/>
    <mergeCell ref="E121:E124"/>
    <mergeCell ref="F122:F123"/>
    <mergeCell ref="E125:E131"/>
    <mergeCell ref="F125:F126"/>
    <mergeCell ref="F128:F129"/>
    <mergeCell ref="F130:F131"/>
    <mergeCell ref="E132:E133"/>
    <mergeCell ref="F132:F133"/>
    <mergeCell ref="D134:D144"/>
    <mergeCell ref="E134:E139"/>
    <mergeCell ref="F136:F137"/>
    <mergeCell ref="F138:F139"/>
    <mergeCell ref="E141:E144"/>
    <mergeCell ref="F141:F143"/>
    <mergeCell ref="D145:D154"/>
    <mergeCell ref="E145:E147"/>
    <mergeCell ref="E148:E149"/>
    <mergeCell ref="E150:E151"/>
    <mergeCell ref="E152:E154"/>
  </mergeCells>
  <dataValidations count="1">
    <dataValidation type="list" allowBlank="1" showErrorMessage="1" errorTitle="잘못된 값" error="Pass, Fail, N/T, Block 중 하나를 선택하세요." sqref="I10:J154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맵메이커 개선 추가 TC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2026-05-19T05:20:02Z</dcterms:created>
  <dcterms:modified xsi:type="dcterms:W3CDTF">2026-05-19T05:20:02Z</dcterms:modified>
</cp:coreProperties>
</file>