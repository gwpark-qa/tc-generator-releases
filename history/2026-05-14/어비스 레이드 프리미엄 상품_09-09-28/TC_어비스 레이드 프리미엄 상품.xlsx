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어비스 레이드 프리미엄 상품" state="visible" r:id="rId4"/>
  </sheets>
  <calcPr calcId="171027"/>
</workbook>
</file>

<file path=xl/sharedStrings.xml><?xml version="1.0" encoding="utf-8"?>
<sst xmlns="http://schemas.openxmlformats.org/spreadsheetml/2006/main" count="357" uniqueCount="266">
  <si>
    <t>(C)어비스 레이드 프리미엄 상품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</si>
  <si>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</si>
  <si>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</si>
  <si>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</si>
  <si>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</si>
  <si>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</si>
  <si>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</si>
  <si>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</si>
  <si>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</si>
  <si>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</si>
  <si>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</si>
  <si>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</si>
  <si>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</si>
  <si>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</si>
  <si>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</si>
  <si>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</si>
  <si>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</si>
  <si>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</si>
  <si>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</si>
  <si>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</si>
  <si>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</si>
  <si>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</si>
  <si>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</si>
  <si>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어비스 퀘스트</t>
  </si>
  <si>
    <t>퀘스트 화면</t>
  </si>
  <si>
    <t>시즌 정보</t>
  </si>
  <si>
    <t>타이머 표시</t>
  </si>
  <si>
    <t>어비스 퀘스트 화면 상단에 시즌 종료까지 남은 시간이 'N일 N시간' 형식으로 표시된다.</t>
  </si>
  <si>
    <t>흐름 3단계 - 어비스 퀘스트 화면</t>
  </si>
  <si>
    <t>타이머 갱신</t>
  </si>
  <si>
    <t>시즌 종료 타이머가 실시간으로 카운트다운되어 남은 시간이 갱신된다.</t>
  </si>
  <si>
    <t>흐름 3단계 - 시즌 종료 타이머</t>
  </si>
  <si>
    <t>정보 버튼</t>
  </si>
  <si>
    <t>정보 팝업 출력</t>
  </si>
  <si>
    <t>어비스 퀘스트 타이틀 옆 정보(ⓘ) 버튼 터치 시, 어비스 퀘스트 관련 안내 정보 팝업이 출력된다.</t>
  </si>
  <si>
    <t>흐름 3단계 - 정보(ⓘ) 버튼</t>
  </si>
  <si>
    <t>Normal</t>
  </si>
  <si>
    <t>정보 팝업 닫기</t>
  </si>
  <si>
    <t>정보 팝업의 닫기(X) 버튼 터치 시, 팝업이 닫히고 어비스 퀘스트 화면으로 복귀된다.</t>
  </si>
  <si>
    <t>누적 포인트</t>
  </si>
  <si>
    <t>포인트 표시</t>
  </si>
  <si>
    <t>어비스 퀘스트 화면 상단에 현재 누적 포인트가 표시된다.</t>
  </si>
  <si>
    <t>흐름 3단계 - 누적 포인트 보상 트랙</t>
  </si>
  <si>
    <t>포인트 갱신</t>
  </si>
  <si>
    <t>퀘스트 완료 시 획득한 EXP가 누적 포인트에 합산되어 갱신된다.</t>
  </si>
  <si>
    <t>흐름 3단계 - 누적 포인트</t>
  </si>
  <si>
    <t>마일스톤 보상 영역</t>
  </si>
  <si>
    <t>무료 보상 표시</t>
  </si>
  <si>
    <t>누적 포인트 보상 트랙에 각 마일스톤 구간별 무료 보상 아이콘이 표시된다.</t>
  </si>
  <si>
    <t>프리미엄 보상 표시</t>
  </si>
  <si>
    <t>무료 보상 행 하단에 프리미엄 보상 행이 별도로 표시된다.</t>
  </si>
  <si>
    <t>흐름 3단계 - 프리미엄 보상 행</t>
  </si>
  <si>
    <t>구간 분리 표시</t>
  </si>
  <si>
    <t>마일스톤 보상 트랙에서 무료 보상만 있는 구간과 무료+유료 보상이 함께 있는 구간이 분리되어 표시된다.</t>
  </si>
  <si>
    <t>규칙 - 보상 획득 구간 분리</t>
  </si>
  <si>
    <t>마일스톤 구간 도달</t>
  </si>
  <si>
    <t>누적 포인트가 마일스톤 구간에 도달 시, 해당 구간의 무료 보상 아이콘이 수령 가능 상태로 활성화된다.</t>
  </si>
  <si>
    <t>Critical</t>
  </si>
  <si>
    <t>무료 보상 수령</t>
  </si>
  <si>
    <t>마일스톤 구간 도달 후 무료 보상 아이콘 터치 시, 해당 보상이 지급된다.</t>
  </si>
  <si>
    <t>흐름 3단계 - 보상 수령</t>
  </si>
  <si>
    <t>보상 수령 완료 표시</t>
  </si>
  <si>
    <t>무료 보상 수령 완료 시, 해당 마일스톤 보상 아이콘이 수령 완료 상태로 변경된다.</t>
  </si>
  <si>
    <t>흐름 3단계 - 보상 수령 완료</t>
  </si>
  <si>
    <t>미도달 구간 표시</t>
  </si>
  <si>
    <t>누적 포인트가 도달하지 않은 마일스톤 구간의 보상 아이콘은 비활성 상태로 표시된다.</t>
  </si>
  <si>
    <t>보상 트랙 스크롤</t>
  </si>
  <si>
    <t>마일스톤 보상 트랙이 가로 스크롤되어 모든 구간의 보상을 확인할 수 있다.</t>
  </si>
  <si>
    <t>흐름 3단계 - 보상 트랙 가로 스크롤</t>
  </si>
  <si>
    <t>퀘스트 카테고리 탭</t>
  </si>
  <si>
    <t>탭 목록 표시</t>
  </si>
  <si>
    <t>퀘스트 화면 좌측에 어비스 던전, 어비스 레이드, 잊혀진 기억의 제단, 시즈나이트 카테고리 탭이 표시된다.</t>
  </si>
  <si>
    <t>흐름 3단계 - 퀘스트 카테고리 탭</t>
  </si>
  <si>
    <t>탭 전환</t>
  </si>
  <si>
    <t>각 카테고리 탭 터치 시, 해당 카테고리에 속하는 미션 목록으로 갱신된다.</t>
  </si>
  <si>
    <t>흐름 3단계 - 퀘스트 카테고리 탭 전환</t>
  </si>
  <si>
    <t>선택 상태 표시</t>
  </si>
  <si>
    <t>현재 선택된 카테고리 탭이 활성 상태로 시각적으로 구분되어 표시된다.</t>
  </si>
  <si>
    <t>미션 목록</t>
  </si>
  <si>
    <t>미션 정보 표시</t>
  </si>
  <si>
    <t>각 미션 항목에 미션 조건 텍스트, 진행도, 보상 아이콘 및 수량이 표시된다.</t>
  </si>
  <si>
    <t>흐름 3단계 - 퀘스트 목록</t>
  </si>
  <si>
    <t>진행도 표시</t>
  </si>
  <si>
    <t>각 미션 항목에 현재 진행 수치와 목표 수치가 프로그레스 바 형태로 표시된다.</t>
  </si>
  <si>
    <t>흐름 3단계 - 진행 프로그레스 바</t>
  </si>
  <si>
    <t>진행도 갱신</t>
  </si>
  <si>
    <t>미션 조건 수행 시, 해당 미션의 진행도가 실시간으로 갱신된다.</t>
  </si>
  <si>
    <t>흐름 3단계 - 퀘스트 진행도</t>
  </si>
  <si>
    <t>보상 표시</t>
  </si>
  <si>
    <t>각 미션 항목에 완료 시 획득할 수 있는 보상 아이콘과 수량이 표시된다.</t>
  </si>
  <si>
    <t>흐름 3단계 - 보상 EXP 아이콘</t>
  </si>
  <si>
    <t>바로가기 버튼</t>
  </si>
  <si>
    <t>각 미션 항목의 바로가기 버튼 터치 시, 해당 콘텐츠 화면으로 이동된다.</t>
  </si>
  <si>
    <t>흐름 3단계 - 바로가기 버튼</t>
  </si>
  <si>
    <t>미션 완료 처리</t>
  </si>
  <si>
    <t>미션 조건 달성 시, 해당 미션의 보상 수령 버튼이 활성화된다.</t>
  </si>
  <si>
    <t>흐름 3단계 - 미션 완료</t>
  </si>
  <si>
    <t>미완료 미션 표시</t>
  </si>
  <si>
    <t>미션 조건 미달성 시, 보상 수령 버튼이 비활성(딤드) 상태로 표시된다.</t>
  </si>
  <si>
    <t>조건 분기 - 미션 조건 미달성</t>
  </si>
  <si>
    <t>뒤로가기</t>
  </si>
  <si>
    <t>어비스 퀘스트 화면에서 뒤로가기(←) 버튼 터치 시, 이전 화면으로 이동된다.</t>
  </si>
  <si>
    <t>흐름 3단계 - 상단 헤더</t>
  </si>
  <si>
    <t>프리미엄 패스 미구매 상태</t>
  </si>
  <si>
    <t>잠금 보상 영역</t>
  </si>
  <si>
    <t>잠금 아이콘 표시</t>
  </si>
  <si>
    <t>프리미엄 패스 미구매 상태에서 마일스톤 보상 트랙의 프리미엄 보상 아이콘에 잠금 아이콘이 표시된다.</t>
  </si>
  <si>
    <t>조건 분기 - 프리미엄 미구매 상태</t>
  </si>
  <si>
    <t>프리미엄 보상 수령 불가</t>
  </si>
  <si>
    <t>프리미엄 패스 미구매 상태에서 마일스톤 구간에 도달하더라도 프리미엄 보상을 수령할 수 없다.</t>
  </si>
  <si>
    <t>잠금 보상 터치 시 상점 이동</t>
  </si>
  <si>
    <t>프리미엄 패스 미구매 상태에서 잠금된 프리미엄 보상 아이콘 터치 시, 상점의 프리미엄 상품 구매 팝업으로 이동된다.</t>
  </si>
  <si>
    <t>화면 1 - 프리미엄 보상 구매 버튼</t>
  </si>
  <si>
    <t>프리미엄 구매 배너</t>
  </si>
  <si>
    <t>배너 표시</t>
  </si>
  <si>
    <t>프리미엄 패스 미구매 상태에서 어비스 퀘스트 화면 하단에 프리미엄 패스 구매 유도 배너가 표시된다.</t>
  </si>
  <si>
    <t>화면 1 - 프리미엄 보상 구매 배너</t>
  </si>
  <si>
    <t>배너 터치 시 상점 이동</t>
  </si>
  <si>
    <t>프리미엄 패스 구매 유도 배너 터치 시, 상점의 프리미엄 상품 구매 화면으로 이동된다.</t>
  </si>
  <si>
    <t>화면 1 - 프리미엄 보상 구매 배너 터치</t>
  </si>
  <si>
    <t>프리미엄 구매 유도 팝업</t>
  </si>
  <si>
    <t>팝업 출력</t>
  </si>
  <si>
    <t>프리미엄 패스 미구매 상태에서 어비스 퀘스트 화면 진입 시, '프리미엄 어비스 퀘스트' 구매 유도 팝업이 출력된다.</t>
  </si>
  <si>
    <t>흐름 3-4 사이 - 프리미엄 구매 유도 팝업</t>
  </si>
  <si>
    <t>프리미엄 보상 보기 버튼</t>
  </si>
  <si>
    <t>프리미엄 구매 유도 팝업에서 '프리미엄 보상 보기' 버튼 터치 시, 프리미엄 보상 목록이 표시된다.</t>
  </si>
  <si>
    <t>흐름 3-4 사이 - 프리미엄 보상 보기 버튼</t>
  </si>
  <si>
    <t>팝업 닫기</t>
  </si>
  <si>
    <t>프리미엄 구매 유도 팝업에서 닫기(X) 버튼 터치 시, 팝업이 닫히고 어비스 퀘스트 화면으로 복귀된다.</t>
  </si>
  <si>
    <t>흐름 3-4 사이 - 프리미엄 구매 유도 팝업 닫기</t>
  </si>
  <si>
    <t>구매 완료 후 미노출</t>
  </si>
  <si>
    <t>프리미엄 패스 구매 완료 후 어비스 퀘스트 화면 재진입 시, 프리미엄 구매 유도 팝업이 출력되지 않는다.</t>
  </si>
  <si>
    <t>흐름 3-4 사이 - 구매 후 팝업 미노출</t>
  </si>
  <si>
    <t>프리미엄 패스 구매 완료 상태</t>
  </si>
  <si>
    <t>UI 변경</t>
  </si>
  <si>
    <t>구매 완료 뱃지 표시</t>
  </si>
  <si>
    <t>프리미엄 패스 구매 완료 시, 어비스 퀘스트 화면 좌측 하단에 '프리미엄 상품 구매 완료' 뱃지가 표시된다.</t>
  </si>
  <si>
    <t>흐름 5단계 - 구매 후 어비스 퀘스트 화면 변화</t>
  </si>
  <si>
    <t>잠금 해제</t>
  </si>
  <si>
    <t>프리미엄 패스 구매 완료 시, 마일스톤 보상 트랙의 프리미엄 보상 행이 잠금 해제되어 활성화 상태로 변경된다.</t>
  </si>
  <si>
    <t>흐름 5단계 - 프리미엄 보상 행 잠금 해제</t>
  </si>
  <si>
    <t>구매 배너 제거</t>
  </si>
  <si>
    <t>프리미엄 패스 구매 완료 시, 어비스 퀘스트 화면 하단의 프리미엄 패스 구매 유도 배너가 제거된다.</t>
  </si>
  <si>
    <t>화면 1 - 구매 후 배너 비표시</t>
  </si>
  <si>
    <t>프리미엄 보상 수령</t>
  </si>
  <si>
    <t>보상 획득</t>
  </si>
  <si>
    <t>프리미엄 패스 구매 완료 상태에서 마일스톤 구간 도달 시, 프리미엄 보상 아이콘 터치 시 해당 보상이 지급된다.</t>
  </si>
  <si>
    <t>흐름 5단계 - 프리미엄 보상 수령</t>
  </si>
  <si>
    <t>소급 보상 수령</t>
  </si>
  <si>
    <t>프리미엄 패스 구매 시점에 이미 달성한 마일스톤 구간의 프리미엄 보상도 소급하여 수령할 수 있다.</t>
  </si>
  <si>
    <t>기획서 추가 안내 - 소급 보상 수령</t>
  </si>
  <si>
    <t>프리미엄 보상 수령 완료 시, 해당 마일스톤의 프리미엄 보상 아이콘이 수령 완료 상태로 변경된다.</t>
  </si>
  <si>
    <t>흐름 5단계 - 보상 수령 완료</t>
  </si>
  <si>
    <t>미도달 구간 비활성</t>
  </si>
  <si>
    <t>프리미엄 패스 구매 완료 상태에서 누적 포인트가 도달하지 않은 구간의 프리미엄 보상은 수령할 수 없으며 비활성 상태로 표시된다.</t>
  </si>
  <si>
    <t>흐름 5단계 - 미도달 구간</t>
  </si>
  <si>
    <t>무료 보상 독립 수령</t>
  </si>
  <si>
    <t>프리미엄 패스 구매 완료 상태에서 무료 보상과 프리미엄 보상이 각각 독립적으로 수령된다.</t>
  </si>
  <si>
    <t>보상 수령 연출</t>
  </si>
  <si>
    <t>프리미엄 보상 수령 시, 보상 획득 연출이 재생된다.</t>
  </si>
  <si>
    <t>흐름 5단계 - 보상 수령</t>
  </si>
  <si>
    <t>무료 보상만 있는 구간</t>
  </si>
  <si>
    <t>무료 보상만 존재하는 마일스톤 구간에서는 프리미엄 보상 아이콘이 표시되지 않는다.</t>
  </si>
  <si>
    <t>규칙 - 보상 획득 구간 분리 (EX 1레벨)</t>
  </si>
  <si>
    <t>시즌 종료</t>
  </si>
  <si>
    <t>미획득 보상 처리</t>
  </si>
  <si>
    <t>메일 발송</t>
  </si>
  <si>
    <t>프리미엄 패스 구매 후 시즌이 종료될 시, 미획득한 프리미엄 보상이 메일로 발송된다.</t>
  </si>
  <si>
    <t>규칙 - 유료 상품 구매 후 시즌 종료 시 메일 제공</t>
  </si>
  <si>
    <t>메일 보상 내용 일치</t>
  </si>
  <si>
    <t>시즌 종료 시 메일로 발송된 보상의 종류와 수량이 미획득한 프리미엄 보상 내역과 일치한다.</t>
  </si>
  <si>
    <t>규칙 - 미획득 보상 메일 제공</t>
  </si>
  <si>
    <t>무료 보상 미발송</t>
  </si>
  <si>
    <t>시즌 종료 시 미획득한 무료 보상은 메일로 발송되지 않는다.</t>
  </si>
  <si>
    <t>규칙 - 유료 보상만 메일 제공</t>
  </si>
  <si>
    <t>미구매 시 미발송</t>
  </si>
  <si>
    <t>프리미엄 패스를 구매하지 않은 상태에서 시즌이 종료될 시, 프리미엄 보상 관련 메일이 발송되지 않는다.</t>
  </si>
  <si>
    <t>규칙 - 유료 상품 구매 조건</t>
  </si>
  <si>
    <t>시즌 리셋</t>
  </si>
  <si>
    <t>퀘스트 초기화</t>
  </si>
  <si>
    <t>시즌 종료 시 어비스 퀘스트의 진행도 및 누적 포인트가 초기화된다.</t>
  </si>
  <si>
    <t>조건 분기 - 시즌 종료</t>
  </si>
  <si>
    <t>상점</t>
  </si>
  <si>
    <t>프리미엄 상품 표시</t>
  </si>
  <si>
    <t>상품 노출 조건</t>
  </si>
  <si>
    <t>시즌 활성화 시 표시</t>
  </si>
  <si>
    <t>어비스 퀘스트 시즌이 활성화된 상태에서 상점 진입 시, 프리미엄 어비스 퀘스트 상품이 표시된다.</t>
  </si>
  <si>
    <t>흐름 4단계 - 판매 조건</t>
  </si>
  <si>
    <t>시즌 비활성화 시 미표시</t>
  </si>
  <si>
    <t>어비스 퀘스트 시즌이 종료된 상태에서 상점 진입 시, 프리미엄 어비스 퀘스트 상품이 표시되지 않는다.</t>
  </si>
  <si>
    <t>흐름 4단계 - 시즌 끝나면 상점에서 사라짐</t>
  </si>
  <si>
    <t>자동 배치</t>
  </si>
  <si>
    <t>어비스 퀘스트 시즌이 시작될 시, 상점에 프리미엄 어비스 퀘스트 상품이 자동으로 배치된다.</t>
  </si>
  <si>
    <t>흐름 4단계 - 어비스가 열릴 때 자동 배치</t>
  </si>
  <si>
    <t>구매 완료 시 상태 변경</t>
  </si>
  <si>
    <t>프리미엄 상품 구매 완료 시, 상점 내 해당 상품의 가격 영역이 '구매 완료'로 변경되고 버튼이 비활성화된다.</t>
  </si>
  <si>
    <t>흐름 4단계 - 구매 완료 상태</t>
  </si>
  <si>
    <t>시즌당 1회 구매 제한</t>
  </si>
  <si>
    <t>프리미엄 어비스 퀘스트 상품은 시즌당 1회만 구매 가능하며, 구매 완료 후 재구매가 불가하다.</t>
  </si>
  <si>
    <t>흐름 4단계 - 시즌 당 1회 구매 가능</t>
  </si>
  <si>
    <t>상품 정보 표시</t>
  </si>
  <si>
    <t>상품명 표시</t>
  </si>
  <si>
    <t>상점 내 프리미엄 상품 카드에 '프리미엄 어비스 퀘스트' 상품명이 표시된다.</t>
  </si>
  <si>
    <t>흐름 4단계 - 상품 카드</t>
  </si>
  <si>
    <t>가격 표시</t>
  </si>
  <si>
    <t>상점 내 프리미엄 상품 카드에 상품 가격이 표시된다.</t>
  </si>
  <si>
    <t>흐름 4단계 - 상품 카드 가격</t>
  </si>
  <si>
    <t>배너 이미지 표시</t>
  </si>
  <si>
    <t>상점 내 프리미엄 상품 카드에 캐릭터 일러스트 배너 이미지가 표시된다.</t>
  </si>
  <si>
    <t>흐름 4단계 - 상품 카드 배너</t>
  </si>
  <si>
    <t>남은 시간 표시</t>
  </si>
  <si>
    <t>상점 내 프리미엄 상품 카드에 시즌 종료까지 남은 시간이 표시된다.</t>
  </si>
  <si>
    <t>흐름 4단계 - 남은 시간 표시</t>
  </si>
  <si>
    <t>상점 카테고리 배치</t>
  </si>
  <si>
    <t>상점 내 프리미엄 어비스 퀘스트 상품이 해당 카테고리(타이머 패스 탭 등)에 배치되어 표시된다.</t>
  </si>
  <si>
    <t>흐름 4단계 - 상점 화면 탭</t>
  </si>
  <si>
    <t>상품 구매 팝업</t>
  </si>
  <si>
    <t>팝업 UI</t>
  </si>
  <si>
    <t>상점에서 프리미엄 어비스 퀘스트 상품 터치 시, 구매 확인 팝업이 출력된다.</t>
  </si>
  <si>
    <t>흐름 4단계 - 구매 확인 팝업</t>
  </si>
  <si>
    <t>구매 확인 팝업에 상품명이 표시된다.</t>
  </si>
  <si>
    <t>흐름 4단계 - 구매 확인 팝업 상품명</t>
  </si>
  <si>
    <t>보상 아이템 목록 표시</t>
  </si>
  <si>
    <t>구매 확인 팝업에 구매 시 제공되는 보상 아이템 목록(아이콘 및 수량)이 표시된다.</t>
  </si>
  <si>
    <t>흐름 4단계 - 보상 내용 표시</t>
  </si>
  <si>
    <t>잔여 시간 표시</t>
  </si>
  <si>
    <t>구매 확인 팝업에 시즌 종료까지 잔여 시간이 표시된다.</t>
  </si>
  <si>
    <t>흐름 4단계 - 잔여 시간 0일 0시간</t>
  </si>
  <si>
    <t>가격 버튼 표시</t>
  </si>
  <si>
    <t>구매 확인 팝업에 상품 가격이 표시된 구매 버튼이 출력된다.</t>
  </si>
  <si>
    <t>흐름 4단계 - 가격 표시</t>
  </si>
  <si>
    <t>약관 텍스트 표시</t>
  </si>
  <si>
    <t>구매 확인 팝업 하단에 법적 고지 및 이용 약관 텍스트가 표시된다.</t>
  </si>
  <si>
    <t>흐름 4단계 - 하단 법적 고지</t>
  </si>
  <si>
    <t>구매 처리</t>
  </si>
  <si>
    <t>구매 성공</t>
  </si>
  <si>
    <t>구매 확인 팝업에서 가격 버튼 터치 시, 결제가 진행되고 구매가 완료된다.</t>
  </si>
  <si>
    <t>흐름 4단계 - 구매 처리</t>
  </si>
  <si>
    <t>구매 후 프리미엄 해금</t>
  </si>
  <si>
    <t>구매 완료 시, 어비스 퀘스트의 프리미엄 보상이 해금된다.</t>
  </si>
  <si>
    <t>흐름 4단계 - 구매 완료 조건</t>
  </si>
  <si>
    <t>구매 완료 상태 변경</t>
  </si>
  <si>
    <t>구매 완료 후 상점 화면 복귀 시, 해당 상품의 가격 영역이 '구매 완료'로 변경되어 표시된다.</t>
  </si>
  <si>
    <t>중복 구매 방지</t>
  </si>
  <si>
    <t>구매 완료 후 동일 시즌 내에서 해당 상품의 구매 버튼이 비활성화되어 재구매가 불가하다.</t>
  </si>
  <si>
    <t>흐름 4단계 - 시즌당 1회 구매</t>
  </si>
  <si>
    <t>닫기 동작</t>
  </si>
  <si>
    <t>구매 확인 팝업에서 닫기 또는 취소 동작 시, 팝업이 닫히고 상점 화면으로 복귀된다.</t>
  </si>
  <si>
    <t>흐름 4단계 - 팝업 닫기</t>
  </si>
  <si>
    <t>구매 완료 연출</t>
  </si>
  <si>
    <t>프리미엄 보상 오픈 팝업</t>
  </si>
  <si>
    <t>연출 출력</t>
  </si>
  <si>
    <t>프리미엄 상품 구매 완료 직후, '어비스 퀘스트 프리미엄 보상 오픈' 전체 화면 연출이 재생된다.</t>
  </si>
  <si>
    <t>흐름 5단계 - 프리미엄 보상 오픈 연출</t>
  </si>
  <si>
    <t>캐릭터 일러스트 표시</t>
  </si>
  <si>
    <t>프리미엄 보상 오픈 연출 화면에 프리미엄 테마 캐릭터 일러스트가 표시된다.</t>
  </si>
  <si>
    <t>흐름 5단계 - 캐릭터 일러스트 배경</t>
  </si>
  <si>
    <t>연출 후 화면 복귀</t>
  </si>
  <si>
    <t>프리미엄 보상 오픈 연출 종료 후, 프리미엄 보상 트랙이 활성화된 어비스 퀘스트 화면으로 복귀된다.</t>
  </si>
  <si>
    <t>흐름 5단계 - 연출 후 퀘스트 화면 복귀</t>
  </si>
  <si>
    <t>터치하여 계속하기</t>
  </si>
  <si>
    <t>프리미엄 보상 오픈 연출 화면에서 화면 터치 시, 연출이 종료되고 다음 화면으로 진행된다.</t>
  </si>
  <si>
    <t>화면 3 - 터치하여 계속하기</t>
  </si>
  <si>
    <t>연출 후 소급 보상 확인</t>
  </si>
  <si>
    <t>프리미엄 보상 오픈 연출 후 어비스 퀘스트 화면 복귀 시, 이미 달성한 마일스톤 구간의 프리미엄 보상이 수령 가능 상태로 표시된다.</t>
  </si>
  <si>
    <t>기획서 추가 안내 - 소급 보상 수령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</si>
</sst>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COUNTIF(I10:I84,"Pass")</f>
      </c>
      <c r="K3" t="s">
        <v>4</v>
      </c>
      <c r="L3">
        <f>COUNTIF(I10:I84,"")</f>
      </c>
      <c r="M3" s="3" t="s">
        <v>3</v>
      </c>
      <c r="N3">
        <f>COUNTIF(J10:J84,"Pass")</f>
      </c>
    </row>
    <row r="4" spans="9:14" x14ac:dyDescent="0.25">
      <c r="I4" s="4" t="s">
        <v>5</v>
      </c>
      <c r="J4">
        <f>COUNTIF(I10:I84,"N/T")</f>
      </c>
      <c r="K4" t="s">
        <v>6</v>
      </c>
      <c r="L4">
        <f>COUNTA(I10:I84)-COUNTIF(I10:I84,"")</f>
      </c>
      <c r="M4" s="4" t="s">
        <v>5</v>
      </c>
      <c r="N4">
        <f>COUNTIF(J10:J84,"N/T")</f>
      </c>
    </row>
    <row r="5" spans="9:14" x14ac:dyDescent="0.25">
      <c r="I5" s="5" t="s">
        <v>7</v>
      </c>
      <c r="J5">
        <f>COUNTIF(I10:I84,"Fail")</f>
      </c>
      <c r="K5" t="s">
        <v>8</v>
      </c>
      <c r="L5">
        <v>75</v>
      </c>
      <c r="M5" s="5" t="s">
        <v>7</v>
      </c>
      <c r="N5">
        <f>COUNTIF(J10:J84,"Fail")</f>
      </c>
    </row>
    <row r="6" spans="9:14" x14ac:dyDescent="0.25">
      <c r="I6" s="6" t="s">
        <v>9</v>
      </c>
      <c r="J6">
        <f>COUNTIF(I10:I84,"Block")</f>
      </c>
      <c r="K6" t="s">
        <v>10</v>
      </c>
      <c r="L6" s="7">
        <f>IF(L5=0,0,L4/L5)</f>
      </c>
      <c r="M6" s="6" t="s">
        <v>9</v>
      </c>
      <c r="N6">
        <f>COUNTIF(J10:J84,"Block")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31</v>
      </c>
    </row>
    <row r="12" spans="2:14" x14ac:dyDescent="0.25">
      <c r="B12" s="9">
        <v>3</v>
      </c>
      <c r="C12" s="10" t="s">
        <v>22</v>
      </c>
      <c r="D12" s="11"/>
      <c r="E12" s="11"/>
      <c r="F12" s="11" t="s">
        <v>32</v>
      </c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35</v>
      </c>
    </row>
    <row r="13" spans="2:14" x14ac:dyDescent="0.25">
      <c r="B13" s="9">
        <v>4</v>
      </c>
      <c r="C13" s="15" t="s">
        <v>36</v>
      </c>
      <c r="D13" s="11"/>
      <c r="E13" s="11"/>
      <c r="F13" s="11"/>
      <c r="G13" s="12" t="s">
        <v>37</v>
      </c>
      <c r="H13" s="13" t="s">
        <v>38</v>
      </c>
      <c r="I13" s="12"/>
      <c r="J13" s="12"/>
      <c r="K13" s="12"/>
      <c r="L13" s="12"/>
      <c r="M13" s="12"/>
      <c r="N13" s="14" t="s">
        <v>35</v>
      </c>
    </row>
    <row r="14" spans="2:14" x14ac:dyDescent="0.25">
      <c r="B14" s="9">
        <v>5</v>
      </c>
      <c r="C14" s="10" t="s">
        <v>22</v>
      </c>
      <c r="D14" s="11"/>
      <c r="E14" s="11"/>
      <c r="F14" s="11" t="s">
        <v>39</v>
      </c>
      <c r="G14" s="12" t="s">
        <v>40</v>
      </c>
      <c r="H14" s="13" t="s">
        <v>41</v>
      </c>
      <c r="I14" s="12"/>
      <c r="J14" s="12"/>
      <c r="K14" s="12"/>
      <c r="L14" s="12"/>
      <c r="M14" s="12"/>
      <c r="N14" s="14" t="s">
        <v>42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43</v>
      </c>
      <c r="H15" s="13" t="s">
        <v>44</v>
      </c>
      <c r="I15" s="12"/>
      <c r="J15" s="12"/>
      <c r="K15" s="12"/>
      <c r="L15" s="12"/>
      <c r="M15" s="12"/>
      <c r="N15" s="14" t="s">
        <v>45</v>
      </c>
    </row>
    <row r="16" spans="2:14" x14ac:dyDescent="0.25">
      <c r="B16" s="9">
        <v>7</v>
      </c>
      <c r="C16" s="10" t="s">
        <v>22</v>
      </c>
      <c r="D16" s="11"/>
      <c r="E16" s="11"/>
      <c r="F16" s="11" t="s">
        <v>46</v>
      </c>
      <c r="G16" s="12" t="s">
        <v>47</v>
      </c>
      <c r="H16" s="13" t="s">
        <v>48</v>
      </c>
      <c r="I16" s="12"/>
      <c r="J16" s="12"/>
      <c r="K16" s="12"/>
      <c r="L16" s="12"/>
      <c r="M16" s="12"/>
      <c r="N16" s="14" t="s">
        <v>42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49</v>
      </c>
      <c r="H17" s="13" t="s">
        <v>50</v>
      </c>
      <c r="I17" s="12"/>
      <c r="J17" s="12"/>
      <c r="K17" s="12"/>
      <c r="L17" s="12"/>
      <c r="M17" s="12"/>
      <c r="N17" s="14" t="s">
        <v>51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52</v>
      </c>
      <c r="H18" s="13" t="s">
        <v>53</v>
      </c>
      <c r="I18" s="12"/>
      <c r="J18" s="12"/>
      <c r="K18" s="12"/>
      <c r="L18" s="12"/>
      <c r="M18" s="12"/>
      <c r="N18" s="14" t="s">
        <v>54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55</v>
      </c>
      <c r="H19" s="13" t="s">
        <v>56</v>
      </c>
      <c r="I19" s="12"/>
      <c r="J19" s="12"/>
      <c r="K19" s="12"/>
      <c r="L19" s="12"/>
      <c r="M19" s="12"/>
      <c r="N19" s="14" t="s">
        <v>42</v>
      </c>
    </row>
    <row r="20" spans="2:14" x14ac:dyDescent="0.25">
      <c r="B20" s="9">
        <v>11</v>
      </c>
      <c r="C20" s="16" t="s">
        <v>57</v>
      </c>
      <c r="D20" s="11"/>
      <c r="E20" s="11"/>
      <c r="F20" s="11"/>
      <c r="G20" s="12" t="s">
        <v>58</v>
      </c>
      <c r="H20" s="13" t="s">
        <v>59</v>
      </c>
      <c r="I20" s="12"/>
      <c r="J20" s="12"/>
      <c r="K20" s="12"/>
      <c r="L20" s="12"/>
      <c r="M20" s="12"/>
      <c r="N20" s="14" t="s">
        <v>60</v>
      </c>
    </row>
    <row r="21" spans="2:14" x14ac:dyDescent="0.25">
      <c r="B21" s="9">
        <v>12</v>
      </c>
      <c r="C21" s="15" t="s">
        <v>36</v>
      </c>
      <c r="D21" s="11"/>
      <c r="E21" s="11"/>
      <c r="F21" s="11"/>
      <c r="G21" s="12" t="s">
        <v>61</v>
      </c>
      <c r="H21" s="13" t="s">
        <v>62</v>
      </c>
      <c r="I21" s="12"/>
      <c r="J21" s="12"/>
      <c r="K21" s="12"/>
      <c r="L21" s="12"/>
      <c r="M21" s="12"/>
      <c r="N21" s="14" t="s">
        <v>63</v>
      </c>
    </row>
    <row r="22" spans="2:14" x14ac:dyDescent="0.25">
      <c r="B22" s="9">
        <v>13</v>
      </c>
      <c r="C22" s="15" t="s">
        <v>36</v>
      </c>
      <c r="D22" s="11"/>
      <c r="E22" s="11"/>
      <c r="F22" s="11"/>
      <c r="G22" s="12" t="s">
        <v>64</v>
      </c>
      <c r="H22" s="13" t="s">
        <v>65</v>
      </c>
      <c r="I22" s="12"/>
      <c r="J22" s="12"/>
      <c r="K22" s="12"/>
      <c r="L22" s="12"/>
      <c r="M22" s="12"/>
      <c r="N22" s="14" t="s">
        <v>42</v>
      </c>
    </row>
    <row r="23" spans="2:14" x14ac:dyDescent="0.25">
      <c r="B23" s="9">
        <v>14</v>
      </c>
      <c r="C23" s="15" t="s">
        <v>36</v>
      </c>
      <c r="D23" s="11"/>
      <c r="E23" s="11"/>
      <c r="F23" s="11"/>
      <c r="G23" s="12" t="s">
        <v>66</v>
      </c>
      <c r="H23" s="13" t="s">
        <v>67</v>
      </c>
      <c r="I23" s="12"/>
      <c r="J23" s="12"/>
      <c r="K23" s="12"/>
      <c r="L23" s="12"/>
      <c r="M23" s="12"/>
      <c r="N23" s="14" t="s">
        <v>68</v>
      </c>
    </row>
    <row r="24" spans="2:14" x14ac:dyDescent="0.25">
      <c r="B24" s="9">
        <v>15</v>
      </c>
      <c r="C24" s="10" t="s">
        <v>22</v>
      </c>
      <c r="D24" s="11"/>
      <c r="E24" s="11"/>
      <c r="F24" s="11" t="s">
        <v>69</v>
      </c>
      <c r="G24" s="12" t="s">
        <v>70</v>
      </c>
      <c r="H24" s="13" t="s">
        <v>71</v>
      </c>
      <c r="I24" s="12"/>
      <c r="J24" s="12"/>
      <c r="K24" s="12"/>
      <c r="L24" s="12"/>
      <c r="M24" s="12"/>
      <c r="N24" s="14" t="s">
        <v>72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73</v>
      </c>
      <c r="H25" s="13" t="s">
        <v>74</v>
      </c>
      <c r="I25" s="12"/>
      <c r="J25" s="12"/>
      <c r="K25" s="12"/>
      <c r="L25" s="12"/>
      <c r="M25" s="12"/>
      <c r="N25" s="14" t="s">
        <v>75</v>
      </c>
    </row>
    <row r="26" spans="2:14" x14ac:dyDescent="0.25">
      <c r="B26" s="9">
        <v>17</v>
      </c>
      <c r="C26" s="15" t="s">
        <v>36</v>
      </c>
      <c r="D26" s="11"/>
      <c r="E26" s="11"/>
      <c r="F26" s="11"/>
      <c r="G26" s="12" t="s">
        <v>76</v>
      </c>
      <c r="H26" s="13" t="s">
        <v>77</v>
      </c>
      <c r="I26" s="12"/>
      <c r="J26" s="12"/>
      <c r="K26" s="12"/>
      <c r="L26" s="12"/>
      <c r="M26" s="12"/>
      <c r="N26" s="14" t="s">
        <v>72</v>
      </c>
    </row>
    <row r="27" spans="2:14" x14ac:dyDescent="0.25">
      <c r="B27" s="9">
        <v>18</v>
      </c>
      <c r="C27" s="10" t="s">
        <v>22</v>
      </c>
      <c r="D27" s="11"/>
      <c r="E27" s="11"/>
      <c r="F27" s="11" t="s">
        <v>78</v>
      </c>
      <c r="G27" s="12" t="s">
        <v>79</v>
      </c>
      <c r="H27" s="13" t="s">
        <v>80</v>
      </c>
      <c r="I27" s="12"/>
      <c r="J27" s="12"/>
      <c r="K27" s="12"/>
      <c r="L27" s="12"/>
      <c r="M27" s="12"/>
      <c r="N27" s="14" t="s">
        <v>81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82</v>
      </c>
      <c r="H28" s="13" t="s">
        <v>83</v>
      </c>
      <c r="I28" s="12"/>
      <c r="J28" s="12"/>
      <c r="K28" s="12"/>
      <c r="L28" s="12"/>
      <c r="M28" s="12"/>
      <c r="N28" s="14" t="s">
        <v>84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85</v>
      </c>
      <c r="H29" s="13" t="s">
        <v>86</v>
      </c>
      <c r="I29" s="12"/>
      <c r="J29" s="12"/>
      <c r="K29" s="12"/>
      <c r="L29" s="12"/>
      <c r="M29" s="12"/>
      <c r="N29" s="14" t="s">
        <v>87</v>
      </c>
    </row>
    <row r="30" spans="2:14" x14ac:dyDescent="0.25">
      <c r="B30" s="9">
        <v>21</v>
      </c>
      <c r="C30" s="15" t="s">
        <v>36</v>
      </c>
      <c r="D30" s="11"/>
      <c r="E30" s="11"/>
      <c r="F30" s="11"/>
      <c r="G30" s="12" t="s">
        <v>88</v>
      </c>
      <c r="H30" s="13" t="s">
        <v>89</v>
      </c>
      <c r="I30" s="12"/>
      <c r="J30" s="12"/>
      <c r="K30" s="12"/>
      <c r="L30" s="12"/>
      <c r="M30" s="12"/>
      <c r="N30" s="14" t="s">
        <v>90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91</v>
      </c>
      <c r="H31" s="13" t="s">
        <v>92</v>
      </c>
      <c r="I31" s="12"/>
      <c r="J31" s="12"/>
      <c r="K31" s="12"/>
      <c r="L31" s="12"/>
      <c r="M31" s="12"/>
      <c r="N31" s="14" t="s">
        <v>93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94</v>
      </c>
      <c r="H32" s="13" t="s">
        <v>95</v>
      </c>
      <c r="I32" s="12"/>
      <c r="J32" s="12"/>
      <c r="K32" s="12"/>
      <c r="L32" s="12"/>
      <c r="M32" s="12"/>
      <c r="N32" s="14" t="s">
        <v>96</v>
      </c>
    </row>
    <row r="33" spans="2:14" x14ac:dyDescent="0.25">
      <c r="B33" s="9">
        <v>24</v>
      </c>
      <c r="C33" s="15" t="s">
        <v>36</v>
      </c>
      <c r="D33" s="11"/>
      <c r="E33" s="11"/>
      <c r="F33" s="11"/>
      <c r="G33" s="12" t="s">
        <v>97</v>
      </c>
      <c r="H33" s="13" t="s">
        <v>98</v>
      </c>
      <c r="I33" s="12"/>
      <c r="J33" s="12"/>
      <c r="K33" s="12"/>
      <c r="L33" s="12"/>
      <c r="M33" s="12"/>
      <c r="N33" s="14" t="s">
        <v>99</v>
      </c>
    </row>
    <row r="34" spans="2:14" x14ac:dyDescent="0.25">
      <c r="B34" s="9">
        <v>25</v>
      </c>
      <c r="C34" s="15" t="s">
        <v>36</v>
      </c>
      <c r="D34" s="11"/>
      <c r="E34" s="11"/>
      <c r="F34" s="11"/>
      <c r="G34" s="12" t="s">
        <v>100</v>
      </c>
      <c r="H34" s="13" t="s">
        <v>101</v>
      </c>
      <c r="I34" s="12"/>
      <c r="J34" s="12"/>
      <c r="K34" s="12"/>
      <c r="L34" s="12"/>
      <c r="M34" s="12"/>
      <c r="N34" s="14" t="s">
        <v>102</v>
      </c>
    </row>
    <row r="35" spans="2:14" x14ac:dyDescent="0.25">
      <c r="B35" s="9">
        <v>26</v>
      </c>
      <c r="C35" s="10" t="s">
        <v>22</v>
      </c>
      <c r="D35" s="11"/>
      <c r="E35" s="11" t="s">
        <v>103</v>
      </c>
      <c r="F35" s="11" t="s">
        <v>104</v>
      </c>
      <c r="G35" s="12" t="s">
        <v>105</v>
      </c>
      <c r="H35" s="13" t="s">
        <v>106</v>
      </c>
      <c r="I35" s="12"/>
      <c r="J35" s="12"/>
      <c r="K35" s="12"/>
      <c r="L35" s="12"/>
      <c r="M35" s="12"/>
      <c r="N35" s="14" t="s">
        <v>107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108</v>
      </c>
      <c r="H36" s="13" t="s">
        <v>109</v>
      </c>
      <c r="I36" s="12"/>
      <c r="J36" s="12"/>
      <c r="K36" s="12"/>
      <c r="L36" s="12"/>
      <c r="M36" s="12"/>
      <c r="N36" s="14" t="s">
        <v>107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110</v>
      </c>
      <c r="H37" s="13" t="s">
        <v>111</v>
      </c>
      <c r="I37" s="12"/>
      <c r="J37" s="12"/>
      <c r="K37" s="12"/>
      <c r="L37" s="12"/>
      <c r="M37" s="12"/>
      <c r="N37" s="14" t="s">
        <v>112</v>
      </c>
    </row>
    <row r="38" spans="2:14" x14ac:dyDescent="0.25">
      <c r="B38" s="9">
        <v>29</v>
      </c>
      <c r="C38" s="10" t="s">
        <v>22</v>
      </c>
      <c r="D38" s="11"/>
      <c r="E38" s="11"/>
      <c r="F38" s="11" t="s">
        <v>113</v>
      </c>
      <c r="G38" s="12" t="s">
        <v>114</v>
      </c>
      <c r="H38" s="13" t="s">
        <v>115</v>
      </c>
      <c r="I38" s="12"/>
      <c r="J38" s="12"/>
      <c r="K38" s="12"/>
      <c r="L38" s="12"/>
      <c r="M38" s="12"/>
      <c r="N38" s="14" t="s">
        <v>116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117</v>
      </c>
      <c r="H39" s="13" t="s">
        <v>118</v>
      </c>
      <c r="I39" s="12"/>
      <c r="J39" s="12"/>
      <c r="K39" s="12"/>
      <c r="L39" s="12"/>
      <c r="M39" s="12"/>
      <c r="N39" s="14" t="s">
        <v>119</v>
      </c>
    </row>
    <row r="40" spans="2:14" x14ac:dyDescent="0.25">
      <c r="B40" s="9">
        <v>31</v>
      </c>
      <c r="C40" s="15" t="s">
        <v>36</v>
      </c>
      <c r="D40" s="11"/>
      <c r="E40" s="11"/>
      <c r="F40" s="11" t="s">
        <v>120</v>
      </c>
      <c r="G40" s="12" t="s">
        <v>121</v>
      </c>
      <c r="H40" s="13" t="s">
        <v>122</v>
      </c>
      <c r="I40" s="12"/>
      <c r="J40" s="12"/>
      <c r="K40" s="12"/>
      <c r="L40" s="12"/>
      <c r="M40" s="12"/>
      <c r="N40" s="14" t="s">
        <v>123</v>
      </c>
    </row>
    <row r="41" spans="2:14" x14ac:dyDescent="0.25">
      <c r="B41" s="9">
        <v>32</v>
      </c>
      <c r="C41" s="15" t="s">
        <v>36</v>
      </c>
      <c r="D41" s="11"/>
      <c r="E41" s="11"/>
      <c r="F41" s="11"/>
      <c r="G41" s="12" t="s">
        <v>124</v>
      </c>
      <c r="H41" s="13" t="s">
        <v>125</v>
      </c>
      <c r="I41" s="12"/>
      <c r="J41" s="12"/>
      <c r="K41" s="12"/>
      <c r="L41" s="12"/>
      <c r="M41" s="12"/>
      <c r="N41" s="14" t="s">
        <v>126</v>
      </c>
    </row>
    <row r="42" spans="2:14" x14ac:dyDescent="0.25">
      <c r="B42" s="9">
        <v>33</v>
      </c>
      <c r="C42" s="15" t="s">
        <v>36</v>
      </c>
      <c r="D42" s="11"/>
      <c r="E42" s="11"/>
      <c r="F42" s="11"/>
      <c r="G42" s="12" t="s">
        <v>127</v>
      </c>
      <c r="H42" s="13" t="s">
        <v>128</v>
      </c>
      <c r="I42" s="12"/>
      <c r="J42" s="12"/>
      <c r="K42" s="12"/>
      <c r="L42" s="12"/>
      <c r="M42" s="12"/>
      <c r="N42" s="14" t="s">
        <v>129</v>
      </c>
    </row>
    <row r="43" spans="2:14" x14ac:dyDescent="0.25">
      <c r="B43" s="9">
        <v>34</v>
      </c>
      <c r="C43" s="15" t="s">
        <v>36</v>
      </c>
      <c r="D43" s="11"/>
      <c r="E43" s="11"/>
      <c r="F43" s="11"/>
      <c r="G43" s="12" t="s">
        <v>130</v>
      </c>
      <c r="H43" s="13" t="s">
        <v>131</v>
      </c>
      <c r="I43" s="12"/>
      <c r="J43" s="12"/>
      <c r="K43" s="12"/>
      <c r="L43" s="12"/>
      <c r="M43" s="12"/>
      <c r="N43" s="14" t="s">
        <v>132</v>
      </c>
    </row>
    <row r="44" spans="2:14" x14ac:dyDescent="0.25">
      <c r="B44" s="9">
        <v>35</v>
      </c>
      <c r="C44" s="10" t="s">
        <v>22</v>
      </c>
      <c r="D44" s="11"/>
      <c r="E44" s="11" t="s">
        <v>133</v>
      </c>
      <c r="F44" s="11" t="s">
        <v>134</v>
      </c>
      <c r="G44" s="12" t="s">
        <v>135</v>
      </c>
      <c r="H44" s="13" t="s">
        <v>136</v>
      </c>
      <c r="I44" s="12"/>
      <c r="J44" s="12"/>
      <c r="K44" s="12"/>
      <c r="L44" s="12"/>
      <c r="M44" s="12"/>
      <c r="N44" s="14" t="s">
        <v>137</v>
      </c>
    </row>
    <row r="45" spans="2:14" x14ac:dyDescent="0.25">
      <c r="B45" s="9">
        <v>36</v>
      </c>
      <c r="C45" s="16" t="s">
        <v>57</v>
      </c>
      <c r="D45" s="11"/>
      <c r="E45" s="11"/>
      <c r="F45" s="11"/>
      <c r="G45" s="12" t="s">
        <v>138</v>
      </c>
      <c r="H45" s="13" t="s">
        <v>139</v>
      </c>
      <c r="I45" s="12"/>
      <c r="J45" s="12"/>
      <c r="K45" s="12"/>
      <c r="L45" s="12"/>
      <c r="M45" s="12"/>
      <c r="N45" s="14" t="s">
        <v>140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141</v>
      </c>
      <c r="H46" s="13" t="s">
        <v>142</v>
      </c>
      <c r="I46" s="12"/>
      <c r="J46" s="12"/>
      <c r="K46" s="12"/>
      <c r="L46" s="12"/>
      <c r="M46" s="12"/>
      <c r="N46" s="14" t="s">
        <v>143</v>
      </c>
    </row>
    <row r="47" spans="2:14" x14ac:dyDescent="0.25">
      <c r="B47" s="9">
        <v>38</v>
      </c>
      <c r="C47" s="16" t="s">
        <v>57</v>
      </c>
      <c r="D47" s="11"/>
      <c r="E47" s="11"/>
      <c r="F47" s="11" t="s">
        <v>144</v>
      </c>
      <c r="G47" s="12" t="s">
        <v>145</v>
      </c>
      <c r="H47" s="13" t="s">
        <v>146</v>
      </c>
      <c r="I47" s="12"/>
      <c r="J47" s="12"/>
      <c r="K47" s="12"/>
      <c r="L47" s="12"/>
      <c r="M47" s="12"/>
      <c r="N47" s="14" t="s">
        <v>147</v>
      </c>
    </row>
    <row r="48" spans="2:14" x14ac:dyDescent="0.25">
      <c r="B48" s="9">
        <v>39</v>
      </c>
      <c r="C48" s="16" t="s">
        <v>57</v>
      </c>
      <c r="D48" s="11"/>
      <c r="E48" s="11"/>
      <c r="F48" s="11"/>
      <c r="G48" s="12" t="s">
        <v>148</v>
      </c>
      <c r="H48" s="13" t="s">
        <v>149</v>
      </c>
      <c r="I48" s="12"/>
      <c r="J48" s="12"/>
      <c r="K48" s="12"/>
      <c r="L48" s="12"/>
      <c r="M48" s="12"/>
      <c r="N48" s="14" t="s">
        <v>150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61</v>
      </c>
      <c r="H49" s="13" t="s">
        <v>151</v>
      </c>
      <c r="I49" s="12"/>
      <c r="J49" s="12"/>
      <c r="K49" s="12"/>
      <c r="L49" s="12"/>
      <c r="M49" s="12"/>
      <c r="N49" s="14" t="s">
        <v>152</v>
      </c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153</v>
      </c>
      <c r="H50" s="13" t="s">
        <v>154</v>
      </c>
      <c r="I50" s="12"/>
      <c r="J50" s="12"/>
      <c r="K50" s="12"/>
      <c r="L50" s="12"/>
      <c r="M50" s="12"/>
      <c r="N50" s="14" t="s">
        <v>155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156</v>
      </c>
      <c r="H51" s="13" t="s">
        <v>157</v>
      </c>
      <c r="I51" s="12"/>
      <c r="J51" s="12"/>
      <c r="K51" s="12"/>
      <c r="L51" s="12"/>
      <c r="M51" s="12"/>
      <c r="N51" s="14" t="s">
        <v>54</v>
      </c>
    </row>
    <row r="52" spans="2:14" x14ac:dyDescent="0.25">
      <c r="B52" s="9">
        <v>43</v>
      </c>
      <c r="C52" s="15" t="s">
        <v>36</v>
      </c>
      <c r="D52" s="11"/>
      <c r="E52" s="11"/>
      <c r="F52" s="11"/>
      <c r="G52" s="12" t="s">
        <v>158</v>
      </c>
      <c r="H52" s="13" t="s">
        <v>159</v>
      </c>
      <c r="I52" s="12"/>
      <c r="J52" s="12"/>
      <c r="K52" s="12"/>
      <c r="L52" s="12"/>
      <c r="M52" s="12"/>
      <c r="N52" s="14" t="s">
        <v>160</v>
      </c>
    </row>
    <row r="53" spans="2:14" x14ac:dyDescent="0.25">
      <c r="B53" s="9">
        <v>44</v>
      </c>
      <c r="C53" s="15" t="s">
        <v>36</v>
      </c>
      <c r="D53" s="11"/>
      <c r="E53" s="11"/>
      <c r="F53" s="11"/>
      <c r="G53" s="12" t="s">
        <v>161</v>
      </c>
      <c r="H53" s="13" t="s">
        <v>162</v>
      </c>
      <c r="I53" s="12"/>
      <c r="J53" s="12"/>
      <c r="K53" s="12"/>
      <c r="L53" s="12"/>
      <c r="M53" s="12"/>
      <c r="N53" s="14" t="s">
        <v>163</v>
      </c>
    </row>
    <row r="54" spans="2:14" x14ac:dyDescent="0.25">
      <c r="B54" s="9">
        <v>45</v>
      </c>
      <c r="C54" s="16" t="s">
        <v>57</v>
      </c>
      <c r="D54" s="11"/>
      <c r="E54" s="11" t="s">
        <v>164</v>
      </c>
      <c r="F54" s="11" t="s">
        <v>165</v>
      </c>
      <c r="G54" s="12" t="s">
        <v>166</v>
      </c>
      <c r="H54" s="13" t="s">
        <v>167</v>
      </c>
      <c r="I54" s="12"/>
      <c r="J54" s="12"/>
      <c r="K54" s="12"/>
      <c r="L54" s="12"/>
      <c r="M54" s="12"/>
      <c r="N54" s="14" t="s">
        <v>168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169</v>
      </c>
      <c r="H55" s="13" t="s">
        <v>170</v>
      </c>
      <c r="I55" s="12"/>
      <c r="J55" s="12"/>
      <c r="K55" s="12"/>
      <c r="L55" s="12"/>
      <c r="M55" s="12"/>
      <c r="N55" s="14" t="s">
        <v>171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172</v>
      </c>
      <c r="H56" s="13" t="s">
        <v>173</v>
      </c>
      <c r="I56" s="12"/>
      <c r="J56" s="12"/>
      <c r="K56" s="12"/>
      <c r="L56" s="12"/>
      <c r="M56" s="12"/>
      <c r="N56" s="14" t="s">
        <v>174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175</v>
      </c>
      <c r="H57" s="13" t="s">
        <v>176</v>
      </c>
      <c r="I57" s="12"/>
      <c r="J57" s="12"/>
      <c r="K57" s="12"/>
      <c r="L57" s="12"/>
      <c r="M57" s="12"/>
      <c r="N57" s="14" t="s">
        <v>177</v>
      </c>
    </row>
    <row r="58" spans="2:14" x14ac:dyDescent="0.25">
      <c r="B58" s="9">
        <v>49</v>
      </c>
      <c r="C58" s="15" t="s">
        <v>36</v>
      </c>
      <c r="D58" s="11"/>
      <c r="E58" s="11"/>
      <c r="F58" s="12" t="s">
        <v>178</v>
      </c>
      <c r="G58" s="12" t="s">
        <v>179</v>
      </c>
      <c r="H58" s="13" t="s">
        <v>180</v>
      </c>
      <c r="I58" s="12"/>
      <c r="J58" s="12"/>
      <c r="K58" s="12"/>
      <c r="L58" s="12"/>
      <c r="M58" s="12"/>
      <c r="N58" s="14" t="s">
        <v>181</v>
      </c>
    </row>
    <row r="59" spans="2:14" x14ac:dyDescent="0.25">
      <c r="B59" s="9">
        <v>50</v>
      </c>
      <c r="C59" s="10" t="s">
        <v>22</v>
      </c>
      <c r="D59" s="11" t="s">
        <v>182</v>
      </c>
      <c r="E59" s="11" t="s">
        <v>183</v>
      </c>
      <c r="F59" s="11" t="s">
        <v>184</v>
      </c>
      <c r="G59" s="12" t="s">
        <v>185</v>
      </c>
      <c r="H59" s="13" t="s">
        <v>186</v>
      </c>
      <c r="I59" s="12"/>
      <c r="J59" s="12"/>
      <c r="K59" s="12"/>
      <c r="L59" s="12"/>
      <c r="M59" s="12"/>
      <c r="N59" s="14" t="s">
        <v>187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188</v>
      </c>
      <c r="H60" s="13" t="s">
        <v>189</v>
      </c>
      <c r="I60" s="12"/>
      <c r="J60" s="12"/>
      <c r="K60" s="12"/>
      <c r="L60" s="12"/>
      <c r="M60" s="12"/>
      <c r="N60" s="14" t="s">
        <v>190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191</v>
      </c>
      <c r="H61" s="13" t="s">
        <v>192</v>
      </c>
      <c r="I61" s="12"/>
      <c r="J61" s="12"/>
      <c r="K61" s="12"/>
      <c r="L61" s="12"/>
      <c r="M61" s="12"/>
      <c r="N61" s="14" t="s">
        <v>193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194</v>
      </c>
      <c r="H62" s="13" t="s">
        <v>195</v>
      </c>
      <c r="I62" s="12"/>
      <c r="J62" s="12"/>
      <c r="K62" s="12"/>
      <c r="L62" s="12"/>
      <c r="M62" s="12"/>
      <c r="N62" s="14" t="s">
        <v>196</v>
      </c>
    </row>
    <row r="63" spans="2:14" x14ac:dyDescent="0.25">
      <c r="B63" s="9">
        <v>54</v>
      </c>
      <c r="C63" s="16" t="s">
        <v>57</v>
      </c>
      <c r="D63" s="11"/>
      <c r="E63" s="11"/>
      <c r="F63" s="11"/>
      <c r="G63" s="12" t="s">
        <v>197</v>
      </c>
      <c r="H63" s="13" t="s">
        <v>198</v>
      </c>
      <c r="I63" s="12"/>
      <c r="J63" s="12"/>
      <c r="K63" s="12"/>
      <c r="L63" s="12"/>
      <c r="M63" s="12"/>
      <c r="N63" s="14" t="s">
        <v>199</v>
      </c>
    </row>
    <row r="64" spans="2:14" x14ac:dyDescent="0.25">
      <c r="B64" s="9">
        <v>55</v>
      </c>
      <c r="C64" s="15" t="s">
        <v>36</v>
      </c>
      <c r="D64" s="11"/>
      <c r="E64" s="11"/>
      <c r="F64" s="11" t="s">
        <v>200</v>
      </c>
      <c r="G64" s="12" t="s">
        <v>201</v>
      </c>
      <c r="H64" s="13" t="s">
        <v>202</v>
      </c>
      <c r="I64" s="12"/>
      <c r="J64" s="12"/>
      <c r="K64" s="12"/>
      <c r="L64" s="12"/>
      <c r="M64" s="12"/>
      <c r="N64" s="14" t="s">
        <v>203</v>
      </c>
    </row>
    <row r="65" spans="2:14" x14ac:dyDescent="0.25">
      <c r="B65" s="9">
        <v>56</v>
      </c>
      <c r="C65" s="10" t="s">
        <v>22</v>
      </c>
      <c r="D65" s="11"/>
      <c r="E65" s="11"/>
      <c r="F65" s="11"/>
      <c r="G65" s="12" t="s">
        <v>204</v>
      </c>
      <c r="H65" s="13" t="s">
        <v>205</v>
      </c>
      <c r="I65" s="12"/>
      <c r="J65" s="12"/>
      <c r="K65" s="12"/>
      <c r="L65" s="12"/>
      <c r="M65" s="12"/>
      <c r="N65" s="14" t="s">
        <v>206</v>
      </c>
    </row>
    <row r="66" spans="2:14" x14ac:dyDescent="0.25">
      <c r="B66" s="9">
        <v>57</v>
      </c>
      <c r="C66" s="15" t="s">
        <v>36</v>
      </c>
      <c r="D66" s="11"/>
      <c r="E66" s="11"/>
      <c r="F66" s="11"/>
      <c r="G66" s="12" t="s">
        <v>207</v>
      </c>
      <c r="H66" s="13" t="s">
        <v>208</v>
      </c>
      <c r="I66" s="12"/>
      <c r="J66" s="12"/>
      <c r="K66" s="12"/>
      <c r="L66" s="12"/>
      <c r="M66" s="12"/>
      <c r="N66" s="14" t="s">
        <v>209</v>
      </c>
    </row>
    <row r="67" spans="2:14" x14ac:dyDescent="0.25">
      <c r="B67" s="9">
        <v>58</v>
      </c>
      <c r="C67" s="15" t="s">
        <v>36</v>
      </c>
      <c r="D67" s="11"/>
      <c r="E67" s="11"/>
      <c r="F67" s="11"/>
      <c r="G67" s="12" t="s">
        <v>210</v>
      </c>
      <c r="H67" s="13" t="s">
        <v>211</v>
      </c>
      <c r="I67" s="12"/>
      <c r="J67" s="12"/>
      <c r="K67" s="12"/>
      <c r="L67" s="12"/>
      <c r="M67" s="12"/>
      <c r="N67" s="14" t="s">
        <v>212</v>
      </c>
    </row>
    <row r="68" spans="2:14" x14ac:dyDescent="0.25">
      <c r="B68" s="9">
        <v>59</v>
      </c>
      <c r="C68" s="15" t="s">
        <v>36</v>
      </c>
      <c r="D68" s="11"/>
      <c r="E68" s="11"/>
      <c r="F68" s="11"/>
      <c r="G68" s="12" t="s">
        <v>213</v>
      </c>
      <c r="H68" s="13" t="s">
        <v>214</v>
      </c>
      <c r="I68" s="12"/>
      <c r="J68" s="12"/>
      <c r="K68" s="12"/>
      <c r="L68" s="12"/>
      <c r="M68" s="12"/>
      <c r="N68" s="14" t="s">
        <v>215</v>
      </c>
    </row>
    <row r="69" spans="2:14" x14ac:dyDescent="0.25">
      <c r="B69" s="9">
        <v>60</v>
      </c>
      <c r="C69" s="10" t="s">
        <v>22</v>
      </c>
      <c r="D69" s="11"/>
      <c r="E69" s="11" t="s">
        <v>216</v>
      </c>
      <c r="F69" s="11" t="s">
        <v>217</v>
      </c>
      <c r="G69" s="12" t="s">
        <v>121</v>
      </c>
      <c r="H69" s="13" t="s">
        <v>218</v>
      </c>
      <c r="I69" s="12"/>
      <c r="J69" s="12"/>
      <c r="K69" s="12"/>
      <c r="L69" s="12"/>
      <c r="M69" s="12"/>
      <c r="N69" s="14" t="s">
        <v>219</v>
      </c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200</v>
      </c>
      <c r="H70" s="13" t="s">
        <v>220</v>
      </c>
      <c r="I70" s="12"/>
      <c r="J70" s="12"/>
      <c r="K70" s="12"/>
      <c r="L70" s="12"/>
      <c r="M70" s="12"/>
      <c r="N70" s="14" t="s">
        <v>221</v>
      </c>
    </row>
    <row r="71" spans="2:14" x14ac:dyDescent="0.25">
      <c r="B71" s="9">
        <v>62</v>
      </c>
      <c r="C71" s="10" t="s">
        <v>22</v>
      </c>
      <c r="D71" s="11"/>
      <c r="E71" s="11"/>
      <c r="F71" s="11"/>
      <c r="G71" s="12" t="s">
        <v>222</v>
      </c>
      <c r="H71" s="13" t="s">
        <v>223</v>
      </c>
      <c r="I71" s="12"/>
      <c r="J71" s="12"/>
      <c r="K71" s="12"/>
      <c r="L71" s="12"/>
      <c r="M71" s="12"/>
      <c r="N71" s="14" t="s">
        <v>224</v>
      </c>
    </row>
    <row r="72" spans="2:14" x14ac:dyDescent="0.25">
      <c r="B72" s="9">
        <v>63</v>
      </c>
      <c r="C72" s="15" t="s">
        <v>36</v>
      </c>
      <c r="D72" s="11"/>
      <c r="E72" s="11"/>
      <c r="F72" s="11"/>
      <c r="G72" s="12" t="s">
        <v>225</v>
      </c>
      <c r="H72" s="13" t="s">
        <v>226</v>
      </c>
      <c r="I72" s="12"/>
      <c r="J72" s="12"/>
      <c r="K72" s="12"/>
      <c r="L72" s="12"/>
      <c r="M72" s="12"/>
      <c r="N72" s="14" t="s">
        <v>227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228</v>
      </c>
      <c r="H73" s="13" t="s">
        <v>229</v>
      </c>
      <c r="I73" s="12"/>
      <c r="J73" s="12"/>
      <c r="K73" s="12"/>
      <c r="L73" s="12"/>
      <c r="M73" s="12"/>
      <c r="N73" s="14" t="s">
        <v>230</v>
      </c>
    </row>
    <row r="74" spans="2:14" x14ac:dyDescent="0.25">
      <c r="B74" s="9">
        <v>65</v>
      </c>
      <c r="C74" s="15" t="s">
        <v>36</v>
      </c>
      <c r="D74" s="11"/>
      <c r="E74" s="11"/>
      <c r="F74" s="11"/>
      <c r="G74" s="12" t="s">
        <v>231</v>
      </c>
      <c r="H74" s="13" t="s">
        <v>232</v>
      </c>
      <c r="I74" s="12"/>
      <c r="J74" s="12"/>
      <c r="K74" s="12"/>
      <c r="L74" s="12"/>
      <c r="M74" s="12"/>
      <c r="N74" s="14" t="s">
        <v>233</v>
      </c>
    </row>
    <row r="75" spans="2:14" x14ac:dyDescent="0.25">
      <c r="B75" s="9">
        <v>66</v>
      </c>
      <c r="C75" s="16" t="s">
        <v>57</v>
      </c>
      <c r="D75" s="11"/>
      <c r="E75" s="11"/>
      <c r="F75" s="11" t="s">
        <v>234</v>
      </c>
      <c r="G75" s="12" t="s">
        <v>235</v>
      </c>
      <c r="H75" s="13" t="s">
        <v>236</v>
      </c>
      <c r="I75" s="12"/>
      <c r="J75" s="12"/>
      <c r="K75" s="12"/>
      <c r="L75" s="12"/>
      <c r="M75" s="12"/>
      <c r="N75" s="14" t="s">
        <v>237</v>
      </c>
    </row>
    <row r="76" spans="2:14" x14ac:dyDescent="0.25">
      <c r="B76" s="9">
        <v>67</v>
      </c>
      <c r="C76" s="16" t="s">
        <v>57</v>
      </c>
      <c r="D76" s="11"/>
      <c r="E76" s="11"/>
      <c r="F76" s="11"/>
      <c r="G76" s="12" t="s">
        <v>238</v>
      </c>
      <c r="H76" s="13" t="s">
        <v>239</v>
      </c>
      <c r="I76" s="12"/>
      <c r="J76" s="12"/>
      <c r="K76" s="12"/>
      <c r="L76" s="12"/>
      <c r="M76" s="12"/>
      <c r="N76" s="14" t="s">
        <v>240</v>
      </c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241</v>
      </c>
      <c r="H77" s="13" t="s">
        <v>242</v>
      </c>
      <c r="I77" s="12"/>
      <c r="J77" s="12"/>
      <c r="K77" s="12"/>
      <c r="L77" s="12"/>
      <c r="M77" s="12"/>
      <c r="N77" s="14" t="s">
        <v>196</v>
      </c>
    </row>
    <row r="78" spans="2:14" x14ac:dyDescent="0.25">
      <c r="B78" s="9">
        <v>69</v>
      </c>
      <c r="C78" s="16" t="s">
        <v>57</v>
      </c>
      <c r="D78" s="11"/>
      <c r="E78" s="11"/>
      <c r="F78" s="11"/>
      <c r="G78" s="12" t="s">
        <v>243</v>
      </c>
      <c r="H78" s="13" t="s">
        <v>244</v>
      </c>
      <c r="I78" s="12"/>
      <c r="J78" s="12"/>
      <c r="K78" s="12"/>
      <c r="L78" s="12"/>
      <c r="M78" s="12"/>
      <c r="N78" s="14" t="s">
        <v>245</v>
      </c>
    </row>
    <row r="79" spans="2:14" x14ac:dyDescent="0.25">
      <c r="B79" s="9">
        <v>70</v>
      </c>
      <c r="C79" s="10" t="s">
        <v>22</v>
      </c>
      <c r="D79" s="11"/>
      <c r="E79" s="11"/>
      <c r="F79" s="12" t="s">
        <v>127</v>
      </c>
      <c r="G79" s="12" t="s">
        <v>246</v>
      </c>
      <c r="H79" s="13" t="s">
        <v>247</v>
      </c>
      <c r="I79" s="12"/>
      <c r="J79" s="12"/>
      <c r="K79" s="12"/>
      <c r="L79" s="12"/>
      <c r="M79" s="12"/>
      <c r="N79" s="14" t="s">
        <v>248</v>
      </c>
    </row>
    <row r="80" spans="2:14" x14ac:dyDescent="0.25">
      <c r="B80" s="9">
        <v>71</v>
      </c>
      <c r="C80" s="15" t="s">
        <v>36</v>
      </c>
      <c r="D80" s="11"/>
      <c r="E80" s="11" t="s">
        <v>249</v>
      </c>
      <c r="F80" s="11" t="s">
        <v>250</v>
      </c>
      <c r="G80" s="12" t="s">
        <v>251</v>
      </c>
      <c r="H80" s="13" t="s">
        <v>252</v>
      </c>
      <c r="I80" s="12"/>
      <c r="J80" s="12"/>
      <c r="K80" s="12"/>
      <c r="L80" s="12"/>
      <c r="M80" s="12"/>
      <c r="N80" s="14" t="s">
        <v>253</v>
      </c>
    </row>
    <row r="81" spans="2:14" x14ac:dyDescent="0.25">
      <c r="B81" s="9">
        <v>72</v>
      </c>
      <c r="C81" s="15" t="s">
        <v>36</v>
      </c>
      <c r="D81" s="11"/>
      <c r="E81" s="11"/>
      <c r="F81" s="11"/>
      <c r="G81" s="12" t="s">
        <v>254</v>
      </c>
      <c r="H81" s="13" t="s">
        <v>255</v>
      </c>
      <c r="I81" s="12"/>
      <c r="J81" s="12"/>
      <c r="K81" s="12"/>
      <c r="L81" s="12"/>
      <c r="M81" s="12"/>
      <c r="N81" s="14" t="s">
        <v>256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257</v>
      </c>
      <c r="H82" s="13" t="s">
        <v>258</v>
      </c>
      <c r="I82" s="12"/>
      <c r="J82" s="12"/>
      <c r="K82" s="12"/>
      <c r="L82" s="12"/>
      <c r="M82" s="12"/>
      <c r="N82" s="14" t="s">
        <v>259</v>
      </c>
    </row>
    <row r="83" spans="2:14" x14ac:dyDescent="0.25">
      <c r="B83" s="9">
        <v>74</v>
      </c>
      <c r="C83" s="15" t="s">
        <v>36</v>
      </c>
      <c r="D83" s="11"/>
      <c r="E83" s="11"/>
      <c r="F83" s="11"/>
      <c r="G83" s="12" t="s">
        <v>260</v>
      </c>
      <c r="H83" s="13" t="s">
        <v>261</v>
      </c>
      <c r="I83" s="12"/>
      <c r="J83" s="12"/>
      <c r="K83" s="12"/>
      <c r="L83" s="12"/>
      <c r="M83" s="12"/>
      <c r="N83" s="14" t="s">
        <v>262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263</v>
      </c>
      <c r="H84" s="13" t="s">
        <v>264</v>
      </c>
      <c r="I84" s="12"/>
      <c r="J84" s="12"/>
      <c r="K84" s="12"/>
      <c r="L84" s="12"/>
      <c r="M84" s="12"/>
      <c r="N84" s="14" t="s">
        <v>265</v>
      </c>
    </row>
  </sheetData>
  <mergeCells count="26">
    <mergeCell ref="D10:D58"/>
    <mergeCell ref="E10:E34"/>
    <mergeCell ref="F10:F11"/>
    <mergeCell ref="F12:F13"/>
    <mergeCell ref="F14:F15"/>
    <mergeCell ref="F16:F23"/>
    <mergeCell ref="F24:F26"/>
    <mergeCell ref="F27:F34"/>
    <mergeCell ref="E35:E43"/>
    <mergeCell ref="F35:F37"/>
    <mergeCell ref="F38:F39"/>
    <mergeCell ref="F40:F43"/>
    <mergeCell ref="E44:E53"/>
    <mergeCell ref="F44:F46"/>
    <mergeCell ref="F47:F53"/>
    <mergeCell ref="E54:E58"/>
    <mergeCell ref="F54:F57"/>
    <mergeCell ref="D59:D84"/>
    <mergeCell ref="E59:E68"/>
    <mergeCell ref="F59:F63"/>
    <mergeCell ref="F64:F68"/>
    <mergeCell ref="E69:E79"/>
    <mergeCell ref="F69:F74"/>
    <mergeCell ref="F75:F78"/>
    <mergeCell ref="E80:E84"/>
    <mergeCell ref="F80:F84"/>
  </mergeCells>
  <dataValidations count="1">
    <dataValidation type="list" allowBlank="1" showErrorMessage="1" errorTitle="잘못된 값" error="Pass, Fail, N/T, Block 중 하나를 선택하세요." sqref="I10:J84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어비스 레이드 프리미엄 상품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2026-05-14T09:09:33Z</dcterms:created>
  <dcterms:modified xsi:type="dcterms:W3CDTF">2026-05-14T09:09:33Z</dcterms:modified>
</cp:coreProperties>
</file>