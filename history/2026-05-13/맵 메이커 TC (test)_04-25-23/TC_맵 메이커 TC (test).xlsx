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맵 메이커 TC (test)" state="visible" r:id="rId4"/>
  </sheets>
  <calcPr calcId="171027"/>
</workbook>
</file>

<file path=xl/sharedStrings.xml><?xml version="1.0" encoding="utf-8"?>
<sst xmlns="http://schemas.openxmlformats.org/spreadsheetml/2006/main" count="433" uniqueCount="236">
  <si>
    <t>(C)맵 메이커 TC (test)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</si>
  <si>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</si>
  <si>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</si>
  <si>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</si>
  <si>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</si>
  <si>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</si>
  <si>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</si>
  <si>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</si>
  <si>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</si>
  <si>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</si>
  <si>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</si>
  <si>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</si>
  <si>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</si>
  <si>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</si>
  <si>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</si>
  <si>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</si>
  <si>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</si>
  <si>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</si>
  <si>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</si>
  <si>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</si>
  <si>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</si>
  <si>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</si>
  <si>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</si>
  <si>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맵 메이커</t>
  </si>
  <si>
    <t>모드리스트</t>
  </si>
  <si>
    <t>상단 영역</t>
  </si>
  <si>
    <t>자동추천 토글</t>
  </si>
  <si>
    <t>모드리스트 화면 좌측 상단에 자동추천 토글이 출력된다.</t>
  </si>
  <si>
    <t>참고 화면: 맵메이커 메인 플로우 - 1. 모드리스트</t>
  </si>
  <si>
    <t>자동추천 토글 터치 시, ON/OFF 상태가 전환된다.</t>
  </si>
  <si>
    <t>다이어리 버튼</t>
  </si>
  <si>
    <t>모드리스트 화면 우측 상단에 다이어리(Today!) 버튼이 출력된다.</t>
  </si>
  <si>
    <t>모드 카드</t>
  </si>
  <si>
    <t>카드 정보 출력</t>
  </si>
  <si>
    <t>모드리스트 내 각 모드 카드(일일도전, 불멸하는 용의 전설, 트로피 쟁기, 맵 메이커, 챔피언스 리그)가 출력된다.</t>
  </si>
  <si>
    <t>Normal</t>
  </si>
  <si>
    <t>각 모드 카드 상단에 난이도 배지(NORMAL/HARD 등)가 출력된다.</t>
  </si>
  <si>
    <t>시즌 타이머</t>
  </si>
  <si>
    <t>각 모드 카드 하단에 시즌 종료까지 남은 시간이 출력된다.</t>
  </si>
  <si>
    <t>모드 카드 우측 상단에 신규/알림 표시 레드닷이 출력된다.</t>
  </si>
  <si>
    <t>Critical</t>
  </si>
  <si>
    <t>맵 메이커 카드 진입</t>
  </si>
  <si>
    <t>모드리스트에서 맵 메이커 카드 선택 시, 맵메이커 모드 선택 화면으로 전환된다.</t>
  </si>
  <si>
    <t>닫기 버튼</t>
  </si>
  <si>
    <t>모드리스트 화면 우측 상단 닫기(X) 버튼 터치 시, 이전 화면으로 전환된다.</t>
  </si>
  <si>
    <t>맵메이커 모드 선택</t>
  </si>
  <si>
    <t>모드 선택 UI</t>
  </si>
  <si>
    <t>만들기 버튼</t>
  </si>
  <si>
    <t>맵메이커 모드 선택 화면에 만들기 버튼이 출력된다.</t>
  </si>
  <si>
    <t>참고 화면: 맵메이커 메인 플로우 - 2. 맵메이커 모드 선택 화면</t>
  </si>
  <si>
    <t>달리기 버튼</t>
  </si>
  <si>
    <t>맵메이커 모드 선택 화면에 달리기 버튼이 출력된다.</t>
  </si>
  <si>
    <t>달리기 버튼 터치 시, 다음 TF 안내 또는 미오픈 처리가 표시된다.</t>
  </si>
  <si>
    <t>참고 화면: 맵메이커 메인 플로우 - 2. 맵메이커 모드 선택 화면 (달리기 모드는 다음 TF 때)</t>
  </si>
  <si>
    <t>만들기 버튼 터치 시, 만들기 모드 메인(나의 맵 목록) 화면으로 전환된다.</t>
  </si>
  <si>
    <t>뒤로가기</t>
  </si>
  <si>
    <t>맵메이커 모드 선택 화면에서 뒤로가기 동작 시, 모드리스트 화면으로 전환된다.</t>
  </si>
  <si>
    <t>만들기 모드 메인</t>
  </si>
  <si>
    <t>상단 UI</t>
  </si>
  <si>
    <t>재화 표시</t>
  </si>
  <si>
    <t>만들기 모드 메인 화면 상단에 보유 코인 수량이 출력된다.</t>
  </si>
  <si>
    <t>참고 화면: 3. 만들기 모드 - 1. 만들기 모드 메인</t>
  </si>
  <si>
    <t>만들기 모드 메인 화면 상단에 보유 크리스탈 수량이 출력된다.</t>
  </si>
  <si>
    <t>홈 버튼</t>
  </si>
  <si>
    <t>만들기 모드 메인 화면 상단에 홈 버튼이 출력된다.</t>
  </si>
  <si>
    <t>만들기 모드 메인 화면에서 홈 버튼 터치 시, 메인 로비로 전환된다.</t>
  </si>
  <si>
    <t>맵 슬롯</t>
  </si>
  <si>
    <t>등록된 맵 표시</t>
  </si>
  <si>
    <t>등록된 맵 슬롯 상단에 해당 맵의 맵 코드가 출력된다.</t>
  </si>
  <si>
    <t>등록된 맵 슬롯 하단에 좋아요/싫어요 평가수가 출력된다.</t>
  </si>
  <si>
    <t>미등록 맵 표시</t>
  </si>
  <si>
    <t>등록된 이력이 있는 미등록 맵 슬롯에 누적 평가수가 출력된다.</t>
  </si>
  <si>
    <t>빈 슬롯</t>
  </si>
  <si>
    <t>맵이 생성되지 않은 빈 슬롯에 + 표시가 출력된다.</t>
  </si>
  <si>
    <t>슬롯 선택 진입</t>
  </si>
  <si>
    <t>기존에 생성된 맵 슬롯 터치 시, 해당 맵의 선택 맵 메인 화면으로 전환된다.</t>
  </si>
  <si>
    <t>참고 화면: 3. 만들기 모드 / 5. 선택 맵 메인 화면</t>
  </si>
  <si>
    <t>신규 생성 진입</t>
  </si>
  <si>
    <t>빈 슬롯(+) 터치 시, 맵 생성 화면으로 전환된다.</t>
  </si>
  <si>
    <t>참고 화면: 3. 만들기 모드 / 4. 맵 생성</t>
  </si>
  <si>
    <t>맵 생성</t>
  </si>
  <si>
    <t>맵 생성 설정</t>
  </si>
  <si>
    <t>맵 이름 입력</t>
  </si>
  <si>
    <t>맵 생성 화면에 맵 이름 입력 필드가 출력된다.</t>
  </si>
  <si>
    <t>참고 화면: 4. 맵 생성 - 1. 맵 생성 설정</t>
  </si>
  <si>
    <t>맵 이름 입력 필드 터치 시, 키보드가 출력되어 텍스트 입력이 가능하다.</t>
  </si>
  <si>
    <t>맵 설명 입력</t>
  </si>
  <si>
    <t>맵 생성 화면에 맵 설명 입력 필드가 출력된다.</t>
  </si>
  <si>
    <t>맵 설명 입력 필드 터치 시, 키보드가 출력되어 텍스트 입력이 가능하다.</t>
  </si>
  <si>
    <t>맵 배경 선택</t>
  </si>
  <si>
    <t>맵 생성 화면에 선택 가능한 맵 배경 리스트가 출력된다.</t>
  </si>
  <si>
    <t>맵 생성 진입 시, 맵 배경 리스트 중 첫번째 항목이 기본 선택 상태로 표시된다.</t>
  </si>
  <si>
    <t>참고 화면: 4. 맵 생성 - 1. 맵 생성 설정 (첫번째 맵 선택되어 있음)</t>
  </si>
  <si>
    <t>맵 배경 항목 터치 시, 해당 배경이 선택 상태로 전환된다.</t>
  </si>
  <si>
    <t>맵 배경 자세히 보기 팝업</t>
  </si>
  <si>
    <t>맵 배경 자세히 보기 진입 시, 해당 배경의 장애물/벨리어블 정보 팝업이 출력된다.</t>
  </si>
  <si>
    <t>참고 화면: 4. 맵 생성 - @GD 코멘트 (맵 배경은 자세히보기 팝업)</t>
  </si>
  <si>
    <t>생성하기 버튼 비활성화</t>
  </si>
  <si>
    <t>맵 이름/맵 설명/맵 배경 중 하나라도 미입력 상태일 때, 생성하기 버튼이 비활성화 상태로 표시된다.</t>
  </si>
  <si>
    <t>참고 화면: 4. 맵 생성 - 필수 입력 내용이 입력되지 않으면 생성 불가</t>
  </si>
  <si>
    <t>생성하기 버튼 활성화</t>
  </si>
  <si>
    <t>맵 이름/맵 설명/맵 배경 모두 입력 시, 생성하기 버튼이 활성화 상태로 표시된다.</t>
  </si>
  <si>
    <t>참고 화면: 4. 맵 생성 - 3. 필수 정보 입력하면 생성하기 가능</t>
  </si>
  <si>
    <t>생성하기 버튼 터치 시, 입력한 정보로 신규 맵이 생성되며 선택 맵 메인 화면으로 전환된다.</t>
  </si>
  <si>
    <t>참고 화면: 4. 맵 생성 / 5. 선택 맵 메인 화면</t>
  </si>
  <si>
    <t>샘플 사용하기</t>
  </si>
  <si>
    <t>샘플 리스트 출력</t>
  </si>
  <si>
    <t>샘플 사용하기 선택 시, Sample 1(EASY)/Sample 2(NORMAL)/Sample 3(HARD) 3종의 샘플 맵이 출력된다.</t>
  </si>
  <si>
    <t>참고 화면: 4. 맵 생성 - 2. (샘플 사용하기 선택시)</t>
  </si>
  <si>
    <t>각 샘플 맵 카드에 난이도 배지(EASY/NORMAL/HARD)가 출력된다.</t>
  </si>
  <si>
    <t>샘플 선택</t>
  </si>
  <si>
    <t>각 샘플 맵 카드 하단에 사용하기 버튼이 출력된다.</t>
  </si>
  <si>
    <t>사용하기 버튼</t>
  </si>
  <si>
    <t>샘플 사용하기 버튼 터치 시, 해당 샘플 정보가 맵 생성 입력 항목에 자동 채워진 상태로 표시된다.</t>
  </si>
  <si>
    <t>참고 화면: 4. 맵 생성 - 선���한 샘플 맵으로 표시</t>
  </si>
  <si>
    <t>맵 생성 화면 우측 상단 닫기(X) 버튼 터치 시, 만들기 모드 메인 화면으로 전환된다.</t>
  </si>
  <si>
    <t>참고 화면: 4. 맵 생성</t>
  </si>
  <si>
    <t>맵 생성 화면에서 디바이스 뒤로가기 동작 시, 만들기 모드 메인 화면으로 전환된다.</t>
  </si>
  <si>
    <t>선택 맵 메인 화면</t>
  </si>
  <si>
    <t>맵 삭제 버튼</t>
  </si>
  <si>
    <t>선택 맵 메인 화면 좌측 상단에 맵 삭제 버튼이 출력된다.</t>
  </si>
  <si>
    <t>참고 화면: 5. 선택 맵 메인 화면</t>
  </si>
  <si>
    <t>도움말 버튼</t>
  </si>
  <si>
    <t>선택 맵 메인 화면 우측 상단에 도움말 버튼이 출력된다.</t>
  </si>
  <si>
    <t>도움말 버튼 터치 시, 맵 메이커 안내 팝업이 출력된다.</t>
  </si>
  <si>
    <t>맵 정보</t>
  </si>
  <si>
    <t>맵 이름 출력</t>
  </si>
  <si>
    <t>선택 맵 메인 화면 상단에 해당 맵의 이름이 출력된다.</t>
  </si>
  <si>
    <t>등록 상태 출력</t>
  </si>
  <si>
    <t>등록된 맵 진입 시, 상단에 '등록됨' 표시와 맵 코드가 출력된다.</t>
  </si>
  <si>
    <t>참고 화면: 5. 선택 맵 메인 화면 (등록됨 ABCDE1234)</t>
  </si>
  <si>
    <t>등록된 맵 진입 시, 하단에 좋아요/싫어요 카운트가 출력된다.</t>
  </si>
  <si>
    <t>참고 화면: 5. 선택 맵 메인 화면 (1,234 / 12,345)</t>
  </si>
  <si>
    <t>플레이어 설정</t>
  </si>
  <si>
    <t>카메라 거리 출력</t>
  </si>
  <si>
    <t>선택 맵 메인 화면 우측 플레이어 설정 영역에 카메라 거리 값이 출력된다.</t>
  </si>
  <si>
    <t>참고 화면: 5. 선택 맵 메인 화면 (카메라 거리 1x / 0.8x)</t>
  </si>
  <si>
    <t>이동 속도 출력</t>
  </si>
  <si>
    <t>선택 맵 메인 화면 우측 플레이어 설정 영역에 이동 속도 값이 출력된다.</t>
  </si>
  <si>
    <t>참고 화면: 5. 선택 맵 메인 화면 (이동 속도 100%)</t>
  </si>
  <si>
    <t>추가 규칙</t>
  </si>
  <si>
    <t>규칙 출력</t>
  </si>
  <si>
    <t>선택 맵 메인 화면에 추가 규칙 항목이 출력되며, 미설정 시 '규칙 없음'으로 표시된다.</t>
  </si>
  <si>
    <t>참고 화면: 5. 선택 맵 메인 화면 (추가 규칙 / 규칙 없음)</t>
  </si>
  <si>
    <t>추가 규칙이 설정된 맵의 경우, 설정된 규칙 아이콘이 출력된다.</t>
  </si>
  <si>
    <t>참고 화면: 5. 선택 맵 메인 화면 (규칙 아이콘 표시)</t>
  </si>
  <si>
    <t>맵 설정 버튼</t>
  </si>
  <si>
    <t>선택 맵 메인 화면에 맵 설정 버튼이 출력된다.</t>
  </si>
  <si>
    <t>참고 화면: 5. 선택 맵 메인 화면 (맵 설정)</t>
  </si>
  <si>
    <t>맵 설정 버튼 터치 시, 맵 설정 화면으로 전환된다.</t>
  </si>
  <si>
    <t>편집하기 버튼</t>
  </si>
  <si>
    <t>편집하기 버튼 터치 시, 맵 편집 화면으로 전환된다.</t>
  </si>
  <si>
    <t>참고 화면: 5. 선택 맵 메인 화면 (편집하기)</t>
  </si>
  <si>
    <t>등록 테스트 버튼</t>
  </si>
  <si>
    <t>등록 테스트 버튼 터치 시, 등록 테스트 인게임 로딩 화면으로 전환된다.</t>
  </si>
  <si>
    <t>참고 화면: 5. 선택 맵 메인 화면 (등록 테스트) / 2. 인게임 - 1. 로딩</t>
  </si>
  <si>
    <t>맵 삭제 확인 팝업</t>
  </si>
  <si>
    <t>맵 삭제 버튼 터치 시, 맵 삭제 확인 팝업이 출력된다.</t>
  </si>
  <si>
    <t>참고 화면: 5. 선택 맵 메인 화면 (맵 삭제)</t>
  </si>
  <si>
    <t>맵 삭제 확인 팝업에서 취소 버튼 터치 시, 팝업이 닫히고 선택 맵 메인 화면이 유지된다.</t>
  </si>
  <si>
    <t>맵 삭제 확인 팝업에서 확인 버튼 터치 시, 해당 맵이 삭제되고 만들기 모드 메인 화면으로 전환된다.</t>
  </si>
  <si>
    <t>선택 맵 메인 화면 우측 상단 닫기(X) 버튼 터치 시, 만들기 모드 메인 화면으로 전환된다.</t>
  </si>
  <si>
    <t>등록 테스트</t>
  </si>
  <si>
    <t>로딩</t>
  </si>
  <si>
    <t>등록 테스트 진입 시, 로딩 화면이 출력된다.</t>
  </si>
  <si>
    <t>참고 화면: 2. 인게임 - 1. 로딩 (로딩 대시)</t>
  </si>
  <si>
    <t>로딩 완료 시, 등록 테스트 플레이 화면으로 전환된다.</t>
  </si>
  <si>
    <t>참고 화면: 2. 인게임 - 1. 로딩 / 2. 플레이</t>
  </si>
  <si>
    <t>플레이</t>
  </si>
  <si>
    <t>시작 멘트 출력</t>
  </si>
  <si>
    <t>플레이 시작 시, '시작할 때 멘트 같은 거 들어감' 영역의 시작 멘트가 출력된다.</t>
  </si>
  <si>
    <t>참고 화면: 2. 인게임 - 2. 플레이 (시작할 때 멘트 같은 거 들어감)</t>
  </si>
  <si>
    <t>진행도 UI</t>
  </si>
  <si>
    <t>플레이 화면 상단에 진행도 바, 미션 카운터(SOMETHING), 코인 수량, 점수가 출력된다.</t>
  </si>
  <si>
    <t>참고 화면: 2. 인게임 - 2. 플레이</t>
  </si>
  <si>
    <t>Jump 버튼</t>
  </si>
  <si>
    <t>플레이 화면 좌측 하단에 Jump 버튼이 출력된다.</t>
  </si>
  <si>
    <t>Slide 버튼</t>
  </si>
  <si>
    <t>플레이 화면 우측 하단에 Slide 버튼이 출력된다.</t>
  </si>
  <si>
    <t>미션 처리</t>
  </si>
  <si>
    <t>미션 성공</t>
  </si>
  <si>
    <t>완주 시 미션 지정 위치에서 미션 성공 체크 연출이 재생된다.</t>
  </si>
  <si>
    <t>참고 화면: 2. 인게임 - 완주 (완주 시 지정위치서 미션 성공 체크 후 연출)</t>
  </si>
  <si>
    <t>미션 실패</t>
  </si>
  <si>
    <t>중간에 미션 조건 미충족 시, 미션 실패 처리가 표시된다.</t>
  </si>
  <si>
    <t>참고 화면: 2. 인게임 - 중간에 미션 실패하는 경우</t>
  </si>
  <si>
    <t>종료 처리</t>
  </si>
  <si>
    <t>완주</t>
  </si>
  <si>
    <t>완주 시, 결과 화면(성공)으로 전환된다.</t>
  </si>
  <si>
    <t>참고 화면: 2. 인게임 - 완주 / 3. 결과 화면 - 성공</t>
  </si>
  <si>
    <t>실패</t>
  </si>
  <si>
    <t>실패 조건 충족 시, 결과 화면(실패)으로 전환된다.</t>
  </si>
  <si>
    <t>참고 화면: 2. 인게임 - 실패 / 3. 결과 화면 - 실패</t>
  </si>
  <si>
    <t>플레이 중 캐릭터 진행 위치에 맞춰 상단 진행도 바가 갱신된다.</t>
  </si>
  <si>
    <t>결과 화면</t>
  </si>
  <si>
    <t>성공 결과</t>
  </si>
  <si>
    <t>결과 정보 출력</t>
  </si>
  <si>
    <t>완주 성공 시, 결과 화면 중앙에 SUCCESS 표시가 출력된다.</t>
  </si>
  <si>
    <t>참고 화면: 3. 결과 화면 - 성공</t>
  </si>
  <si>
    <t>성공 결과 화면 상단에 획득 점수가 출력된다.</t>
  </si>
  <si>
    <t>참고 화면: 3. 결과 화면 - 성공 (195,356,242)</t>
  </si>
  <si>
    <t>성공 결과 화면에 획득 코인 수량이 출력된다.</t>
  </si>
  <si>
    <t>참고 화면: 3. 결과 화면 - 성공 (5,400)</t>
  </si>
  <si>
    <t>미션 체크 리스트</t>
  </si>
  <si>
    <t>성공 결과 화면에 각 미션별 성공/실패 체크 리스트가 출력된다.</t>
  </si>
  <si>
    <t>참고 화면: 3. 결과 화면 - 성공 (체크 리스트)</t>
  </si>
  <si>
    <t>달성한 미션 항목 좌측에 체크 표시가 출력된다.</t>
  </si>
  <si>
    <t>등록 버튼</t>
  </si>
  <si>
    <t>성공 결과 화면 하단에 등록 버튼이 출력된다.</t>
  </si>
  <si>
    <t>참고 화면: 3. 결과 화면 - 성공 (등록 버튼)</t>
  </si>
  <si>
    <t>등록 버튼 터치 시, 해당 맵이 등록 처리되며 선택 맵 메인 화면으로 전환된다.</t>
  </si>
  <si>
    <t>참고 화면: 3. 결과 화면 - 성공 / 5. 선택 맵 메인 화면</t>
  </si>
  <si>
    <t>실패 결과</t>
  </si>
  <si>
    <t>실패 시, 결과 화면 중앙에 FAIL 표시가 출력된다.</t>
  </si>
  <si>
    <t>참고 화면: 3. 결과 화면 - 실패</t>
  </si>
  <si>
    <t>실패 결과 화면 상단에 진행 점수가 출력된다.</t>
  </si>
  <si>
    <t>실패 결과 화면에 획득 코인 수량이 출력된다.</t>
  </si>
  <si>
    <t>참고 화면: 3. 결과 화면 - 실패 (5,400)</t>
  </si>
  <si>
    <t>실패 결과 화면에 미션별 성공/실패 체크 리스트가 출력된다.</t>
  </si>
  <si>
    <t>달성하지 못한 미션 항목 좌측에 X 표시가 출력된다.</t>
  </si>
  <si>
    <t>확인 버튼</t>
  </si>
  <si>
    <t>실패 결과 화면 하단에 확인 버튼이 출력된다.</t>
  </si>
  <si>
    <t>확인 버튼 터치 시, 메인 화면(선택 맵 메인 화면)으로 전환된다.</t>
  </si>
  <si>
    <t>참고 화면: 3. 결과 화면 - 실패 (확인 시 [x] 메인 화면으로 이동)</t>
  </si>
  <si>
    <t>달리기 결과</t>
  </si>
  <si>
    <t>다시하기 버튼</t>
  </si>
  <si>
    <t>달리기 모드 진행 시의 결과 화면에 다시하기 버튼이 출력된다.</t>
  </si>
  <si>
    <t>참고 화면: 3. 결과 화면 - &lt;달리기만 진행했을 때&gt;</t>
  </si>
  <si>
    <t>달리기 모드 진행 시의 결과 화면에 닫기 버튼이 출력된다.</t>
  </si>
  <si>
    <t>결과 화면 진입 시, SUCCESS/FAIL 결과 연출 애니메이션이 재생된다.</t>
  </si>
  <si>
    <t>참고 화면: 3. 결과 화면</t>
  </si>
  <si>
    <t>맵 메이커 카드 선택 시, 카드 선택 효과음이 출력된다.</t>
  </si>
  <si>
    <t>참고 화면: 1. 모드리스트</t>
  </si>
  <si>
    <t>맵 슬롯 터치 시, 진입 효과음 및 화면 전환 연출이 재생된다.</t>
  </si>
  <si>
    <t>참고 화면: 3. 만들기 모드</t>
  </si>
  <si>
    <t>생성하기 버튼 활성화 시, 버튼 강조 색상 표시 및 터치 가능 상태로 표시된다.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</si>
</sst>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COUNTIF(I10:I99,"Pass")</f>
      </c>
      <c r="K3" t="s">
        <v>4</v>
      </c>
      <c r="L3">
        <f>COUNTIF(I10:I99,"")</f>
      </c>
      <c r="M3" s="3" t="s">
        <v>3</v>
      </c>
      <c r="N3">
        <f>COUNTIF(J10:J99,"Pass")</f>
      </c>
    </row>
    <row r="4" spans="9:14" x14ac:dyDescent="0.25">
      <c r="I4" s="4" t="s">
        <v>5</v>
      </c>
      <c r="J4">
        <f>COUNTIF(I10:I99,"N/T")</f>
      </c>
      <c r="K4" t="s">
        <v>6</v>
      </c>
      <c r="L4">
        <f>COUNTA(I10:I99)-COUNTIF(I10:I99,"")</f>
      </c>
      <c r="M4" s="4" t="s">
        <v>5</v>
      </c>
      <c r="N4">
        <f>COUNTIF(J10:J99,"N/T")</f>
      </c>
    </row>
    <row r="5" spans="9:14" x14ac:dyDescent="0.25">
      <c r="I5" s="5" t="s">
        <v>7</v>
      </c>
      <c r="J5">
        <f>COUNTIF(I10:I99,"Fail")</f>
      </c>
      <c r="K5" t="s">
        <v>8</v>
      </c>
      <c r="L5">
        <v>90</v>
      </c>
      <c r="M5" s="5" t="s">
        <v>7</v>
      </c>
      <c r="N5">
        <f>COUNTIF(J10:J99,"Fail")</f>
      </c>
    </row>
    <row r="6" spans="9:14" x14ac:dyDescent="0.25">
      <c r="I6" s="6" t="s">
        <v>9</v>
      </c>
      <c r="J6">
        <f>COUNTIF(I10:I99,"Block")</f>
      </c>
      <c r="K6" t="s">
        <v>10</v>
      </c>
      <c r="L6" s="7">
        <f>IF(L5=0,0,L4/L5)</f>
      </c>
      <c r="M6" s="6" t="s">
        <v>9</v>
      </c>
      <c r="N6">
        <f>COUNTIF(J10:J99,"Block")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26</v>
      </c>
      <c r="H11" s="13" t="s">
        <v>29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/>
      <c r="E12" s="11"/>
      <c r="F12" s="11"/>
      <c r="G12" s="12" t="s">
        <v>30</v>
      </c>
      <c r="H12" s="13" t="s">
        <v>31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0" t="s">
        <v>22</v>
      </c>
      <c r="D13" s="11"/>
      <c r="E13" s="11"/>
      <c r="F13" s="11" t="s">
        <v>32</v>
      </c>
      <c r="G13" s="12" t="s">
        <v>33</v>
      </c>
      <c r="H13" s="13" t="s">
        <v>34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5" t="s">
        <v>35</v>
      </c>
      <c r="D14" s="11"/>
      <c r="E14" s="11"/>
      <c r="F14" s="11"/>
      <c r="G14" s="12" t="s">
        <v>33</v>
      </c>
      <c r="H14" s="13" t="s">
        <v>36</v>
      </c>
      <c r="I14" s="12"/>
      <c r="J14" s="12"/>
      <c r="K14" s="12"/>
      <c r="L14" s="12"/>
      <c r="M14" s="12"/>
      <c r="N14" s="14" t="s">
        <v>28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37</v>
      </c>
      <c r="H15" s="13" t="s">
        <v>38</v>
      </c>
      <c r="I15" s="12"/>
      <c r="J15" s="12"/>
      <c r="K15" s="12"/>
      <c r="L15" s="12"/>
      <c r="M15" s="12"/>
      <c r="N15" s="14" t="s">
        <v>28</v>
      </c>
    </row>
    <row r="16" spans="2:14" x14ac:dyDescent="0.25">
      <c r="B16" s="9">
        <v>7</v>
      </c>
      <c r="C16" s="15" t="s">
        <v>35</v>
      </c>
      <c r="D16" s="11"/>
      <c r="E16" s="11"/>
      <c r="F16" s="11"/>
      <c r="G16" s="12" t="s">
        <v>33</v>
      </c>
      <c r="H16" s="13" t="s">
        <v>39</v>
      </c>
      <c r="I16" s="12"/>
      <c r="J16" s="12"/>
      <c r="K16" s="12"/>
      <c r="L16" s="12"/>
      <c r="M16" s="12"/>
      <c r="N16" s="14" t="s">
        <v>28</v>
      </c>
    </row>
    <row r="17" spans="2:14" x14ac:dyDescent="0.25">
      <c r="B17" s="9">
        <v>8</v>
      </c>
      <c r="C17" s="16" t="s">
        <v>40</v>
      </c>
      <c r="D17" s="11"/>
      <c r="E17" s="11"/>
      <c r="F17" s="11"/>
      <c r="G17" s="12" t="s">
        <v>41</v>
      </c>
      <c r="H17" s="13" t="s">
        <v>42</v>
      </c>
      <c r="I17" s="12"/>
      <c r="J17" s="12"/>
      <c r="K17" s="12"/>
      <c r="L17" s="12"/>
      <c r="M17" s="12"/>
      <c r="N17" s="14" t="s">
        <v>28</v>
      </c>
    </row>
    <row r="18" spans="2:14" x14ac:dyDescent="0.25">
      <c r="B18" s="9">
        <v>9</v>
      </c>
      <c r="C18" s="15" t="s">
        <v>35</v>
      </c>
      <c r="D18" s="11"/>
      <c r="E18" s="11"/>
      <c r="F18" s="12" t="s">
        <v>25</v>
      </c>
      <c r="G18" s="12" t="s">
        <v>43</v>
      </c>
      <c r="H18" s="13" t="s">
        <v>44</v>
      </c>
      <c r="I18" s="12"/>
      <c r="J18" s="12"/>
      <c r="K18" s="12"/>
      <c r="L18" s="12"/>
      <c r="M18" s="12"/>
      <c r="N18" s="14" t="s">
        <v>28</v>
      </c>
    </row>
    <row r="19" spans="2:14" x14ac:dyDescent="0.25">
      <c r="B19" s="9">
        <v>10</v>
      </c>
      <c r="C19" s="10" t="s">
        <v>22</v>
      </c>
      <c r="D19" s="11"/>
      <c r="E19" s="11" t="s">
        <v>45</v>
      </c>
      <c r="F19" s="11" t="s">
        <v>46</v>
      </c>
      <c r="G19" s="12" t="s">
        <v>47</v>
      </c>
      <c r="H19" s="13" t="s">
        <v>48</v>
      </c>
      <c r="I19" s="12"/>
      <c r="J19" s="12"/>
      <c r="K19" s="12"/>
      <c r="L19" s="12"/>
      <c r="M19" s="12"/>
      <c r="N19" s="14" t="s">
        <v>49</v>
      </c>
    </row>
    <row r="20" spans="2:14" x14ac:dyDescent="0.25">
      <c r="B20" s="9">
        <v>11</v>
      </c>
      <c r="C20" s="10" t="s">
        <v>22</v>
      </c>
      <c r="D20" s="11"/>
      <c r="E20" s="11"/>
      <c r="F20" s="11"/>
      <c r="G20" s="12" t="s">
        <v>50</v>
      </c>
      <c r="H20" s="13" t="s">
        <v>51</v>
      </c>
      <c r="I20" s="12"/>
      <c r="J20" s="12"/>
      <c r="K20" s="12"/>
      <c r="L20" s="12"/>
      <c r="M20" s="12"/>
      <c r="N20" s="14" t="s">
        <v>49</v>
      </c>
    </row>
    <row r="21" spans="2:14" x14ac:dyDescent="0.25">
      <c r="B21" s="9">
        <v>12</v>
      </c>
      <c r="C21" s="15" t="s">
        <v>35</v>
      </c>
      <c r="D21" s="11"/>
      <c r="E21" s="11"/>
      <c r="F21" s="11"/>
      <c r="G21" s="12" t="s">
        <v>50</v>
      </c>
      <c r="H21" s="13" t="s">
        <v>52</v>
      </c>
      <c r="I21" s="12"/>
      <c r="J21" s="12"/>
      <c r="K21" s="12"/>
      <c r="L21" s="12"/>
      <c r="M21" s="12"/>
      <c r="N21" s="14" t="s">
        <v>53</v>
      </c>
    </row>
    <row r="22" spans="2:14" x14ac:dyDescent="0.25">
      <c r="B22" s="9">
        <v>13</v>
      </c>
      <c r="C22" s="16" t="s">
        <v>40</v>
      </c>
      <c r="D22" s="11"/>
      <c r="E22" s="11"/>
      <c r="F22" s="11"/>
      <c r="G22" s="12" t="s">
        <v>47</v>
      </c>
      <c r="H22" s="13" t="s">
        <v>54</v>
      </c>
      <c r="I22" s="12"/>
      <c r="J22" s="12"/>
      <c r="K22" s="12"/>
      <c r="L22" s="12"/>
      <c r="M22" s="12"/>
      <c r="N22" s="14" t="s">
        <v>49</v>
      </c>
    </row>
    <row r="23" spans="2:14" x14ac:dyDescent="0.25">
      <c r="B23" s="9">
        <v>14</v>
      </c>
      <c r="C23" s="10" t="s">
        <v>22</v>
      </c>
      <c r="D23" s="11"/>
      <c r="E23" s="11"/>
      <c r="F23" s="12" t="s">
        <v>55</v>
      </c>
      <c r="G23" s="12" t="s">
        <v>11</v>
      </c>
      <c r="H23" s="13" t="s">
        <v>56</v>
      </c>
      <c r="I23" s="12"/>
      <c r="J23" s="12"/>
      <c r="K23" s="12"/>
      <c r="L23" s="12"/>
      <c r="M23" s="12"/>
      <c r="N23" s="14" t="s">
        <v>49</v>
      </c>
    </row>
    <row r="24" spans="2:14" x14ac:dyDescent="0.25">
      <c r="B24" s="9">
        <v>15</v>
      </c>
      <c r="C24" s="10" t="s">
        <v>22</v>
      </c>
      <c r="D24" s="11"/>
      <c r="E24" s="11" t="s">
        <v>57</v>
      </c>
      <c r="F24" s="11" t="s">
        <v>58</v>
      </c>
      <c r="G24" s="12" t="s">
        <v>59</v>
      </c>
      <c r="H24" s="13" t="s">
        <v>60</v>
      </c>
      <c r="I24" s="12"/>
      <c r="J24" s="12"/>
      <c r="K24" s="12"/>
      <c r="L24" s="12"/>
      <c r="M24" s="12"/>
      <c r="N24" s="14" t="s">
        <v>61</v>
      </c>
    </row>
    <row r="25" spans="2:14" x14ac:dyDescent="0.25">
      <c r="B25" s="9">
        <v>16</v>
      </c>
      <c r="C25" s="10" t="s">
        <v>22</v>
      </c>
      <c r="D25" s="11"/>
      <c r="E25" s="11"/>
      <c r="F25" s="11"/>
      <c r="G25" s="12" t="s">
        <v>59</v>
      </c>
      <c r="H25" s="13" t="s">
        <v>62</v>
      </c>
      <c r="I25" s="12"/>
      <c r="J25" s="12"/>
      <c r="K25" s="12"/>
      <c r="L25" s="12"/>
      <c r="M25" s="12"/>
      <c r="N25" s="14" t="s">
        <v>61</v>
      </c>
    </row>
    <row r="26" spans="2:14" x14ac:dyDescent="0.25">
      <c r="B26" s="9">
        <v>17</v>
      </c>
      <c r="C26" s="10" t="s">
        <v>22</v>
      </c>
      <c r="D26" s="11"/>
      <c r="E26" s="11"/>
      <c r="F26" s="11"/>
      <c r="G26" s="12" t="s">
        <v>63</v>
      </c>
      <c r="H26" s="13" t="s">
        <v>64</v>
      </c>
      <c r="I26" s="12"/>
      <c r="J26" s="12"/>
      <c r="K26" s="12"/>
      <c r="L26" s="12"/>
      <c r="M26" s="12"/>
      <c r="N26" s="14" t="s">
        <v>61</v>
      </c>
    </row>
    <row r="27" spans="2:14" x14ac:dyDescent="0.25">
      <c r="B27" s="9">
        <v>18</v>
      </c>
      <c r="C27" s="10" t="s">
        <v>22</v>
      </c>
      <c r="D27" s="11"/>
      <c r="E27" s="11"/>
      <c r="F27" s="11"/>
      <c r="G27" s="12" t="s">
        <v>63</v>
      </c>
      <c r="H27" s="13" t="s">
        <v>65</v>
      </c>
      <c r="I27" s="12"/>
      <c r="J27" s="12"/>
      <c r="K27" s="12"/>
      <c r="L27" s="12"/>
      <c r="M27" s="12"/>
      <c r="N27" s="14" t="s">
        <v>61</v>
      </c>
    </row>
    <row r="28" spans="2:14" x14ac:dyDescent="0.25">
      <c r="B28" s="9">
        <v>19</v>
      </c>
      <c r="C28" s="10" t="s">
        <v>22</v>
      </c>
      <c r="D28" s="11"/>
      <c r="E28" s="11"/>
      <c r="F28" s="11" t="s">
        <v>66</v>
      </c>
      <c r="G28" s="12" t="s">
        <v>67</v>
      </c>
      <c r="H28" s="13" t="s">
        <v>68</v>
      </c>
      <c r="I28" s="12"/>
      <c r="J28" s="12"/>
      <c r="K28" s="12"/>
      <c r="L28" s="12"/>
      <c r="M28" s="12"/>
      <c r="N28" s="14" t="s">
        <v>61</v>
      </c>
    </row>
    <row r="29" spans="2:14" x14ac:dyDescent="0.25">
      <c r="B29" s="9">
        <v>20</v>
      </c>
      <c r="C29" s="10" t="s">
        <v>22</v>
      </c>
      <c r="D29" s="11"/>
      <c r="E29" s="11"/>
      <c r="F29" s="11"/>
      <c r="G29" s="12" t="s">
        <v>67</v>
      </c>
      <c r="H29" s="13" t="s">
        <v>69</v>
      </c>
      <c r="I29" s="12"/>
      <c r="J29" s="12"/>
      <c r="K29" s="12"/>
      <c r="L29" s="12"/>
      <c r="M29" s="12"/>
      <c r="N29" s="14" t="s">
        <v>61</v>
      </c>
    </row>
    <row r="30" spans="2:14" x14ac:dyDescent="0.25">
      <c r="B30" s="9">
        <v>21</v>
      </c>
      <c r="C30" s="10" t="s">
        <v>22</v>
      </c>
      <c r="D30" s="11"/>
      <c r="E30" s="11"/>
      <c r="F30" s="11"/>
      <c r="G30" s="12" t="s">
        <v>70</v>
      </c>
      <c r="H30" s="13" t="s">
        <v>71</v>
      </c>
      <c r="I30" s="12"/>
      <c r="J30" s="12"/>
      <c r="K30" s="12"/>
      <c r="L30" s="12"/>
      <c r="M30" s="12"/>
      <c r="N30" s="14" t="s">
        <v>61</v>
      </c>
    </row>
    <row r="31" spans="2:14" x14ac:dyDescent="0.25">
      <c r="B31" s="9">
        <v>22</v>
      </c>
      <c r="C31" s="10" t="s">
        <v>22</v>
      </c>
      <c r="D31" s="11"/>
      <c r="E31" s="11"/>
      <c r="F31" s="12" t="s">
        <v>72</v>
      </c>
      <c r="G31" s="12" t="s">
        <v>11</v>
      </c>
      <c r="H31" s="13" t="s">
        <v>73</v>
      </c>
      <c r="I31" s="12"/>
      <c r="J31" s="12"/>
      <c r="K31" s="12"/>
      <c r="L31" s="12"/>
      <c r="M31" s="12"/>
      <c r="N31" s="14" t="s">
        <v>61</v>
      </c>
    </row>
    <row r="32" spans="2:14" x14ac:dyDescent="0.25">
      <c r="B32" s="9">
        <v>23</v>
      </c>
      <c r="C32" s="16" t="s">
        <v>40</v>
      </c>
      <c r="D32" s="11"/>
      <c r="E32" s="11"/>
      <c r="F32" s="12" t="s">
        <v>66</v>
      </c>
      <c r="G32" s="12" t="s">
        <v>74</v>
      </c>
      <c r="H32" s="13" t="s">
        <v>75</v>
      </c>
      <c r="I32" s="12"/>
      <c r="J32" s="12"/>
      <c r="K32" s="12"/>
      <c r="L32" s="12"/>
      <c r="M32" s="12"/>
      <c r="N32" s="14" t="s">
        <v>76</v>
      </c>
    </row>
    <row r="33" spans="2:14" x14ac:dyDescent="0.25">
      <c r="B33" s="9">
        <v>24</v>
      </c>
      <c r="C33" s="16" t="s">
        <v>40</v>
      </c>
      <c r="D33" s="11"/>
      <c r="E33" s="11"/>
      <c r="F33" s="12" t="s">
        <v>72</v>
      </c>
      <c r="G33" s="12" t="s">
        <v>77</v>
      </c>
      <c r="H33" s="13" t="s">
        <v>78</v>
      </c>
      <c r="I33" s="12"/>
      <c r="J33" s="12"/>
      <c r="K33" s="12"/>
      <c r="L33" s="12"/>
      <c r="M33" s="12"/>
      <c r="N33" s="14" t="s">
        <v>79</v>
      </c>
    </row>
    <row r="34" spans="2:14" x14ac:dyDescent="0.25">
      <c r="B34" s="9">
        <v>25</v>
      </c>
      <c r="C34" s="10" t="s">
        <v>22</v>
      </c>
      <c r="D34" s="11"/>
      <c r="E34" s="11" t="s">
        <v>80</v>
      </c>
      <c r="F34" s="11" t="s">
        <v>81</v>
      </c>
      <c r="G34" s="12" t="s">
        <v>82</v>
      </c>
      <c r="H34" s="13" t="s">
        <v>83</v>
      </c>
      <c r="I34" s="12"/>
      <c r="J34" s="12"/>
      <c r="K34" s="12"/>
      <c r="L34" s="12"/>
      <c r="M34" s="12"/>
      <c r="N34" s="14" t="s">
        <v>84</v>
      </c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82</v>
      </c>
      <c r="H35" s="13" t="s">
        <v>85</v>
      </c>
      <c r="I35" s="12"/>
      <c r="J35" s="12"/>
      <c r="K35" s="12"/>
      <c r="L35" s="12"/>
      <c r="M35" s="12"/>
      <c r="N35" s="14" t="s">
        <v>84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86</v>
      </c>
      <c r="H36" s="13" t="s">
        <v>87</v>
      </c>
      <c r="I36" s="12"/>
      <c r="J36" s="12"/>
      <c r="K36" s="12"/>
      <c r="L36" s="12"/>
      <c r="M36" s="12"/>
      <c r="N36" s="14" t="s">
        <v>84</v>
      </c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86</v>
      </c>
      <c r="H37" s="13" t="s">
        <v>88</v>
      </c>
      <c r="I37" s="12"/>
      <c r="J37" s="12"/>
      <c r="K37" s="12"/>
      <c r="L37" s="12"/>
      <c r="M37" s="12"/>
      <c r="N37" s="14" t="s">
        <v>84</v>
      </c>
    </row>
    <row r="38" spans="2:14" x14ac:dyDescent="0.25">
      <c r="B38" s="9">
        <v>29</v>
      </c>
      <c r="C38" s="10" t="s">
        <v>22</v>
      </c>
      <c r="D38" s="11"/>
      <c r="E38" s="11"/>
      <c r="F38" s="11"/>
      <c r="G38" s="12" t="s">
        <v>89</v>
      </c>
      <c r="H38" s="13" t="s">
        <v>90</v>
      </c>
      <c r="I38" s="12"/>
      <c r="J38" s="12"/>
      <c r="K38" s="12"/>
      <c r="L38" s="12"/>
      <c r="M38" s="12"/>
      <c r="N38" s="14" t="s">
        <v>84</v>
      </c>
    </row>
    <row r="39" spans="2:14" x14ac:dyDescent="0.25">
      <c r="B39" s="9">
        <v>30</v>
      </c>
      <c r="C39" s="10" t="s">
        <v>22</v>
      </c>
      <c r="D39" s="11"/>
      <c r="E39" s="11"/>
      <c r="F39" s="11"/>
      <c r="G39" s="12" t="s">
        <v>89</v>
      </c>
      <c r="H39" s="13" t="s">
        <v>91</v>
      </c>
      <c r="I39" s="12"/>
      <c r="J39" s="12"/>
      <c r="K39" s="12"/>
      <c r="L39" s="12"/>
      <c r="M39" s="12"/>
      <c r="N39" s="14" t="s">
        <v>92</v>
      </c>
    </row>
    <row r="40" spans="2:14" x14ac:dyDescent="0.25">
      <c r="B40" s="9">
        <v>31</v>
      </c>
      <c r="C40" s="10" t="s">
        <v>22</v>
      </c>
      <c r="D40" s="11"/>
      <c r="E40" s="11"/>
      <c r="F40" s="11"/>
      <c r="G40" s="12" t="s">
        <v>89</v>
      </c>
      <c r="H40" s="13" t="s">
        <v>93</v>
      </c>
      <c r="I40" s="12"/>
      <c r="J40" s="12"/>
      <c r="K40" s="12"/>
      <c r="L40" s="12"/>
      <c r="M40" s="12"/>
      <c r="N40" s="14" t="s">
        <v>84</v>
      </c>
    </row>
    <row r="41" spans="2:14" x14ac:dyDescent="0.25">
      <c r="B41" s="9">
        <v>32</v>
      </c>
      <c r="C41" s="15" t="s">
        <v>35</v>
      </c>
      <c r="D41" s="11"/>
      <c r="E41" s="11"/>
      <c r="F41" s="11"/>
      <c r="G41" s="12" t="s">
        <v>94</v>
      </c>
      <c r="H41" s="13" t="s">
        <v>95</v>
      </c>
      <c r="I41" s="12"/>
      <c r="J41" s="12"/>
      <c r="K41" s="12"/>
      <c r="L41" s="12"/>
      <c r="M41" s="12"/>
      <c r="N41" s="14" t="s">
        <v>96</v>
      </c>
    </row>
    <row r="42" spans="2:14" x14ac:dyDescent="0.25">
      <c r="B42" s="9">
        <v>33</v>
      </c>
      <c r="C42" s="10" t="s">
        <v>22</v>
      </c>
      <c r="D42" s="11"/>
      <c r="E42" s="11"/>
      <c r="F42" s="11"/>
      <c r="G42" s="12" t="s">
        <v>97</v>
      </c>
      <c r="H42" s="13" t="s">
        <v>98</v>
      </c>
      <c r="I42" s="12"/>
      <c r="J42" s="12"/>
      <c r="K42" s="12"/>
      <c r="L42" s="12"/>
      <c r="M42" s="12"/>
      <c r="N42" s="14" t="s">
        <v>99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100</v>
      </c>
      <c r="H43" s="13" t="s">
        <v>101</v>
      </c>
      <c r="I43" s="12"/>
      <c r="J43" s="12"/>
      <c r="K43" s="12"/>
      <c r="L43" s="12"/>
      <c r="M43" s="12"/>
      <c r="N43" s="14" t="s">
        <v>102</v>
      </c>
    </row>
    <row r="44" spans="2:14" x14ac:dyDescent="0.25">
      <c r="B44" s="9">
        <v>35</v>
      </c>
      <c r="C44" s="16" t="s">
        <v>40</v>
      </c>
      <c r="D44" s="11"/>
      <c r="E44" s="11"/>
      <c r="F44" s="11"/>
      <c r="G44" s="12" t="s">
        <v>100</v>
      </c>
      <c r="H44" s="13" t="s">
        <v>103</v>
      </c>
      <c r="I44" s="12"/>
      <c r="J44" s="12"/>
      <c r="K44" s="12"/>
      <c r="L44" s="12"/>
      <c r="M44" s="12"/>
      <c r="N44" s="14" t="s">
        <v>104</v>
      </c>
    </row>
    <row r="45" spans="2:14" x14ac:dyDescent="0.25">
      <c r="B45" s="9">
        <v>36</v>
      </c>
      <c r="C45" s="10" t="s">
        <v>22</v>
      </c>
      <c r="D45" s="11"/>
      <c r="E45" s="11"/>
      <c r="F45" s="11" t="s">
        <v>105</v>
      </c>
      <c r="G45" s="12" t="s">
        <v>106</v>
      </c>
      <c r="H45" s="13" t="s">
        <v>107</v>
      </c>
      <c r="I45" s="12"/>
      <c r="J45" s="12"/>
      <c r="K45" s="12"/>
      <c r="L45" s="12"/>
      <c r="M45" s="12"/>
      <c r="N45" s="14" t="s">
        <v>108</v>
      </c>
    </row>
    <row r="46" spans="2:14" x14ac:dyDescent="0.25">
      <c r="B46" s="9">
        <v>37</v>
      </c>
      <c r="C46" s="15" t="s">
        <v>35</v>
      </c>
      <c r="D46" s="11"/>
      <c r="E46" s="11"/>
      <c r="F46" s="11"/>
      <c r="G46" s="12" t="s">
        <v>106</v>
      </c>
      <c r="H46" s="13" t="s">
        <v>109</v>
      </c>
      <c r="I46" s="12"/>
      <c r="J46" s="12"/>
      <c r="K46" s="12"/>
      <c r="L46" s="12"/>
      <c r="M46" s="12"/>
      <c r="N46" s="14" t="s">
        <v>108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110</v>
      </c>
      <c r="H47" s="13" t="s">
        <v>111</v>
      </c>
      <c r="I47" s="12"/>
      <c r="J47" s="12"/>
      <c r="K47" s="12"/>
      <c r="L47" s="12"/>
      <c r="M47" s="12"/>
      <c r="N47" s="14" t="s">
        <v>108</v>
      </c>
    </row>
    <row r="48" spans="2:14" x14ac:dyDescent="0.25">
      <c r="B48" s="9">
        <v>39</v>
      </c>
      <c r="C48" s="10" t="s">
        <v>22</v>
      </c>
      <c r="D48" s="11"/>
      <c r="E48" s="11"/>
      <c r="F48" s="11"/>
      <c r="G48" s="12" t="s">
        <v>112</v>
      </c>
      <c r="H48" s="13" t="s">
        <v>113</v>
      </c>
      <c r="I48" s="12"/>
      <c r="J48" s="12"/>
      <c r="K48" s="12"/>
      <c r="L48" s="12"/>
      <c r="M48" s="12"/>
      <c r="N48" s="14" t="s">
        <v>114</v>
      </c>
    </row>
    <row r="49" spans="2:14" x14ac:dyDescent="0.25">
      <c r="B49" s="9">
        <v>40</v>
      </c>
      <c r="C49" s="15" t="s">
        <v>35</v>
      </c>
      <c r="D49" s="11"/>
      <c r="E49" s="11"/>
      <c r="F49" s="11" t="s">
        <v>55</v>
      </c>
      <c r="G49" s="12" t="s">
        <v>11</v>
      </c>
      <c r="H49" s="13" t="s">
        <v>115</v>
      </c>
      <c r="I49" s="12"/>
      <c r="J49" s="12"/>
      <c r="K49" s="12"/>
      <c r="L49" s="12"/>
      <c r="M49" s="12"/>
      <c r="N49" s="14" t="s">
        <v>116</v>
      </c>
    </row>
    <row r="50" spans="2:14" x14ac:dyDescent="0.25">
      <c r="B50" s="9">
        <v>41</v>
      </c>
      <c r="C50" s="15" t="s">
        <v>35</v>
      </c>
      <c r="D50" s="11"/>
      <c r="E50" s="11"/>
      <c r="F50" s="11"/>
      <c r="G50" s="12" t="s">
        <v>11</v>
      </c>
      <c r="H50" s="13" t="s">
        <v>117</v>
      </c>
      <c r="I50" s="12"/>
      <c r="J50" s="12"/>
      <c r="K50" s="12"/>
      <c r="L50" s="12"/>
      <c r="M50" s="12"/>
      <c r="N50" s="14" t="s">
        <v>116</v>
      </c>
    </row>
    <row r="51" spans="2:14" x14ac:dyDescent="0.25">
      <c r="B51" s="9">
        <v>42</v>
      </c>
      <c r="C51" s="10" t="s">
        <v>22</v>
      </c>
      <c r="D51" s="11"/>
      <c r="E51" s="11" t="s">
        <v>118</v>
      </c>
      <c r="F51" s="11" t="s">
        <v>25</v>
      </c>
      <c r="G51" s="12" t="s">
        <v>119</v>
      </c>
      <c r="H51" s="13" t="s">
        <v>120</v>
      </c>
      <c r="I51" s="12"/>
      <c r="J51" s="12"/>
      <c r="K51" s="12"/>
      <c r="L51" s="12"/>
      <c r="M51" s="12"/>
      <c r="N51" s="14" t="s">
        <v>121</v>
      </c>
    </row>
    <row r="52" spans="2:14" x14ac:dyDescent="0.25">
      <c r="B52" s="9">
        <v>43</v>
      </c>
      <c r="C52" s="10" t="s">
        <v>22</v>
      </c>
      <c r="D52" s="11"/>
      <c r="E52" s="11"/>
      <c r="F52" s="11"/>
      <c r="G52" s="12" t="s">
        <v>122</v>
      </c>
      <c r="H52" s="13" t="s">
        <v>123</v>
      </c>
      <c r="I52" s="12"/>
      <c r="J52" s="12"/>
      <c r="K52" s="12"/>
      <c r="L52" s="12"/>
      <c r="M52" s="12"/>
      <c r="N52" s="14" t="s">
        <v>121</v>
      </c>
    </row>
    <row r="53" spans="2:14" x14ac:dyDescent="0.25">
      <c r="B53" s="9">
        <v>44</v>
      </c>
      <c r="C53" s="15" t="s">
        <v>35</v>
      </c>
      <c r="D53" s="11"/>
      <c r="E53" s="11"/>
      <c r="F53" s="11"/>
      <c r="G53" s="12" t="s">
        <v>122</v>
      </c>
      <c r="H53" s="13" t="s">
        <v>124</v>
      </c>
      <c r="I53" s="12"/>
      <c r="J53" s="12"/>
      <c r="K53" s="12"/>
      <c r="L53" s="12"/>
      <c r="M53" s="12"/>
      <c r="N53" s="14" t="s">
        <v>121</v>
      </c>
    </row>
    <row r="54" spans="2:14" x14ac:dyDescent="0.25">
      <c r="B54" s="9">
        <v>45</v>
      </c>
      <c r="C54" s="10" t="s">
        <v>22</v>
      </c>
      <c r="D54" s="11"/>
      <c r="E54" s="11"/>
      <c r="F54" s="11" t="s">
        <v>125</v>
      </c>
      <c r="G54" s="12" t="s">
        <v>126</v>
      </c>
      <c r="H54" s="13" t="s">
        <v>127</v>
      </c>
      <c r="I54" s="12"/>
      <c r="J54" s="12"/>
      <c r="K54" s="12"/>
      <c r="L54" s="12"/>
      <c r="M54" s="12"/>
      <c r="N54" s="14" t="s">
        <v>121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128</v>
      </c>
      <c r="H55" s="13" t="s">
        <v>129</v>
      </c>
      <c r="I55" s="12"/>
      <c r="J55" s="12"/>
      <c r="K55" s="12"/>
      <c r="L55" s="12"/>
      <c r="M55" s="12"/>
      <c r="N55" s="14" t="s">
        <v>130</v>
      </c>
    </row>
    <row r="56" spans="2:14" x14ac:dyDescent="0.25">
      <c r="B56" s="9">
        <v>47</v>
      </c>
      <c r="C56" s="10" t="s">
        <v>22</v>
      </c>
      <c r="D56" s="11"/>
      <c r="E56" s="11"/>
      <c r="F56" s="11"/>
      <c r="G56" s="12" t="s">
        <v>128</v>
      </c>
      <c r="H56" s="13" t="s">
        <v>131</v>
      </c>
      <c r="I56" s="12"/>
      <c r="J56" s="12"/>
      <c r="K56" s="12"/>
      <c r="L56" s="12"/>
      <c r="M56" s="12"/>
      <c r="N56" s="14" t="s">
        <v>132</v>
      </c>
    </row>
    <row r="57" spans="2:14" x14ac:dyDescent="0.25">
      <c r="B57" s="9">
        <v>48</v>
      </c>
      <c r="C57" s="10" t="s">
        <v>22</v>
      </c>
      <c r="D57" s="11"/>
      <c r="E57" s="11"/>
      <c r="F57" s="11" t="s">
        <v>133</v>
      </c>
      <c r="G57" s="12" t="s">
        <v>134</v>
      </c>
      <c r="H57" s="13" t="s">
        <v>135</v>
      </c>
      <c r="I57" s="12"/>
      <c r="J57" s="12"/>
      <c r="K57" s="12"/>
      <c r="L57" s="12"/>
      <c r="M57" s="12"/>
      <c r="N57" s="14" t="s">
        <v>136</v>
      </c>
    </row>
    <row r="58" spans="2:14" x14ac:dyDescent="0.25">
      <c r="B58" s="9">
        <v>49</v>
      </c>
      <c r="C58" s="10" t="s">
        <v>22</v>
      </c>
      <c r="D58" s="11"/>
      <c r="E58" s="11"/>
      <c r="F58" s="11"/>
      <c r="G58" s="12" t="s">
        <v>137</v>
      </c>
      <c r="H58" s="13" t="s">
        <v>138</v>
      </c>
      <c r="I58" s="12"/>
      <c r="J58" s="12"/>
      <c r="K58" s="12"/>
      <c r="L58" s="12"/>
      <c r="M58" s="12"/>
      <c r="N58" s="14" t="s">
        <v>139</v>
      </c>
    </row>
    <row r="59" spans="2:14" x14ac:dyDescent="0.25">
      <c r="B59" s="9">
        <v>50</v>
      </c>
      <c r="C59" s="10" t="s">
        <v>22</v>
      </c>
      <c r="D59" s="11"/>
      <c r="E59" s="11"/>
      <c r="F59" s="11" t="s">
        <v>140</v>
      </c>
      <c r="G59" s="12" t="s">
        <v>141</v>
      </c>
      <c r="H59" s="13" t="s">
        <v>142</v>
      </c>
      <c r="I59" s="12"/>
      <c r="J59" s="12"/>
      <c r="K59" s="12"/>
      <c r="L59" s="12"/>
      <c r="M59" s="12"/>
      <c r="N59" s="14" t="s">
        <v>143</v>
      </c>
    </row>
    <row r="60" spans="2:14" x14ac:dyDescent="0.25">
      <c r="B60" s="9">
        <v>51</v>
      </c>
      <c r="C60" s="10" t="s">
        <v>22</v>
      </c>
      <c r="D60" s="11"/>
      <c r="E60" s="11"/>
      <c r="F60" s="11"/>
      <c r="G60" s="12" t="s">
        <v>141</v>
      </c>
      <c r="H60" s="13" t="s">
        <v>144</v>
      </c>
      <c r="I60" s="12"/>
      <c r="J60" s="12"/>
      <c r="K60" s="12"/>
      <c r="L60" s="12"/>
      <c r="M60" s="12"/>
      <c r="N60" s="14" t="s">
        <v>145</v>
      </c>
    </row>
    <row r="61" spans="2:14" x14ac:dyDescent="0.25">
      <c r="B61" s="9">
        <v>52</v>
      </c>
      <c r="C61" s="10" t="s">
        <v>22</v>
      </c>
      <c r="D61" s="11"/>
      <c r="E61" s="11"/>
      <c r="F61" s="11" t="s">
        <v>146</v>
      </c>
      <c r="G61" s="12" t="s">
        <v>11</v>
      </c>
      <c r="H61" s="13" t="s">
        <v>147</v>
      </c>
      <c r="I61" s="12"/>
      <c r="J61" s="12"/>
      <c r="K61" s="12"/>
      <c r="L61" s="12"/>
      <c r="M61" s="12"/>
      <c r="N61" s="14" t="s">
        <v>148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11</v>
      </c>
      <c r="H62" s="13" t="s">
        <v>149</v>
      </c>
      <c r="I62" s="12"/>
      <c r="J62" s="12"/>
      <c r="K62" s="12"/>
      <c r="L62" s="12"/>
      <c r="M62" s="12"/>
      <c r="N62" s="14" t="s">
        <v>121</v>
      </c>
    </row>
    <row r="63" spans="2:14" x14ac:dyDescent="0.25">
      <c r="B63" s="9">
        <v>54</v>
      </c>
      <c r="C63" s="16" t="s">
        <v>40</v>
      </c>
      <c r="D63" s="11"/>
      <c r="E63" s="11"/>
      <c r="F63" s="12" t="s">
        <v>150</v>
      </c>
      <c r="G63" s="12" t="s">
        <v>11</v>
      </c>
      <c r="H63" s="13" t="s">
        <v>151</v>
      </c>
      <c r="I63" s="12"/>
      <c r="J63" s="12"/>
      <c r="K63" s="12"/>
      <c r="L63" s="12"/>
      <c r="M63" s="12"/>
      <c r="N63" s="14" t="s">
        <v>152</v>
      </c>
    </row>
    <row r="64" spans="2:14" x14ac:dyDescent="0.25">
      <c r="B64" s="9">
        <v>55</v>
      </c>
      <c r="C64" s="16" t="s">
        <v>40</v>
      </c>
      <c r="D64" s="11"/>
      <c r="E64" s="11"/>
      <c r="F64" s="12" t="s">
        <v>153</v>
      </c>
      <c r="G64" s="12" t="s">
        <v>11</v>
      </c>
      <c r="H64" s="13" t="s">
        <v>154</v>
      </c>
      <c r="I64" s="12"/>
      <c r="J64" s="12"/>
      <c r="K64" s="12"/>
      <c r="L64" s="12"/>
      <c r="M64" s="12"/>
      <c r="N64" s="14" t="s">
        <v>155</v>
      </c>
    </row>
    <row r="65" spans="2:14" x14ac:dyDescent="0.25">
      <c r="B65" s="9">
        <v>56</v>
      </c>
      <c r="C65" s="10" t="s">
        <v>22</v>
      </c>
      <c r="D65" s="11"/>
      <c r="E65" s="11"/>
      <c r="F65" s="11" t="s">
        <v>25</v>
      </c>
      <c r="G65" s="12" t="s">
        <v>156</v>
      </c>
      <c r="H65" s="13" t="s">
        <v>157</v>
      </c>
      <c r="I65" s="12"/>
      <c r="J65" s="12"/>
      <c r="K65" s="12"/>
      <c r="L65" s="12"/>
      <c r="M65" s="12"/>
      <c r="N65" s="14" t="s">
        <v>158</v>
      </c>
    </row>
    <row r="66" spans="2:14" x14ac:dyDescent="0.25">
      <c r="B66" s="9">
        <v>57</v>
      </c>
      <c r="C66" s="10" t="s">
        <v>22</v>
      </c>
      <c r="D66" s="11"/>
      <c r="E66" s="11"/>
      <c r="F66" s="11"/>
      <c r="G66" s="12" t="s">
        <v>156</v>
      </c>
      <c r="H66" s="13" t="s">
        <v>159</v>
      </c>
      <c r="I66" s="12"/>
      <c r="J66" s="12"/>
      <c r="K66" s="12"/>
      <c r="L66" s="12"/>
      <c r="M66" s="12"/>
      <c r="N66" s="14" t="s">
        <v>121</v>
      </c>
    </row>
    <row r="67" spans="2:14" x14ac:dyDescent="0.25">
      <c r="B67" s="9">
        <v>58</v>
      </c>
      <c r="C67" s="16" t="s">
        <v>40</v>
      </c>
      <c r="D67" s="11"/>
      <c r="E67" s="11"/>
      <c r="F67" s="11"/>
      <c r="G67" s="12" t="s">
        <v>156</v>
      </c>
      <c r="H67" s="13" t="s">
        <v>160</v>
      </c>
      <c r="I67" s="12"/>
      <c r="J67" s="12"/>
      <c r="K67" s="12"/>
      <c r="L67" s="12"/>
      <c r="M67" s="12"/>
      <c r="N67" s="14" t="s">
        <v>121</v>
      </c>
    </row>
    <row r="68" spans="2:14" x14ac:dyDescent="0.25">
      <c r="B68" s="9">
        <v>59</v>
      </c>
      <c r="C68" s="15" t="s">
        <v>35</v>
      </c>
      <c r="D68" s="11"/>
      <c r="E68" s="11"/>
      <c r="F68" s="11"/>
      <c r="G68" s="12" t="s">
        <v>43</v>
      </c>
      <c r="H68" s="13" t="s">
        <v>161</v>
      </c>
      <c r="I68" s="12"/>
      <c r="J68" s="12"/>
      <c r="K68" s="12"/>
      <c r="L68" s="12"/>
      <c r="M68" s="12"/>
      <c r="N68" s="14" t="s">
        <v>121</v>
      </c>
    </row>
    <row r="69" spans="2:14" x14ac:dyDescent="0.25">
      <c r="B69" s="9">
        <v>60</v>
      </c>
      <c r="C69" s="10" t="s">
        <v>22</v>
      </c>
      <c r="D69" s="11"/>
      <c r="E69" s="11" t="s">
        <v>162</v>
      </c>
      <c r="F69" s="11" t="s">
        <v>163</v>
      </c>
      <c r="G69" s="12" t="s">
        <v>11</v>
      </c>
      <c r="H69" s="13" t="s">
        <v>164</v>
      </c>
      <c r="I69" s="12"/>
      <c r="J69" s="12"/>
      <c r="K69" s="12"/>
      <c r="L69" s="12"/>
      <c r="M69" s="12"/>
      <c r="N69" s="14" t="s">
        <v>165</v>
      </c>
    </row>
    <row r="70" spans="2:14" x14ac:dyDescent="0.25">
      <c r="B70" s="9">
        <v>61</v>
      </c>
      <c r="C70" s="16" t="s">
        <v>40</v>
      </c>
      <c r="D70" s="11"/>
      <c r="E70" s="11"/>
      <c r="F70" s="11"/>
      <c r="G70" s="12" t="s">
        <v>11</v>
      </c>
      <c r="H70" s="13" t="s">
        <v>166</v>
      </c>
      <c r="I70" s="12"/>
      <c r="J70" s="12"/>
      <c r="K70" s="12"/>
      <c r="L70" s="12"/>
      <c r="M70" s="12"/>
      <c r="N70" s="14" t="s">
        <v>167</v>
      </c>
    </row>
    <row r="71" spans="2:14" x14ac:dyDescent="0.25">
      <c r="B71" s="9">
        <v>62</v>
      </c>
      <c r="C71" s="15" t="s">
        <v>35</v>
      </c>
      <c r="D71" s="11"/>
      <c r="E71" s="11"/>
      <c r="F71" s="11" t="s">
        <v>168</v>
      </c>
      <c r="G71" s="12" t="s">
        <v>169</v>
      </c>
      <c r="H71" s="13" t="s">
        <v>170</v>
      </c>
      <c r="I71" s="12"/>
      <c r="J71" s="12"/>
      <c r="K71" s="12"/>
      <c r="L71" s="12"/>
      <c r="M71" s="12"/>
      <c r="N71" s="14" t="s">
        <v>171</v>
      </c>
    </row>
    <row r="72" spans="2:14" x14ac:dyDescent="0.25">
      <c r="B72" s="9">
        <v>63</v>
      </c>
      <c r="C72" s="10" t="s">
        <v>22</v>
      </c>
      <c r="D72" s="11"/>
      <c r="E72" s="11"/>
      <c r="F72" s="11"/>
      <c r="G72" s="12" t="s">
        <v>172</v>
      </c>
      <c r="H72" s="13" t="s">
        <v>173</v>
      </c>
      <c r="I72" s="12"/>
      <c r="J72" s="12"/>
      <c r="K72" s="12"/>
      <c r="L72" s="12"/>
      <c r="M72" s="12"/>
      <c r="N72" s="14" t="s">
        <v>174</v>
      </c>
    </row>
    <row r="73" spans="2:14" x14ac:dyDescent="0.25">
      <c r="B73" s="9">
        <v>64</v>
      </c>
      <c r="C73" s="10" t="s">
        <v>22</v>
      </c>
      <c r="D73" s="11"/>
      <c r="E73" s="11"/>
      <c r="F73" s="11"/>
      <c r="G73" s="12" t="s">
        <v>175</v>
      </c>
      <c r="H73" s="13" t="s">
        <v>176</v>
      </c>
      <c r="I73" s="12"/>
      <c r="J73" s="12"/>
      <c r="K73" s="12"/>
      <c r="L73" s="12"/>
      <c r="M73" s="12"/>
      <c r="N73" s="14" t="s">
        <v>174</v>
      </c>
    </row>
    <row r="74" spans="2:14" x14ac:dyDescent="0.25">
      <c r="B74" s="9">
        <v>65</v>
      </c>
      <c r="C74" s="10" t="s">
        <v>22</v>
      </c>
      <c r="D74" s="11"/>
      <c r="E74" s="11"/>
      <c r="F74" s="11"/>
      <c r="G74" s="12" t="s">
        <v>177</v>
      </c>
      <c r="H74" s="13" t="s">
        <v>178</v>
      </c>
      <c r="I74" s="12"/>
      <c r="J74" s="12"/>
      <c r="K74" s="12"/>
      <c r="L74" s="12"/>
      <c r="M74" s="12"/>
      <c r="N74" s="14" t="s">
        <v>174</v>
      </c>
    </row>
    <row r="75" spans="2:14" x14ac:dyDescent="0.25">
      <c r="B75" s="9">
        <v>66</v>
      </c>
      <c r="C75" s="15" t="s">
        <v>35</v>
      </c>
      <c r="D75" s="11"/>
      <c r="E75" s="11"/>
      <c r="F75" s="11" t="s">
        <v>179</v>
      </c>
      <c r="G75" s="12" t="s">
        <v>180</v>
      </c>
      <c r="H75" s="13" t="s">
        <v>181</v>
      </c>
      <c r="I75" s="12"/>
      <c r="J75" s="12"/>
      <c r="K75" s="12"/>
      <c r="L75" s="12"/>
      <c r="M75" s="12"/>
      <c r="N75" s="14" t="s">
        <v>182</v>
      </c>
    </row>
    <row r="76" spans="2:14" x14ac:dyDescent="0.25">
      <c r="B76" s="9">
        <v>67</v>
      </c>
      <c r="C76" s="10" t="s">
        <v>22</v>
      </c>
      <c r="D76" s="11"/>
      <c r="E76" s="11"/>
      <c r="F76" s="11"/>
      <c r="G76" s="12" t="s">
        <v>183</v>
      </c>
      <c r="H76" s="13" t="s">
        <v>184</v>
      </c>
      <c r="I76" s="12"/>
      <c r="J76" s="12"/>
      <c r="K76" s="12"/>
      <c r="L76" s="12"/>
      <c r="M76" s="12"/>
      <c r="N76" s="14" t="s">
        <v>185</v>
      </c>
    </row>
    <row r="77" spans="2:14" x14ac:dyDescent="0.25">
      <c r="B77" s="9">
        <v>68</v>
      </c>
      <c r="C77" s="16" t="s">
        <v>40</v>
      </c>
      <c r="D77" s="11"/>
      <c r="E77" s="11"/>
      <c r="F77" s="11" t="s">
        <v>186</v>
      </c>
      <c r="G77" s="12" t="s">
        <v>187</v>
      </c>
      <c r="H77" s="13" t="s">
        <v>188</v>
      </c>
      <c r="I77" s="12"/>
      <c r="J77" s="12"/>
      <c r="K77" s="12"/>
      <c r="L77" s="12"/>
      <c r="M77" s="12"/>
      <c r="N77" s="14" t="s">
        <v>189</v>
      </c>
    </row>
    <row r="78" spans="2:14" x14ac:dyDescent="0.25">
      <c r="B78" s="9">
        <v>69</v>
      </c>
      <c r="C78" s="16" t="s">
        <v>40</v>
      </c>
      <c r="D78" s="11"/>
      <c r="E78" s="11"/>
      <c r="F78" s="11"/>
      <c r="G78" s="12" t="s">
        <v>190</v>
      </c>
      <c r="H78" s="13" t="s">
        <v>191</v>
      </c>
      <c r="I78" s="12"/>
      <c r="J78" s="12"/>
      <c r="K78" s="12"/>
      <c r="L78" s="12"/>
      <c r="M78" s="12"/>
      <c r="N78" s="14" t="s">
        <v>192</v>
      </c>
    </row>
    <row r="79" spans="2:14" x14ac:dyDescent="0.25">
      <c r="B79" s="9">
        <v>70</v>
      </c>
      <c r="C79" s="15" t="s">
        <v>35</v>
      </c>
      <c r="D79" s="11"/>
      <c r="E79" s="11"/>
      <c r="F79" s="12" t="s">
        <v>168</v>
      </c>
      <c r="G79" s="12" t="s">
        <v>172</v>
      </c>
      <c r="H79" s="13" t="s">
        <v>193</v>
      </c>
      <c r="I79" s="12"/>
      <c r="J79" s="12"/>
      <c r="K79" s="12"/>
      <c r="L79" s="12"/>
      <c r="M79" s="12"/>
      <c r="N79" s="14" t="s">
        <v>174</v>
      </c>
    </row>
    <row r="80" spans="2:14" x14ac:dyDescent="0.25">
      <c r="B80" s="9">
        <v>71</v>
      </c>
      <c r="C80" s="10" t="s">
        <v>22</v>
      </c>
      <c r="D80" s="11"/>
      <c r="E80" s="11" t="s">
        <v>194</v>
      </c>
      <c r="F80" s="11" t="s">
        <v>195</v>
      </c>
      <c r="G80" s="12" t="s">
        <v>196</v>
      </c>
      <c r="H80" s="13" t="s">
        <v>197</v>
      </c>
      <c r="I80" s="12"/>
      <c r="J80" s="12"/>
      <c r="K80" s="12"/>
      <c r="L80" s="12"/>
      <c r="M80" s="12"/>
      <c r="N80" s="14" t="s">
        <v>198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196</v>
      </c>
      <c r="H81" s="13" t="s">
        <v>199</v>
      </c>
      <c r="I81" s="12"/>
      <c r="J81" s="12"/>
      <c r="K81" s="12"/>
      <c r="L81" s="12"/>
      <c r="M81" s="12"/>
      <c r="N81" s="14" t="s">
        <v>200</v>
      </c>
    </row>
    <row r="82" spans="2:14" x14ac:dyDescent="0.25">
      <c r="B82" s="9">
        <v>73</v>
      </c>
      <c r="C82" s="10" t="s">
        <v>22</v>
      </c>
      <c r="D82" s="11"/>
      <c r="E82" s="11"/>
      <c r="F82" s="11"/>
      <c r="G82" s="12" t="s">
        <v>196</v>
      </c>
      <c r="H82" s="13" t="s">
        <v>201</v>
      </c>
      <c r="I82" s="12"/>
      <c r="J82" s="12"/>
      <c r="K82" s="12"/>
      <c r="L82" s="12"/>
      <c r="M82" s="12"/>
      <c r="N82" s="14" t="s">
        <v>202</v>
      </c>
    </row>
    <row r="83" spans="2:14" x14ac:dyDescent="0.25">
      <c r="B83" s="9">
        <v>74</v>
      </c>
      <c r="C83" s="10" t="s">
        <v>22</v>
      </c>
      <c r="D83" s="11"/>
      <c r="E83" s="11"/>
      <c r="F83" s="11"/>
      <c r="G83" s="12" t="s">
        <v>203</v>
      </c>
      <c r="H83" s="13" t="s">
        <v>204</v>
      </c>
      <c r="I83" s="12"/>
      <c r="J83" s="12"/>
      <c r="K83" s="12"/>
      <c r="L83" s="12"/>
      <c r="M83" s="12"/>
      <c r="N83" s="14" t="s">
        <v>205</v>
      </c>
    </row>
    <row r="84" spans="2:14" x14ac:dyDescent="0.25">
      <c r="B84" s="9">
        <v>75</v>
      </c>
      <c r="C84" s="15" t="s">
        <v>35</v>
      </c>
      <c r="D84" s="11"/>
      <c r="E84" s="11"/>
      <c r="F84" s="11"/>
      <c r="G84" s="12" t="s">
        <v>203</v>
      </c>
      <c r="H84" s="13" t="s">
        <v>206</v>
      </c>
      <c r="I84" s="12"/>
      <c r="J84" s="12"/>
      <c r="K84" s="12"/>
      <c r="L84" s="12"/>
      <c r="M84" s="12"/>
      <c r="N84" s="14" t="s">
        <v>198</v>
      </c>
    </row>
    <row r="85" spans="2:14" x14ac:dyDescent="0.25">
      <c r="B85" s="9">
        <v>76</v>
      </c>
      <c r="C85" s="16" t="s">
        <v>40</v>
      </c>
      <c r="D85" s="11"/>
      <c r="E85" s="11"/>
      <c r="F85" s="11"/>
      <c r="G85" s="12" t="s">
        <v>207</v>
      </c>
      <c r="H85" s="13" t="s">
        <v>208</v>
      </c>
      <c r="I85" s="12"/>
      <c r="J85" s="12"/>
      <c r="K85" s="12"/>
      <c r="L85" s="12"/>
      <c r="M85" s="12"/>
      <c r="N85" s="14" t="s">
        <v>209</v>
      </c>
    </row>
    <row r="86" spans="2:14" x14ac:dyDescent="0.25">
      <c r="B86" s="9">
        <v>77</v>
      </c>
      <c r="C86" s="16" t="s">
        <v>40</v>
      </c>
      <c r="D86" s="11"/>
      <c r="E86" s="11"/>
      <c r="F86" s="11"/>
      <c r="G86" s="12" t="s">
        <v>207</v>
      </c>
      <c r="H86" s="13" t="s">
        <v>210</v>
      </c>
      <c r="I86" s="12"/>
      <c r="J86" s="12"/>
      <c r="K86" s="12"/>
      <c r="L86" s="12"/>
      <c r="M86" s="12"/>
      <c r="N86" s="14" t="s">
        <v>211</v>
      </c>
    </row>
    <row r="87" spans="2:14" x14ac:dyDescent="0.25">
      <c r="B87" s="9">
        <v>78</v>
      </c>
      <c r="C87" s="10" t="s">
        <v>22</v>
      </c>
      <c r="D87" s="11"/>
      <c r="E87" s="11"/>
      <c r="F87" s="11" t="s">
        <v>212</v>
      </c>
      <c r="G87" s="12" t="s">
        <v>196</v>
      </c>
      <c r="H87" s="13" t="s">
        <v>213</v>
      </c>
      <c r="I87" s="12"/>
      <c r="J87" s="12"/>
      <c r="K87" s="12"/>
      <c r="L87" s="12"/>
      <c r="M87" s="12"/>
      <c r="N87" s="14" t="s">
        <v>214</v>
      </c>
    </row>
    <row r="88" spans="2:14" x14ac:dyDescent="0.25">
      <c r="B88" s="9">
        <v>79</v>
      </c>
      <c r="C88" s="10" t="s">
        <v>22</v>
      </c>
      <c r="D88" s="11"/>
      <c r="E88" s="11"/>
      <c r="F88" s="11"/>
      <c r="G88" s="12" t="s">
        <v>196</v>
      </c>
      <c r="H88" s="13" t="s">
        <v>215</v>
      </c>
      <c r="I88" s="12"/>
      <c r="J88" s="12"/>
      <c r="K88" s="12"/>
      <c r="L88" s="12"/>
      <c r="M88" s="12"/>
      <c r="N88" s="14" t="s">
        <v>214</v>
      </c>
    </row>
    <row r="89" spans="2:14" x14ac:dyDescent="0.25">
      <c r="B89" s="9">
        <v>80</v>
      </c>
      <c r="C89" s="10" t="s">
        <v>22</v>
      </c>
      <c r="D89" s="11"/>
      <c r="E89" s="11"/>
      <c r="F89" s="11"/>
      <c r="G89" s="12" t="s">
        <v>196</v>
      </c>
      <c r="H89" s="13" t="s">
        <v>216</v>
      </c>
      <c r="I89" s="12"/>
      <c r="J89" s="12"/>
      <c r="K89" s="12"/>
      <c r="L89" s="12"/>
      <c r="M89" s="12"/>
      <c r="N89" s="14" t="s">
        <v>217</v>
      </c>
    </row>
    <row r="90" spans="2:14" x14ac:dyDescent="0.25">
      <c r="B90" s="9">
        <v>81</v>
      </c>
      <c r="C90" s="10" t="s">
        <v>22</v>
      </c>
      <c r="D90" s="11"/>
      <c r="E90" s="11"/>
      <c r="F90" s="11"/>
      <c r="G90" s="12" t="s">
        <v>203</v>
      </c>
      <c r="H90" s="13" t="s">
        <v>218</v>
      </c>
      <c r="I90" s="12"/>
      <c r="J90" s="12"/>
      <c r="K90" s="12"/>
      <c r="L90" s="12"/>
      <c r="M90" s="12"/>
      <c r="N90" s="14" t="s">
        <v>214</v>
      </c>
    </row>
    <row r="91" spans="2:14" x14ac:dyDescent="0.25">
      <c r="B91" s="9">
        <v>82</v>
      </c>
      <c r="C91" s="15" t="s">
        <v>35</v>
      </c>
      <c r="D91" s="11"/>
      <c r="E91" s="11"/>
      <c r="F91" s="11"/>
      <c r="G91" s="12" t="s">
        <v>203</v>
      </c>
      <c r="H91" s="13" t="s">
        <v>219</v>
      </c>
      <c r="I91" s="12"/>
      <c r="J91" s="12"/>
      <c r="K91" s="12"/>
      <c r="L91" s="12"/>
      <c r="M91" s="12"/>
      <c r="N91" s="14" t="s">
        <v>214</v>
      </c>
    </row>
    <row r="92" spans="2:14" x14ac:dyDescent="0.25">
      <c r="B92" s="9">
        <v>83</v>
      </c>
      <c r="C92" s="16" t="s">
        <v>40</v>
      </c>
      <c r="D92" s="11"/>
      <c r="E92" s="11"/>
      <c r="F92" s="11"/>
      <c r="G92" s="12" t="s">
        <v>220</v>
      </c>
      <c r="H92" s="13" t="s">
        <v>221</v>
      </c>
      <c r="I92" s="12"/>
      <c r="J92" s="12"/>
      <c r="K92" s="12"/>
      <c r="L92" s="12"/>
      <c r="M92" s="12"/>
      <c r="N92" s="14" t="s">
        <v>214</v>
      </c>
    </row>
    <row r="93" spans="2:14" x14ac:dyDescent="0.25">
      <c r="B93" s="9">
        <v>84</v>
      </c>
      <c r="C93" s="10" t="s">
        <v>22</v>
      </c>
      <c r="D93" s="11"/>
      <c r="E93" s="11"/>
      <c r="F93" s="11"/>
      <c r="G93" s="12" t="s">
        <v>220</v>
      </c>
      <c r="H93" s="13" t="s">
        <v>222</v>
      </c>
      <c r="I93" s="12"/>
      <c r="J93" s="12"/>
      <c r="K93" s="12"/>
      <c r="L93" s="12"/>
      <c r="M93" s="12"/>
      <c r="N93" s="14" t="s">
        <v>223</v>
      </c>
    </row>
    <row r="94" spans="2:14" x14ac:dyDescent="0.25">
      <c r="B94" s="9">
        <v>85</v>
      </c>
      <c r="C94" s="10" t="s">
        <v>22</v>
      </c>
      <c r="D94" s="11"/>
      <c r="E94" s="11"/>
      <c r="F94" s="11" t="s">
        <v>224</v>
      </c>
      <c r="G94" s="12" t="s">
        <v>225</v>
      </c>
      <c r="H94" s="13" t="s">
        <v>226</v>
      </c>
      <c r="I94" s="12"/>
      <c r="J94" s="12"/>
      <c r="K94" s="12"/>
      <c r="L94" s="12"/>
      <c r="M94" s="12"/>
      <c r="N94" s="14" t="s">
        <v>227</v>
      </c>
    </row>
    <row r="95" spans="2:14" x14ac:dyDescent="0.25">
      <c r="B95" s="9">
        <v>86</v>
      </c>
      <c r="C95" s="10" t="s">
        <v>22</v>
      </c>
      <c r="D95" s="11"/>
      <c r="E95" s="11"/>
      <c r="F95" s="11"/>
      <c r="G95" s="12" t="s">
        <v>43</v>
      </c>
      <c r="H95" s="13" t="s">
        <v>228</v>
      </c>
      <c r="I95" s="12"/>
      <c r="J95" s="12"/>
      <c r="K95" s="12"/>
      <c r="L95" s="12"/>
      <c r="M95" s="12"/>
      <c r="N95" s="14" t="s">
        <v>227</v>
      </c>
    </row>
    <row r="96" spans="2:14" x14ac:dyDescent="0.25">
      <c r="B96" s="9">
        <v>87</v>
      </c>
      <c r="C96" s="15" t="s">
        <v>35</v>
      </c>
      <c r="D96" s="11"/>
      <c r="E96" s="11"/>
      <c r="F96" s="12" t="s">
        <v>195</v>
      </c>
      <c r="G96" s="12" t="s">
        <v>196</v>
      </c>
      <c r="H96" s="13" t="s">
        <v>229</v>
      </c>
      <c r="I96" s="12"/>
      <c r="J96" s="12"/>
      <c r="K96" s="12"/>
      <c r="L96" s="12"/>
      <c r="M96" s="12"/>
      <c r="N96" s="14" t="s">
        <v>230</v>
      </c>
    </row>
    <row r="97" spans="2:14" x14ac:dyDescent="0.25">
      <c r="B97" s="9">
        <v>88</v>
      </c>
      <c r="C97" s="15" t="s">
        <v>35</v>
      </c>
      <c r="D97" s="11"/>
      <c r="E97" s="12" t="s">
        <v>24</v>
      </c>
      <c r="F97" s="12" t="s">
        <v>32</v>
      </c>
      <c r="G97" s="12" t="s">
        <v>41</v>
      </c>
      <c r="H97" s="13" t="s">
        <v>231</v>
      </c>
      <c r="I97" s="12"/>
      <c r="J97" s="12"/>
      <c r="K97" s="12"/>
      <c r="L97" s="12"/>
      <c r="M97" s="12"/>
      <c r="N97" s="14" t="s">
        <v>232</v>
      </c>
    </row>
    <row r="98" spans="2:14" x14ac:dyDescent="0.25">
      <c r="B98" s="9">
        <v>89</v>
      </c>
      <c r="C98" s="15" t="s">
        <v>35</v>
      </c>
      <c r="D98" s="11"/>
      <c r="E98" s="12" t="s">
        <v>57</v>
      </c>
      <c r="F98" s="12" t="s">
        <v>66</v>
      </c>
      <c r="G98" s="12" t="s">
        <v>74</v>
      </c>
      <c r="H98" s="13" t="s">
        <v>233</v>
      </c>
      <c r="I98" s="12"/>
      <c r="J98" s="12"/>
      <c r="K98" s="12"/>
      <c r="L98" s="12"/>
      <c r="M98" s="12"/>
      <c r="N98" s="14" t="s">
        <v>234</v>
      </c>
    </row>
    <row r="99" spans="2:14" x14ac:dyDescent="0.25">
      <c r="B99" s="9">
        <v>90</v>
      </c>
      <c r="C99" s="15" t="s">
        <v>35</v>
      </c>
      <c r="D99" s="11"/>
      <c r="E99" s="12" t="s">
        <v>80</v>
      </c>
      <c r="F99" s="12" t="s">
        <v>81</v>
      </c>
      <c r="G99" s="12" t="s">
        <v>100</v>
      </c>
      <c r="H99" s="13" t="s">
        <v>235</v>
      </c>
      <c r="I99" s="12"/>
      <c r="J99" s="12"/>
      <c r="K99" s="12"/>
      <c r="L99" s="12"/>
      <c r="M99" s="12"/>
      <c r="N99" s="14" t="s">
        <v>102</v>
      </c>
    </row>
  </sheetData>
  <mergeCells count="29">
    <mergeCell ref="D10:D99"/>
    <mergeCell ref="E10:E18"/>
    <mergeCell ref="F10:F12"/>
    <mergeCell ref="F13:F17"/>
    <mergeCell ref="E19:E23"/>
    <mergeCell ref="F19:F22"/>
    <mergeCell ref="E24:E33"/>
    <mergeCell ref="F24:F27"/>
    <mergeCell ref="F28:F30"/>
    <mergeCell ref="E34:E50"/>
    <mergeCell ref="F34:F44"/>
    <mergeCell ref="F45:F48"/>
    <mergeCell ref="F49:F50"/>
    <mergeCell ref="E51:E68"/>
    <mergeCell ref="F51:F53"/>
    <mergeCell ref="F54:F56"/>
    <mergeCell ref="F57:F58"/>
    <mergeCell ref="F59:F60"/>
    <mergeCell ref="F61:F62"/>
    <mergeCell ref="F65:F68"/>
    <mergeCell ref="E69:E79"/>
    <mergeCell ref="F69:F70"/>
    <mergeCell ref="F71:F74"/>
    <mergeCell ref="F75:F76"/>
    <mergeCell ref="F77:F78"/>
    <mergeCell ref="E80:E96"/>
    <mergeCell ref="F80:F86"/>
    <mergeCell ref="F87:F93"/>
    <mergeCell ref="F94:F95"/>
  </mergeCells>
  <dataValidations count="1">
    <dataValidation type="list" allowBlank="1" showErrorMessage="1" errorTitle="잘못된 값" error="Pass, Fail, N/T, Block 중 하나를 선택하세요." sqref="I10:J99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맵 메이커 TC (test)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2026-05-13T04:25:27Z</dcterms:created>
  <dcterms:modified xsi:type="dcterms:W3CDTF">2026-05-13T04:25:27Z</dcterms:modified>
</cp:coreProperties>
</file>