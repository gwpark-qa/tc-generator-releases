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달빛술사 쿠키 체크리스트" state="visible" r:id="rId4"/>
  </sheets>
  <calcPr calcId="171027"/>
</workbook>
</file>

<file path=xl/sharedStrings.xml><?xml version="1.0" encoding="utf-8"?>
<sst xmlns="http://schemas.openxmlformats.org/spreadsheetml/2006/main" count="806" uniqueCount="269">
  <si>
    <t>(C)달빛술사 쿠키 체크리스트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</si>
  <si>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</si>
  <si>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</si>
  <si>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</si>
  <si>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</si>
  <si>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</si>
  <si>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</si>
  <si>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</si>
  <si>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</si>
  <si>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</si>
  <si>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</si>
  <si>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</si>
  <si>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</si>
  <si>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</si>
  <si>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</si>
  <si>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</si>
  <si>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</si>
  <si>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</si>
  <si>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</si>
  <si>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</si>
  <si>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</si>
  <si>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</si>
  <si>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</si>
  <si>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신규 속성 '신비'</t>
  </si>
  <si>
    <t>속성 아이콘 및 표식</t>
  </si>
  <si>
    <t>달빛술사 쿠키의 캐릭터 정보에서 신비 속성 아이콘이 정상 출력된다</t>
  </si>
  <si>
    <t>2. 신규 시스템 요구사항</t>
  </si>
  <si>
    <t>인게임 강타 적용</t>
  </si>
  <si>
    <t>신비 속성 표식이 부여된 적에게 신비 속성 공격 시 강타 추가 피해가 적용된다</t>
  </si>
  <si>
    <t>Major</t>
  </si>
  <si>
    <t>아웃게임 UI 연동</t>
  </si>
  <si>
    <t>아웃게임 캐릭터 상세 정보에서 신비 속성 공격력 스탯이 정상 표시된다</t>
  </si>
  <si>
    <t>아웃게임 캐릭터 상세 정보에서 신비 속성 내성 스탯이 정상 표시된다</t>
  </si>
  <si>
    <t>아웃게임 캐릭터 상세 정보에서 신비 속성 피해 스탯이 정상 표시된다</t>
  </si>
  <si>
    <t>전투 중 신비 속성 표식이 적에게 부여될 때 표식 아이콘이 대상 위에 정상 표시된다</t>
  </si>
  <si>
    <t>Normal</t>
  </si>
  <si>
    <t>신비 속성 강타 발동 시 전용 강타 VFX가 출력된다</t>
  </si>
  <si>
    <t>신비 속성 아이콘이 기존 속성 아이콘들과 시각적으로 구분되어 출력된다</t>
  </si>
  <si>
    <t>인게임 UI/UX</t>
  </si>
  <si>
    <t>만월 게이지바</t>
  </si>
  <si>
    <t>궁극기 1단계(오라) 사용 시 만월 게이지바가 화면에 정상 출력된다</t>
  </si>
  <si>
    <t>2. 신규 시스템 요구사항 - UI/UX</t>
  </si>
  <si>
    <t>헤일로 UI</t>
  </si>
  <si>
    <t>4단계 헤일로 UI가 현재 단계에 맞게 정상 변화하여 출력된다</t>
  </si>
  <si>
    <t>만월 게이지바가 기존 게이지 UI를 대체(Override)하여 표시된다</t>
  </si>
  <si>
    <t>만월 게이지 충전량이 전투 중 실시간으로 갱신되어 표시된다</t>
  </si>
  <si>
    <t>만월 게이지 완충 시 2단계 변신 궁 활성화 상태가 UI에 표시된다</t>
  </si>
  <si>
    <t>궁극기 외곽 화면 효과</t>
  </si>
  <si>
    <t>궁극기 사용 시 외곽 화면 효과가 정상 출력된다</t>
  </si>
  <si>
    <t>궁극기 외곽 화면 효과가 다른 화면 효과와 동시 발생 시 설정된 우선순위에 따라 정상 표시된다</t>
  </si>
  <si>
    <t>만월 게이지바 Override 종료 후 기존 게이지 UI가 정상 복구된다</t>
  </si>
  <si>
    <t>만월 게이지가 0에 도달 시 게이지바 UI가 정상적으로 비활성화된다</t>
  </si>
  <si>
    <t>헤일로 UI 단계 전환 시 전환 애니메이션이 출력된다</t>
  </si>
  <si>
    <t>패시브</t>
  </si>
  <si>
    <t>기본 폼 패시브</t>
  </si>
  <si>
    <t>기본 폼 상태에서 적에게 부여된 디버프 수에 비례하여 최종 피해가 증가한다</t>
  </si>
  <si>
    <t>3-1. 패시브 &amp; 대시</t>
  </si>
  <si>
    <t>각성 폼 패시브</t>
  </si>
  <si>
    <t>각성 폼 상태에서 치명타 확률이 100% 증가한다</t>
  </si>
  <si>
    <t>기본 폼에서 각성 폼으로 전환 시 패시브 효과가 즉시 각성 폼 패시브(치명타 확률 100% 증가)로 변경된다</t>
  </si>
  <si>
    <t>각성 폼 종료 후 기본 폼 복귀 시 패시브 효과가 기본 폼 패시브(디버프 비례 최종 피해 증가)로 원복된다</t>
  </si>
  <si>
    <t>적에게 부여된 디버프 수가 증가할수록 최종 피해 증가량이 정상적으로 변동된다</t>
  </si>
  <si>
    <t>대시</t>
  </si>
  <si>
    <t>일반 대시</t>
  </si>
  <si>
    <t>대시 버튼 입력 시 일반 대시가 정상 발동된다</t>
  </si>
  <si>
    <t>홀드 대시</t>
  </si>
  <si>
    <t>이동 및 조작</t>
  </si>
  <si>
    <t>대시 버튼 홀드 시 홀드 대시가 발동되어 최대 5초간 고속 이동한다</t>
  </si>
  <si>
    <t>홀드 대시 중 낙사 구역으로의 이동이 차단된다</t>
  </si>
  <si>
    <t>무적 판정</t>
  </si>
  <si>
    <t>홀드 대시 중 적의 공격에 무적 판정이 적용된다</t>
  </si>
  <si>
    <t>홀드 대시의 무적 판정이 이동 전 구간에 걸쳐 유지된다</t>
  </si>
  <si>
    <t>홀드 대시 5초 지속시간 만료 시 캐릭터가 정상 대기 상태로 복귀된다</t>
  </si>
  <si>
    <t>홀드 대시 중 이동 방향 조작이 정상적으로 반영된다</t>
  </si>
  <si>
    <t>일반 대시 발동 시 잔상 이펙트가 출력된다</t>
  </si>
  <si>
    <t>이펙트</t>
  </si>
  <si>
    <t>홀드 대시 중 잔상 이펙트가 출력된다</t>
  </si>
  <si>
    <t>홀드 대시 종료 후 공격, 스킬 등 다른 행동으로 즉시 전환이 가능하다</t>
  </si>
  <si>
    <t>일반 공격</t>
  </si>
  <si>
    <t>기본 폼</t>
  </si>
  <si>
    <t>기본 공격 (2콤보)</t>
  </si>
  <si>
    <t>기본 폼에서 공격 버튼 입력 시 2콤보 별빛 투사체가 순차적으로 발사된다</t>
  </si>
  <si>
    <t>3-2. 일반 공격</t>
  </si>
  <si>
    <t>차지 공격</t>
  </si>
  <si>
    <t>기본 폼에서 공격 버튼 차지 시 장판이 생성되며 차지 공격이 발동된다</t>
  </si>
  <si>
    <t>각성 폼</t>
  </si>
  <si>
    <t>기본 공격 (3타)</t>
  </si>
  <si>
    <t>각성 폼에서 공격 버튼 입력 시 검기 마법/참격 공격이 발동된다</t>
  </si>
  <si>
    <t>각성 폼에서 공격 버튼 차지 시 피해 면역 상태에서 별빛 폭발(스타폴)이 연속 투사된다</t>
  </si>
  <si>
    <t>2콤보 별빛 투사체가 각각 적에게 정상적으로 피해를 준다</t>
  </si>
  <si>
    <t>장판 및 인력</t>
  </si>
  <si>
    <t>차지 공격으로 생성된 장판이 범위 내 적을 끌어당긴다(인력)</t>
  </si>
  <si>
    <t>수면 부여</t>
  </si>
  <si>
    <t>기본 폼 차지 공격이 장판 범위 내 적에게 수면 상태를 부여한다</t>
  </si>
  <si>
    <t>자가 수면 및 회복</t>
  </si>
  <si>
    <t>기본 폼 차지 공격 사용 시 달빛술사 자신에게 2초간 수면이 부여된다</t>
  </si>
  <si>
    <t>자가 수면 중 달빛술사의 HP가 회복된다</t>
  </si>
  <si>
    <t>각성 폼 기본 공격 1~2타가 다단히트로 적에게 피해를 준다</t>
  </si>
  <si>
    <t>각성 폼 기본 공격 3타가 범위 공격으로 주변 적에게 피해를 준다</t>
  </si>
  <si>
    <t>피해 면역</t>
  </si>
  <si>
    <t>각성 폼 차지 공격 중 최대 4초간 피해 면역 상태가 유지된다</t>
  </si>
  <si>
    <t>별빛 투사체 발사 시 투사체 전용 VFX가 출력된다</t>
  </si>
  <si>
    <t>차지 공격 장판 생성 시 장판 VFX가 출력된다</t>
  </si>
  <si>
    <t>각성 폼 기본 공격 시 검기 전용 VFX가 출력된다</t>
  </si>
  <si>
    <t>스타폴 투사</t>
  </si>
  <si>
    <t>스타폴 투사 시 별빛 폭발 VFX가 출력된다</t>
  </si>
  <si>
    <t>차지 공격으로 수면 부여 시 수면 상태이상 아이콘이 적 위에 표시된다</t>
  </si>
  <si>
    <t>스타폴 연속 투사 중 각 투사체가 적에게 다중 히트 피해를 정상 적용한다</t>
  </si>
  <si>
    <t>특수 스킬</t>
  </si>
  <si>
    <t>초승달 관통 투사체</t>
  </si>
  <si>
    <t>특수 스킬 사용 시 초승달 관통 투사체가 발사되어 경로상의 적을 관통하며 피해를 준다</t>
  </si>
  <si>
    <t>3-3. 특수 스킬</t>
  </si>
  <si>
    <t>달빛 보호막</t>
  </si>
  <si>
    <t>특수 스킬 사용 시 주변 아군에게 달빛 보호막이 생성된다</t>
  </si>
  <si>
    <t>초승달 투사체가 다수의 적을 관통하며 각 적에게 개별적으로 피해를 준다</t>
  </si>
  <si>
    <t>달빛 보호막이 아군이 받는 피해를 흡수한다</t>
  </si>
  <si>
    <t>달빛 보호막이 범위 내 모든 아군에게 정상 적용된다</t>
  </si>
  <si>
    <t>초승달 투사체 발사 시 초승달 웨이브 트레일 VFX가 출력된다</t>
  </si>
  <si>
    <t>달빛 보호막 생성 시 보호막 VFX가 아군에게 정상 출력된다</t>
  </si>
  <si>
    <t>궁극기</t>
  </si>
  <si>
    <t>1단계 - 짧은 궁(오라)</t>
  </si>
  <si>
    <t>방어력 감소 장판</t>
  </si>
  <si>
    <t>궁극기 1단계 사용 시 방어력 감소 장판이 생성되어 범위 내 적의 방어력이 감소한다</t>
  </si>
  <si>
    <t>3-4. 궁극기</t>
  </si>
  <si>
    <t>궁극기 1단계 오라 범위 내 적에게 수면이 부여된다</t>
  </si>
  <si>
    <t>만월 게이지 빌드업</t>
  </si>
  <si>
    <t>궁극기 1단계 사용 시 만월 게이지 빌드업이 시작된다</t>
  </si>
  <si>
    <t>방어력 감소 장판이 지속시간 동안 유지되며 범위 내 적에게 지속 적용된다</t>
  </si>
  <si>
    <t>궁극기 1단계 오라 장판 생성 시 오라 VFX가 출력된다</t>
  </si>
  <si>
    <t>2단계 - 변신 궁(각성)</t>
  </si>
  <si>
    <t>게이지 완충 조건</t>
  </si>
  <si>
    <t>만월 게이지 완충 시 2단계 변신 궁이 활성화된다</t>
  </si>
  <si>
    <t>외형 변경</t>
  </si>
  <si>
    <t>2단계 변신 궁 발동 시 달빛술사의 외형이 각성 폼으로 변경된다</t>
  </si>
  <si>
    <t>파장 및 수면</t>
  </si>
  <si>
    <t>2단계 변신 궁 발동 시 파장이 생성되어 범위 내 적에게 수면이 부여된다</t>
  </si>
  <si>
    <t>2단계 변신으로 외형 변경 시 각성 폼의 스킬셋(일반 공격, 차지 공격)이 적용된다</t>
  </si>
  <si>
    <t>2단계 변신 시 외형 변경 연출 VFX가 출력된다</t>
  </si>
  <si>
    <t>2단계 변신 궁의 파장 생성 시 파장 VFX가 출력된다</t>
  </si>
  <si>
    <t>3단계 - 마무리 공격(컷신)</t>
  </si>
  <si>
    <t>자동 발동 조건</t>
  </si>
  <si>
    <t>만월 게이지가 0에 도달 시 3단계 마무리 공격이 자동으로 발동된��</t>
  </si>
  <si>
    <t>확정 치명타</t>
  </si>
  <si>
    <t>마무리 공격이 확정 치명타로 적에게 피해를 준다</t>
  </si>
  <si>
    <t>무적 연출</t>
  </si>
  <si>
    <t>마무리 공격 발동 시 달빛술사가 무적 상태로 컷신 연출이 재생된다</t>
  </si>
  <si>
    <t>마무리 공격이 범위 내 적에게 강력한 피해를 정상 적용한다</t>
  </si>
  <si>
    <t>마무리 공격 컷신이 빠른 템포로 재생되며 연출이 정상 출력된다</t>
  </si>
  <si>
    <t>마무리 공격 시 별빛 낙하 VFX가 출력된다</t>
  </si>
  <si>
    <t>궁극기 시퀀스 연계</t>
  </si>
  <si>
    <t>1단계(오라) → 2단계(각성) → 3단계(마무리)가 순차적으로 정상 전환된다</t>
  </si>
  <si>
    <t>만월 게이지 빌드업 → 완충 → 0 도달까지의 게이지 흐름이 끊김 없이 연결된다</t>
  </si>
  <si>
    <t>각 시퀀스 단계 전환 시 폼(외형) 변경, 스킬셋 전환, 패시브 전환이 동기화되어 적용된다</t>
  </si>
  <si>
    <t>궁극기 시퀀스 단계 전환 시 화면 연출 효과가 출력된다</t>
  </si>
  <si>
    <t>궁극기 시퀀스 도중 사망 또는 CC(군중 제어)가 발생할 경우 시퀀스가 정상 처리된다</t>
  </si>
  <si>
    <t>특수 회피</t>
  </si>
  <si>
    <t>자동 회피 발동</t>
  </si>
  <si>
    <t>30초마다 피격 시 자동으로 회피가 발동된다</t>
  </si>
  <si>
    <t>무적 처리</t>
  </si>
  <si>
    <t>특수 회피 발동 시 무적 처리가 적용되어 피해를 받지 않는다</t>
  </si>
  <si>
    <t>특수 회피의 30초 쿨타임이 정확히 적용된다</t>
  </si>
  <si>
    <t>특수 회피 발동 시 잔상을 남기며 자동으로 위치를 이동한다</t>
  </si>
  <si>
    <t>잔상 이펙트</t>
  </si>
  <si>
    <t>특수 회피 발동 시 잔상 VFX가 출력된다</t>
  </si>
  <si>
    <t>특수 회피 발동 후 캐릭터가 정상 대기 상태로 복귀된다</t>
  </si>
  <si>
    <t>수면 (신규 상태이상)</t>
  </si>
  <si>
    <t>적 수면 효과</t>
  </si>
  <si>
    <t>적용 대상 범위</t>
  </si>
  <si>
    <t>기본 몬스터에게 수면 상태가 정상 적용된다</t>
  </si>
  <si>
    <t>1. 개요 및 핵심 컨셉 - 수면</t>
  </si>
  <si>
    <t>엘리트 몬스터에게 수면 상태가 정상 적용된다</t>
  </si>
  <si>
    <t>중간 보스에게 수면 상태가 정상 적용된다</t>
  </si>
  <si>
    <t>수면 상태의 적이 무력화되어 행동이 정지된다</t>
  </si>
  <si>
    <t>깨어날 때 '받는 피해 증가' 부여</t>
  </si>
  <si>
    <t>적이 수면에서 깨어날 때 '받는 피해 증가' 디버프가 부여된다</t>
  </si>
  <si>
    <t>달빛술사 자가 수면 효과</t>
  </si>
  <si>
    <t>수면 중 이동</t>
  </si>
  <si>
    <t>달빛술사의 자가 수면 중 이동이 가능하다</t>
  </si>
  <si>
    <t>깨어날 때 HP 회복</t>
  </si>
  <si>
    <t>달빛술사가 자가 수면에서 깨어날 때 HP가 회복된다</t>
  </si>
  <si>
    <t>다중 수면 소스(차지 공격, 궁극기, 메모리 잼 등)가 동시에 적용될 때 중첩 또는 갱신 규칙이 정상 동작한다</t>
  </si>
  <si>
    <t>수면 부여 시 수면 상태이상 아이콘이 적 위에 정상 표시된다</t>
  </si>
  <si>
    <t>수면 해제 시 '받는 피해 증가' 디버프 아이콘이 적 위에 정상 표시된다</t>
  </si>
  <si>
    <t>성급 특성</t>
  </si>
  <si>
    <t>2성 특성</t>
  </si>
  <si>
    <t>자동 회피 활성화</t>
  </si>
  <si>
    <t>2성 달성 시 자동 회피 기능이 활성화된다</t>
  </si>
  <si>
    <t>4-1. 성급 특성</t>
  </si>
  <si>
    <t>신비 쿠키 비례 스탯 보너스</t>
  </si>
  <si>
    <t>파티 내 신비 속성 쿠키 수에 비례하여 스탯 보너스가 적용된다</t>
  </si>
  <si>
    <t>2성 자동 회피가 특수 회피와 동일한 무적 처리 및 잔상 동작으로 발동된다</t>
  </si>
  <si>
    <t>파티 내 신비 속성 쿠키가 증가할수록 스탯 보너스가 비례하여 증가한다</t>
  </si>
  <si>
    <t>3성 특성</t>
  </si>
  <si>
    <t>궁극기 장판 최종 피해 증가 버프</t>
  </si>
  <si>
    <t>3성 달성 시 궁극기 장판에 '최종 피해 증가' 버프가 추가된다</t>
  </si>
  <si>
    <t>궁극기 장판 범위 내 아군에게 최종 피해 증가 버프가 적용된다</t>
  </si>
  <si>
    <t>궁극기 장판 위에 다수의 아군이 위치할 경우 모든 아군에게 최종 피해 증가 버프가 동시에 적용된다</t>
  </si>
  <si>
    <t>4성 특성</t>
  </si>
  <si>
    <t>각성 폼 피해 증가</t>
  </si>
  <si>
    <t>4성 달성 시 각성 폼에서의 공격 피해가 증가한다</t>
  </si>
  <si>
    <t>각성 진입 시 특수 스킬 쿨타임 초기화</t>
  </si>
  <si>
    <t>4성 달성 상태에서 각성 폼 진입 시 특수 스킬 쿨타임이 초기화된다</t>
  </si>
  <si>
    <t>신비 쿠키 비례 스탯 보너스가 캐릭터 상세 정보에 정상 반영되어 표시된다</t>
  </si>
  <si>
    <t>최종 피해 증가 버프 적용 시 버프 아이콘이 아군에게 정상 표시된다</t>
  </si>
  <si>
    <t>쿨타임 초기화 시 특수 스킬 UI가 즉시 사용 가능 상태로 변경된다</t>
  </si>
  <si>
    <t>메모리 잼</t>
  </si>
  <si>
    <t>잼 A (수면 특화)</t>
  </si>
  <si>
    <t>기본 효과</t>
  </si>
  <si>
    <t>잼 A 장착 시 수면 상태의 적을 공격하면 추가 피해가 적용된다</t>
  </si>
  <si>
    <t>4-2. 메모리 잼</t>
  </si>
  <si>
    <t>잼 A 장착 시 수면 상태의 적에게 신비 속성 내성 감소가 적용된다</t>
  </si>
  <si>
    <t>[해] 강화 - 특수 스킬 수면 부여</t>
  </si>
  <si>
    <t>잼 A [해] 강화 장착 시 특수 스킬(초승달 투사체) 적중 시 적에게 수면이 부여된다</t>
  </si>
  <si>
    <t>기존 특수 스킬 데이터 덮어쓰기 검증</t>
  </si>
  <si>
    <t>[해] 강화 장착 시 특수 스킬의 기존 동작(관통 투사체 발사, 보호막 생성)이 유지되면서 수면 부여 기능만 추가된다</t>
  </si>
  <si>
    <t>4-2. 메모리 잼 - 데이터 덮어쓰기 검증</t>
  </si>
  <si>
    <t>[해] 강화 해제 시 특수 스킬에서 수면 부여 기능이 정상 제거되고 기본 동작으로 복구된다</t>
  </si>
  <si>
    <t>[해] 강화 특수 스킬로 수면 부여 시 수면 상태 이펙트가 출력된다</t>
  </si>
  <si>
    <t>[달] 강화 - 홀드 대시 수면 부여</t>
  </si>
  <si>
    <t>잼 A [달] 강화 장착 시 홀드 대시 중 주변 적에게 수면이 부여된다</t>
  </si>
  <si>
    <t>기존 홀드 대시 데이터 덮어쓰기 검증</t>
  </si>
  <si>
    <t>[달] 강화 장착 시 홀드 대시의 기존 동작(고속 이동, 무적 판정, 낙사 구역 이동 불가)이 유지되면서 수면 부여만 추가된다</t>
  </si>
  <si>
    <t>[달] 강화 해제 시 홀드 대시에서 수면 부여 기능이 정상 제거되고 기본 동작으로 복구된다</t>
  </si>
  <si>
    <t>[달] 강화 홀드 대시로 수면 부여 시 주변 적에게 수면 이펙트가 출력된다</t>
  </si>
  <si>
    <t>잼 B (서포팅 특화)</t>
  </si>
  <si>
    <t>잼 B 장착 시 궁극기 오라 효과 강화 상태가 스킬 정보에 반영된다</t>
  </si>
  <si>
    <t>[해] 강화 - 오라 적 지속 피해</t>
  </si>
  <si>
    <t>잼 B [해] 강화 장착 시 궁극기 오라 범위 내 적에게 지속 피해가 적용된다</t>
  </si>
  <si>
    <t>궁극기 오라 데이터 덮어쓰기 검증</t>
  </si>
  <si>
    <t>[해] 강화 장착 시 기존 궁극기 오라 효과(방어력 감소, 수면 부여) 위에 지속 피해가 정상 중첩 적용된다</t>
  </si>
  <si>
    <t>[해] 강화 해제 시 오라의 지속 피해가 제거되고 기존 오라 효과(방어력 감소, 수면)만 유지된다</t>
  </si>
  <si>
    <t>[해] 강화 오라 지속 피해 적용 시 피해 VFX가 출력된다</t>
  </si>
  <si>
    <t>[달] 강화 - 오라 내 아군 지속 힐</t>
  </si>
  <si>
    <t>잼 B [달] 강화 장착 시 궁극기 오라 범위 내 아군에게 지속 HP 회복이 적용된다</t>
  </si>
  <si>
    <t>[달] 강화 장착 시 기존 적 대상 오라 효과(방어력 감소, 수면)와 아군 대상 지속 힐이 동시에 정상 작동한다</t>
  </si>
  <si>
    <t>[달] 강화 해제 시 아군 지속 힐이 제거되고 기존 오라 효과만 유지된다</t>
  </si>
  <si>
    <t>[달] 강화 오라 내 아군 지속 힐 적용 시 회복 VFX가 출력된다</t>
  </si>
  <si>
    <t>잼 C (딜링 특화)</t>
  </si>
  <si>
    <t>잼 C 장착 시 궁극기 쿨타임이 감소한다</t>
  </si>
  <si>
    <t>잼 C 장착 시 변신(각성) 중 최종 피해 증가 효과가 스탯에 정상 반영된다</t>
  </si>
  <si>
    <t>[해] 강화 - 공속 증가 및 각성 차지 피해 강화</t>
  </si>
  <si>
    <t>잼 C [해] 강화 장착 시 각성 폼에서 공격 속도가 증가한다</t>
  </si>
  <si>
    <t>잼 C [해] 강화 장착 시 각성 폼 차지 공격(스타폴) 피해가 강화된다</t>
  </si>
  <si>
    <t>각성 폼 차지 공격 데이터 덮어쓰기 검증</t>
  </si>
  <si>
    <t>[해] 강화 장착 시 각성 차지 공격의 기존 동작(피해 면역, 스타폴 투사)이 유지되면서 공속 및 피해 강화만 추가된다</t>
  </si>
  <si>
    <t>[해] 강화 해제 시 공속 및 피해 강화가 제거되고 기본 각성 차지 동작으로 복구된다</t>
  </si>
  <si>
    <t>[해] 강화 공속 증가 시 공격 모션이 빨라진 것이 시각적으로 확인된다</t>
  </si>
  <si>
    <t>[달] 강화 - 마무리 궁 레이저 낙하</t>
  </si>
  <si>
    <t>잼 C [달] 강화 장착 시 마무리 공격(3단계 궁극기) 사용 시 지속 레이저가 낙하한다</t>
  </si>
  <si>
    <t>마무리 공격 데이터 덮어쓰기 검증</t>
  </si>
  <si>
    <t>[달] 강화 장착 시 기존 마무리 공격 컷신 연출(무적, 확정 치명타) 위에 레이저 낙하 효과가 정상 추가된다</t>
  </si>
  <si>
    <t>[달] 강화 해제 시 레이저 낙하가 제거되고 기본 마무리 공격으로 복구된다</t>
  </si>
  <si>
    <t>[달] 강화 마무리 궁 사용 시 지속 레이저 낙하 VFX가 출력된다</t>
  </si>
  <si>
    <t>잼 C 장착 시 궁극기 쿨타임 감소가 스킬 UI에 정상 반영된다</t>
  </si>
  <si>
    <t>잼 교체 검증</t>
  </si>
  <si>
    <t>메모리 잼 교체 시 이전 잼의 강화 데이터가 완전히 제거되고 새 잼의 데이터로 정상 교체된다</t>
  </si>
  <si>
    <t>사운드 및 연출</t>
  </si>
  <si>
    <t>BGM</t>
  </si>
  <si>
    <t>궁극기 사용 시 달빛술사 고유 테마곡이 재생된다</t>
  </si>
  <si>
    <t>5. 사운드 및 이펙트 리서치</t>
  </si>
  <si>
    <t>VFX</t>
  </si>
  <si>
    <t>스킬 이펙트 전반에 '새벽' 컨셉의 밝고 옅은 색감이 적용되어 출력된다</t>
  </si>
  <si>
    <t>컷신 연출</t>
  </si>
  <si>
    <t>마무리 공격 컷신이 '아침이 밝아오는' 연출 컨셉으로 재생된다</t>
  </si>
  <si>
    <t>궁극기 종료 후 기존 스테이지 BGM으로 정상 복귀된다</t>
  </si>
  <si>
    <t>별빛 낙하 이펙트가 해당 스킬 사용 시 정상 출력된다</t>
  </si>
  <si>
    <t>초승달 웨이브 트레일 이펙트가 특수 스킬 사용 시 정상 출력된다</t>
  </si>
  <si>
    <t>마무리 공격 컷신이 3초 이내의 빠른 템포로 재생된다</t>
  </si>
  <si>
    <t>컷신 재생 중 캐릭터 모델 및 배경 연출이 정상 표시된다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</si>
</sst>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COUNTIF(I10:I157,"Pass")</f>
      </c>
      <c r="K3" t="s">
        <v>4</v>
      </c>
      <c r="L3">
        <f>COUNTIF(I10:I157,"")</f>
      </c>
      <c r="M3" s="3" t="s">
        <v>3</v>
      </c>
      <c r="N3">
        <f>COUNTIF(J10:J157,"Pass")</f>
      </c>
    </row>
    <row r="4" spans="9:14" x14ac:dyDescent="0.25">
      <c r="I4" s="4" t="s">
        <v>5</v>
      </c>
      <c r="J4">
        <f>COUNTIF(I10:I157,"N/T")</f>
      </c>
      <c r="K4" t="s">
        <v>6</v>
      </c>
      <c r="L4">
        <f>COUNTA(I10:I157)-COUNTIF(I10:I157,"")</f>
      </c>
      <c r="M4" s="4" t="s">
        <v>5</v>
      </c>
      <c r="N4">
        <f>COUNTIF(J10:J157,"N/T")</f>
      </c>
    </row>
    <row r="5" spans="9:14" x14ac:dyDescent="0.25">
      <c r="I5" s="5" t="s">
        <v>7</v>
      </c>
      <c r="J5">
        <f>COUNTIF(I10:I157,"Fail")</f>
      </c>
      <c r="K5" t="s">
        <v>8</v>
      </c>
      <c r="L5">
        <v>148</v>
      </c>
      <c r="M5" s="5" t="s">
        <v>7</v>
      </c>
      <c r="N5">
        <f>COUNTIF(J10:J157,"Fail")</f>
      </c>
    </row>
    <row r="6" spans="9:14" x14ac:dyDescent="0.25">
      <c r="I6" s="6" t="s">
        <v>9</v>
      </c>
      <c r="J6">
        <f>COUNTIF(I10:I157,"Block")</f>
      </c>
      <c r="K6" t="s">
        <v>10</v>
      </c>
      <c r="L6" s="7">
        <f>IF(L5=0,0,L4/L5)</f>
      </c>
      <c r="M6" s="6" t="s">
        <v>9</v>
      </c>
      <c r="N6">
        <f>COUNTIF(J10:J157,"Block")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2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0" t="s">
        <v>22</v>
      </c>
      <c r="D11" s="11"/>
      <c r="E11" s="12" t="s">
        <v>27</v>
      </c>
      <c r="F11" s="12" t="s">
        <v>11</v>
      </c>
      <c r="G11" s="12" t="s">
        <v>11</v>
      </c>
      <c r="H11" s="13" t="s">
        <v>28</v>
      </c>
      <c r="I11" s="12"/>
      <c r="J11" s="12"/>
      <c r="K11" s="12"/>
      <c r="L11" s="12"/>
      <c r="M11" s="12"/>
      <c r="N11" s="14" t="s">
        <v>26</v>
      </c>
    </row>
    <row r="12" spans="2:14" x14ac:dyDescent="0.25">
      <c r="B12" s="9">
        <v>3</v>
      </c>
      <c r="C12" s="15" t="s">
        <v>29</v>
      </c>
      <c r="D12" s="11"/>
      <c r="E12" s="11" t="s">
        <v>30</v>
      </c>
      <c r="F12" s="12" t="s">
        <v>11</v>
      </c>
      <c r="G12" s="12" t="s">
        <v>11</v>
      </c>
      <c r="H12" s="13" t="s">
        <v>31</v>
      </c>
      <c r="I12" s="12"/>
      <c r="J12" s="12"/>
      <c r="K12" s="12"/>
      <c r="L12" s="12"/>
      <c r="M12" s="12"/>
      <c r="N12" s="14" t="s">
        <v>26</v>
      </c>
    </row>
    <row r="13" spans="2:14" x14ac:dyDescent="0.25">
      <c r="B13" s="9">
        <v>4</v>
      </c>
      <c r="C13" s="15" t="s">
        <v>29</v>
      </c>
      <c r="D13" s="11"/>
      <c r="E13" s="11"/>
      <c r="F13" s="12" t="s">
        <v>11</v>
      </c>
      <c r="G13" s="12" t="s">
        <v>11</v>
      </c>
      <c r="H13" s="13" t="s">
        <v>32</v>
      </c>
      <c r="I13" s="12"/>
      <c r="J13" s="12"/>
      <c r="K13" s="12"/>
      <c r="L13" s="12"/>
      <c r="M13" s="12"/>
      <c r="N13" s="14" t="s">
        <v>26</v>
      </c>
    </row>
    <row r="14" spans="2:14" x14ac:dyDescent="0.25">
      <c r="B14" s="9">
        <v>5</v>
      </c>
      <c r="C14" s="15" t="s">
        <v>29</v>
      </c>
      <c r="D14" s="11"/>
      <c r="E14" s="11"/>
      <c r="F14" s="12" t="s">
        <v>11</v>
      </c>
      <c r="G14" s="12" t="s">
        <v>11</v>
      </c>
      <c r="H14" s="13" t="s">
        <v>33</v>
      </c>
      <c r="I14" s="12"/>
      <c r="J14" s="12"/>
      <c r="K14" s="12"/>
      <c r="L14" s="12"/>
      <c r="M14" s="12"/>
      <c r="N14" s="14" t="s">
        <v>26</v>
      </c>
    </row>
    <row r="15" spans="2:14" x14ac:dyDescent="0.25">
      <c r="B15" s="9">
        <v>6</v>
      </c>
      <c r="C15" s="15" t="s">
        <v>29</v>
      </c>
      <c r="D15" s="11"/>
      <c r="E15" s="12" t="s">
        <v>24</v>
      </c>
      <c r="F15" s="12" t="s">
        <v>11</v>
      </c>
      <c r="G15" s="12" t="s">
        <v>11</v>
      </c>
      <c r="H15" s="13" t="s">
        <v>34</v>
      </c>
      <c r="I15" s="12"/>
      <c r="J15" s="12"/>
      <c r="K15" s="12"/>
      <c r="L15" s="12"/>
      <c r="M15" s="12"/>
      <c r="N15" s="14" t="s">
        <v>26</v>
      </c>
    </row>
    <row r="16" spans="2:14" x14ac:dyDescent="0.25">
      <c r="B16" s="9">
        <v>7</v>
      </c>
      <c r="C16" s="16" t="s">
        <v>35</v>
      </c>
      <c r="D16" s="11"/>
      <c r="E16" s="12" t="s">
        <v>27</v>
      </c>
      <c r="F16" s="12" t="s">
        <v>11</v>
      </c>
      <c r="G16" s="12" t="s">
        <v>11</v>
      </c>
      <c r="H16" s="13" t="s">
        <v>36</v>
      </c>
      <c r="I16" s="12"/>
      <c r="J16" s="12"/>
      <c r="K16" s="12"/>
      <c r="L16" s="12"/>
      <c r="M16" s="12"/>
      <c r="N16" s="14" t="s">
        <v>26</v>
      </c>
    </row>
    <row r="17" spans="2:14" x14ac:dyDescent="0.25">
      <c r="B17" s="9">
        <v>8</v>
      </c>
      <c r="C17" s="16" t="s">
        <v>35</v>
      </c>
      <c r="D17" s="11"/>
      <c r="E17" s="12" t="s">
        <v>24</v>
      </c>
      <c r="F17" s="12" t="s">
        <v>11</v>
      </c>
      <c r="G17" s="12" t="s">
        <v>11</v>
      </c>
      <c r="H17" s="13" t="s">
        <v>37</v>
      </c>
      <c r="I17" s="12"/>
      <c r="J17" s="12"/>
      <c r="K17" s="12"/>
      <c r="L17" s="12"/>
      <c r="M17" s="12"/>
      <c r="N17" s="14" t="s">
        <v>26</v>
      </c>
    </row>
    <row r="18" spans="2:14" x14ac:dyDescent="0.25">
      <c r="B18" s="9">
        <v>9</v>
      </c>
      <c r="C18" s="10" t="s">
        <v>22</v>
      </c>
      <c r="D18" s="11" t="s">
        <v>38</v>
      </c>
      <c r="E18" s="12" t="s">
        <v>39</v>
      </c>
      <c r="F18" s="12" t="s">
        <v>11</v>
      </c>
      <c r="G18" s="12" t="s">
        <v>11</v>
      </c>
      <c r="H18" s="13" t="s">
        <v>40</v>
      </c>
      <c r="I18" s="12"/>
      <c r="J18" s="12"/>
      <c r="K18" s="12"/>
      <c r="L18" s="12"/>
      <c r="M18" s="12"/>
      <c r="N18" s="14" t="s">
        <v>41</v>
      </c>
    </row>
    <row r="19" spans="2:14" x14ac:dyDescent="0.25">
      <c r="B19" s="9">
        <v>10</v>
      </c>
      <c r="C19" s="10" t="s">
        <v>22</v>
      </c>
      <c r="D19" s="11"/>
      <c r="E19" s="12" t="s">
        <v>42</v>
      </c>
      <c r="F19" s="12" t="s">
        <v>11</v>
      </c>
      <c r="G19" s="12" t="s">
        <v>11</v>
      </c>
      <c r="H19" s="13" t="s">
        <v>43</v>
      </c>
      <c r="I19" s="12"/>
      <c r="J19" s="12"/>
      <c r="K19" s="12"/>
      <c r="L19" s="12"/>
      <c r="M19" s="12"/>
      <c r="N19" s="14" t="s">
        <v>41</v>
      </c>
    </row>
    <row r="20" spans="2:14" x14ac:dyDescent="0.25">
      <c r="B20" s="9">
        <v>11</v>
      </c>
      <c r="C20" s="15" t="s">
        <v>29</v>
      </c>
      <c r="D20" s="11"/>
      <c r="E20" s="11" t="s">
        <v>39</v>
      </c>
      <c r="F20" s="12" t="s">
        <v>11</v>
      </c>
      <c r="G20" s="12" t="s">
        <v>11</v>
      </c>
      <c r="H20" s="13" t="s">
        <v>44</v>
      </c>
      <c r="I20" s="12"/>
      <c r="J20" s="12"/>
      <c r="K20" s="12"/>
      <c r="L20" s="12"/>
      <c r="M20" s="12"/>
      <c r="N20" s="14" t="s">
        <v>41</v>
      </c>
    </row>
    <row r="21" spans="2:14" x14ac:dyDescent="0.25">
      <c r="B21" s="9">
        <v>12</v>
      </c>
      <c r="C21" s="15" t="s">
        <v>29</v>
      </c>
      <c r="D21" s="11"/>
      <c r="E21" s="11"/>
      <c r="F21" s="12" t="s">
        <v>11</v>
      </c>
      <c r="G21" s="12" t="s">
        <v>11</v>
      </c>
      <c r="H21" s="13" t="s">
        <v>45</v>
      </c>
      <c r="I21" s="12"/>
      <c r="J21" s="12"/>
      <c r="K21" s="12"/>
      <c r="L21" s="12"/>
      <c r="M21" s="12"/>
      <c r="N21" s="14" t="s">
        <v>41</v>
      </c>
    </row>
    <row r="22" spans="2:14" x14ac:dyDescent="0.25">
      <c r="B22" s="9">
        <v>13</v>
      </c>
      <c r="C22" s="15" t="s">
        <v>29</v>
      </c>
      <c r="D22" s="11"/>
      <c r="E22" s="11"/>
      <c r="F22" s="12" t="s">
        <v>11</v>
      </c>
      <c r="G22" s="12" t="s">
        <v>11</v>
      </c>
      <c r="H22" s="13" t="s">
        <v>46</v>
      </c>
      <c r="I22" s="12"/>
      <c r="J22" s="12"/>
      <c r="K22" s="12"/>
      <c r="L22" s="12"/>
      <c r="M22" s="12"/>
      <c r="N22" s="14" t="s">
        <v>41</v>
      </c>
    </row>
    <row r="23" spans="2:14" x14ac:dyDescent="0.25">
      <c r="B23" s="9">
        <v>14</v>
      </c>
      <c r="C23" s="15" t="s">
        <v>29</v>
      </c>
      <c r="D23" s="11"/>
      <c r="E23" s="11" t="s">
        <v>47</v>
      </c>
      <c r="F23" s="12" t="s">
        <v>11</v>
      </c>
      <c r="G23" s="12" t="s">
        <v>11</v>
      </c>
      <c r="H23" s="13" t="s">
        <v>48</v>
      </c>
      <c r="I23" s="12"/>
      <c r="J23" s="12"/>
      <c r="K23" s="12"/>
      <c r="L23" s="12"/>
      <c r="M23" s="12"/>
      <c r="N23" s="14" t="s">
        <v>41</v>
      </c>
    </row>
    <row r="24" spans="2:14" x14ac:dyDescent="0.25">
      <c r="B24" s="9">
        <v>15</v>
      </c>
      <c r="C24" s="16" t="s">
        <v>35</v>
      </c>
      <c r="D24" s="11"/>
      <c r="E24" s="11"/>
      <c r="F24" s="12" t="s">
        <v>11</v>
      </c>
      <c r="G24" s="12" t="s">
        <v>11</v>
      </c>
      <c r="H24" s="13" t="s">
        <v>49</v>
      </c>
      <c r="I24" s="12"/>
      <c r="J24" s="12"/>
      <c r="K24" s="12"/>
      <c r="L24" s="12"/>
      <c r="M24" s="12"/>
      <c r="N24" s="14" t="s">
        <v>41</v>
      </c>
    </row>
    <row r="25" spans="2:14" x14ac:dyDescent="0.25">
      <c r="B25" s="9">
        <v>16</v>
      </c>
      <c r="C25" s="16" t="s">
        <v>35</v>
      </c>
      <c r="D25" s="11"/>
      <c r="E25" s="11" t="s">
        <v>39</v>
      </c>
      <c r="F25" s="12" t="s">
        <v>11</v>
      </c>
      <c r="G25" s="12" t="s">
        <v>11</v>
      </c>
      <c r="H25" s="13" t="s">
        <v>50</v>
      </c>
      <c r="I25" s="12"/>
      <c r="J25" s="12"/>
      <c r="K25" s="12"/>
      <c r="L25" s="12"/>
      <c r="M25" s="12"/>
      <c r="N25" s="14" t="s">
        <v>41</v>
      </c>
    </row>
    <row r="26" spans="2:14" x14ac:dyDescent="0.25">
      <c r="B26" s="9">
        <v>17</v>
      </c>
      <c r="C26" s="16" t="s">
        <v>35</v>
      </c>
      <c r="D26" s="11"/>
      <c r="E26" s="11"/>
      <c r="F26" s="12" t="s">
        <v>11</v>
      </c>
      <c r="G26" s="12" t="s">
        <v>11</v>
      </c>
      <c r="H26" s="13" t="s">
        <v>51</v>
      </c>
      <c r="I26" s="12"/>
      <c r="J26" s="12"/>
      <c r="K26" s="12"/>
      <c r="L26" s="12"/>
      <c r="M26" s="12"/>
      <c r="N26" s="14" t="s">
        <v>41</v>
      </c>
    </row>
    <row r="27" spans="2:14" x14ac:dyDescent="0.25">
      <c r="B27" s="9">
        <v>18</v>
      </c>
      <c r="C27" s="16" t="s">
        <v>35</v>
      </c>
      <c r="D27" s="11"/>
      <c r="E27" s="12" t="s">
        <v>42</v>
      </c>
      <c r="F27" s="12" t="s">
        <v>11</v>
      </c>
      <c r="G27" s="12" t="s">
        <v>11</v>
      </c>
      <c r="H27" s="13" t="s">
        <v>52</v>
      </c>
      <c r="I27" s="12"/>
      <c r="J27" s="12"/>
      <c r="K27" s="12"/>
      <c r="L27" s="12"/>
      <c r="M27" s="12"/>
      <c r="N27" s="14" t="s">
        <v>41</v>
      </c>
    </row>
    <row r="28" spans="2:14" x14ac:dyDescent="0.25">
      <c r="B28" s="9">
        <v>19</v>
      </c>
      <c r="C28" s="10" t="s">
        <v>22</v>
      </c>
      <c r="D28" s="11" t="s">
        <v>53</v>
      </c>
      <c r="E28" s="12" t="s">
        <v>54</v>
      </c>
      <c r="F28" s="12" t="s">
        <v>11</v>
      </c>
      <c r="G28" s="12" t="s">
        <v>11</v>
      </c>
      <c r="H28" s="13" t="s">
        <v>55</v>
      </c>
      <c r="I28" s="12"/>
      <c r="J28" s="12"/>
      <c r="K28" s="12"/>
      <c r="L28" s="12"/>
      <c r="M28" s="12"/>
      <c r="N28" s="14" t="s">
        <v>56</v>
      </c>
    </row>
    <row r="29" spans="2:14" x14ac:dyDescent="0.25">
      <c r="B29" s="9">
        <v>20</v>
      </c>
      <c r="C29" s="10" t="s">
        <v>22</v>
      </c>
      <c r="D29" s="11"/>
      <c r="E29" s="12" t="s">
        <v>57</v>
      </c>
      <c r="F29" s="12" t="s">
        <v>11</v>
      </c>
      <c r="G29" s="12" t="s">
        <v>11</v>
      </c>
      <c r="H29" s="13" t="s">
        <v>58</v>
      </c>
      <c r="I29" s="12"/>
      <c r="J29" s="12"/>
      <c r="K29" s="12"/>
      <c r="L29" s="12"/>
      <c r="M29" s="12"/>
      <c r="N29" s="14" t="s">
        <v>56</v>
      </c>
    </row>
    <row r="30" spans="2:14" x14ac:dyDescent="0.25">
      <c r="B30" s="9">
        <v>21</v>
      </c>
      <c r="C30" s="15" t="s">
        <v>29</v>
      </c>
      <c r="D30" s="11"/>
      <c r="E30" s="12" t="s">
        <v>54</v>
      </c>
      <c r="F30" s="12" t="s">
        <v>11</v>
      </c>
      <c r="G30" s="12" t="s">
        <v>11</v>
      </c>
      <c r="H30" s="13" t="s">
        <v>59</v>
      </c>
      <c r="I30" s="12"/>
      <c r="J30" s="12"/>
      <c r="K30" s="12"/>
      <c r="L30" s="12"/>
      <c r="M30" s="12"/>
      <c r="N30" s="14" t="s">
        <v>56</v>
      </c>
    </row>
    <row r="31" spans="2:14" x14ac:dyDescent="0.25">
      <c r="B31" s="9">
        <v>22</v>
      </c>
      <c r="C31" s="15" t="s">
        <v>29</v>
      </c>
      <c r="D31" s="11"/>
      <c r="E31" s="12" t="s">
        <v>57</v>
      </c>
      <c r="F31" s="12" t="s">
        <v>11</v>
      </c>
      <c r="G31" s="12" t="s">
        <v>11</v>
      </c>
      <c r="H31" s="13" t="s">
        <v>60</v>
      </c>
      <c r="I31" s="12"/>
      <c r="J31" s="12"/>
      <c r="K31" s="12"/>
      <c r="L31" s="12"/>
      <c r="M31" s="12"/>
      <c r="N31" s="14" t="s">
        <v>56</v>
      </c>
    </row>
    <row r="32" spans="2:14" x14ac:dyDescent="0.25">
      <c r="B32" s="9">
        <v>23</v>
      </c>
      <c r="C32" s="16" t="s">
        <v>35</v>
      </c>
      <c r="D32" s="11"/>
      <c r="E32" s="12" t="s">
        <v>54</v>
      </c>
      <c r="F32" s="12" t="s">
        <v>11</v>
      </c>
      <c r="G32" s="12" t="s">
        <v>11</v>
      </c>
      <c r="H32" s="13" t="s">
        <v>61</v>
      </c>
      <c r="I32" s="12"/>
      <c r="J32" s="12"/>
      <c r="K32" s="12"/>
      <c r="L32" s="12"/>
      <c r="M32" s="12"/>
      <c r="N32" s="14" t="s">
        <v>56</v>
      </c>
    </row>
    <row r="33" spans="2:14" x14ac:dyDescent="0.25">
      <c r="B33" s="9">
        <v>24</v>
      </c>
      <c r="C33" s="10" t="s">
        <v>22</v>
      </c>
      <c r="D33" s="11" t="s">
        <v>62</v>
      </c>
      <c r="E33" s="12" t="s">
        <v>63</v>
      </c>
      <c r="F33" s="12" t="s">
        <v>11</v>
      </c>
      <c r="G33" s="12" t="s">
        <v>11</v>
      </c>
      <c r="H33" s="13" t="s">
        <v>64</v>
      </c>
      <c r="I33" s="12"/>
      <c r="J33" s="12"/>
      <c r="K33" s="12"/>
      <c r="L33" s="12"/>
      <c r="M33" s="12"/>
      <c r="N33" s="14" t="s">
        <v>56</v>
      </c>
    </row>
    <row r="34" spans="2:14" x14ac:dyDescent="0.25">
      <c r="B34" s="9">
        <v>25</v>
      </c>
      <c r="C34" s="10" t="s">
        <v>22</v>
      </c>
      <c r="D34" s="11"/>
      <c r="E34" s="11" t="s">
        <v>65</v>
      </c>
      <c r="F34" s="11" t="s">
        <v>66</v>
      </c>
      <c r="G34" s="12" t="s">
        <v>11</v>
      </c>
      <c r="H34" s="13" t="s">
        <v>67</v>
      </c>
      <c r="I34" s="12"/>
      <c r="J34" s="12"/>
      <c r="K34" s="12"/>
      <c r="L34" s="12"/>
      <c r="M34" s="12"/>
      <c r="N34" s="14" t="s">
        <v>26</v>
      </c>
    </row>
    <row r="35" spans="2:14" x14ac:dyDescent="0.25">
      <c r="B35" s="9">
        <v>26</v>
      </c>
      <c r="C35" s="15" t="s">
        <v>29</v>
      </c>
      <c r="D35" s="11"/>
      <c r="E35" s="11"/>
      <c r="F35" s="11"/>
      <c r="G35" s="12" t="s">
        <v>11</v>
      </c>
      <c r="H35" s="13" t="s">
        <v>68</v>
      </c>
      <c r="I35" s="12"/>
      <c r="J35" s="12"/>
      <c r="K35" s="12"/>
      <c r="L35" s="12"/>
      <c r="M35" s="12"/>
      <c r="N35" s="14" t="s">
        <v>26</v>
      </c>
    </row>
    <row r="36" spans="2:14" x14ac:dyDescent="0.25">
      <c r="B36" s="9">
        <v>27</v>
      </c>
      <c r="C36" s="15" t="s">
        <v>29</v>
      </c>
      <c r="D36" s="11"/>
      <c r="E36" s="11"/>
      <c r="F36" s="11" t="s">
        <v>69</v>
      </c>
      <c r="G36" s="12" t="s">
        <v>11</v>
      </c>
      <c r="H36" s="13" t="s">
        <v>70</v>
      </c>
      <c r="I36" s="12"/>
      <c r="J36" s="12"/>
      <c r="K36" s="12"/>
      <c r="L36" s="12"/>
      <c r="M36" s="12"/>
      <c r="N36" s="14" t="s">
        <v>26</v>
      </c>
    </row>
    <row r="37" spans="2:14" x14ac:dyDescent="0.25">
      <c r="B37" s="9">
        <v>28</v>
      </c>
      <c r="C37" s="15" t="s">
        <v>29</v>
      </c>
      <c r="D37" s="11"/>
      <c r="E37" s="11"/>
      <c r="F37" s="11"/>
      <c r="G37" s="12" t="s">
        <v>11</v>
      </c>
      <c r="H37" s="13" t="s">
        <v>71</v>
      </c>
      <c r="I37" s="12"/>
      <c r="J37" s="12"/>
      <c r="K37" s="12"/>
      <c r="L37" s="12"/>
      <c r="M37" s="12"/>
      <c r="N37" s="14" t="s">
        <v>26</v>
      </c>
    </row>
    <row r="38" spans="2:14" x14ac:dyDescent="0.25">
      <c r="B38" s="9">
        <v>29</v>
      </c>
      <c r="C38" s="15" t="s">
        <v>29</v>
      </c>
      <c r="D38" s="11"/>
      <c r="E38" s="11"/>
      <c r="F38" s="11" t="s">
        <v>66</v>
      </c>
      <c r="G38" s="12" t="s">
        <v>11</v>
      </c>
      <c r="H38" s="13" t="s">
        <v>72</v>
      </c>
      <c r="I38" s="12"/>
      <c r="J38" s="12"/>
      <c r="K38" s="12"/>
      <c r="L38" s="12"/>
      <c r="M38" s="12"/>
      <c r="N38" s="14" t="s">
        <v>26</v>
      </c>
    </row>
    <row r="39" spans="2:14" x14ac:dyDescent="0.25">
      <c r="B39" s="9">
        <v>30</v>
      </c>
      <c r="C39" s="15" t="s">
        <v>29</v>
      </c>
      <c r="D39" s="11"/>
      <c r="E39" s="11"/>
      <c r="F39" s="11"/>
      <c r="G39" s="12" t="s">
        <v>11</v>
      </c>
      <c r="H39" s="13" t="s">
        <v>73</v>
      </c>
      <c r="I39" s="12"/>
      <c r="J39" s="12"/>
      <c r="K39" s="12"/>
      <c r="L39" s="12"/>
      <c r="M39" s="12"/>
      <c r="N39" s="14" t="s">
        <v>26</v>
      </c>
    </row>
    <row r="40" spans="2:14" x14ac:dyDescent="0.25">
      <c r="B40" s="9">
        <v>31</v>
      </c>
      <c r="C40" s="16" t="s">
        <v>35</v>
      </c>
      <c r="D40" s="11"/>
      <c r="E40" s="12" t="s">
        <v>63</v>
      </c>
      <c r="F40" s="12" t="s">
        <v>11</v>
      </c>
      <c r="G40" s="12" t="s">
        <v>11</v>
      </c>
      <c r="H40" s="13" t="s">
        <v>74</v>
      </c>
      <c r="I40" s="12"/>
      <c r="J40" s="12"/>
      <c r="K40" s="12"/>
      <c r="L40" s="12"/>
      <c r="M40" s="12"/>
      <c r="N40" s="14" t="s">
        <v>56</v>
      </c>
    </row>
    <row r="41" spans="2:14" x14ac:dyDescent="0.25">
      <c r="B41" s="9">
        <v>32</v>
      </c>
      <c r="C41" s="16" t="s">
        <v>35</v>
      </c>
      <c r="D41" s="11"/>
      <c r="E41" s="11" t="s">
        <v>65</v>
      </c>
      <c r="F41" s="12" t="s">
        <v>75</v>
      </c>
      <c r="G41" s="12" t="s">
        <v>11</v>
      </c>
      <c r="H41" s="13" t="s">
        <v>76</v>
      </c>
      <c r="I41" s="12"/>
      <c r="J41" s="12"/>
      <c r="K41" s="12"/>
      <c r="L41" s="12"/>
      <c r="M41" s="12"/>
      <c r="N41" s="14" t="s">
        <v>56</v>
      </c>
    </row>
    <row r="42" spans="2:14" x14ac:dyDescent="0.25">
      <c r="B42" s="9">
        <v>33</v>
      </c>
      <c r="C42" s="16" t="s">
        <v>35</v>
      </c>
      <c r="D42" s="11"/>
      <c r="E42" s="11"/>
      <c r="F42" s="12" t="s">
        <v>66</v>
      </c>
      <c r="G42" s="12" t="s">
        <v>11</v>
      </c>
      <c r="H42" s="13" t="s">
        <v>77</v>
      </c>
      <c r="I42" s="12"/>
      <c r="J42" s="12"/>
      <c r="K42" s="12"/>
      <c r="L42" s="12"/>
      <c r="M42" s="12"/>
      <c r="N42" s="14" t="s">
        <v>56</v>
      </c>
    </row>
    <row r="43" spans="2:14" x14ac:dyDescent="0.25">
      <c r="B43" s="9">
        <v>34</v>
      </c>
      <c r="C43" s="10" t="s">
        <v>22</v>
      </c>
      <c r="D43" s="11" t="s">
        <v>78</v>
      </c>
      <c r="E43" s="11" t="s">
        <v>79</v>
      </c>
      <c r="F43" s="12" t="s">
        <v>80</v>
      </c>
      <c r="G43" s="12" t="s">
        <v>11</v>
      </c>
      <c r="H43" s="13" t="s">
        <v>81</v>
      </c>
      <c r="I43" s="12"/>
      <c r="J43" s="12"/>
      <c r="K43" s="12"/>
      <c r="L43" s="12"/>
      <c r="M43" s="12"/>
      <c r="N43" s="14" t="s">
        <v>82</v>
      </c>
    </row>
    <row r="44" spans="2:14" x14ac:dyDescent="0.25">
      <c r="B44" s="9">
        <v>35</v>
      </c>
      <c r="C44" s="10" t="s">
        <v>22</v>
      </c>
      <c r="D44" s="11"/>
      <c r="E44" s="11"/>
      <c r="F44" s="12" t="s">
        <v>83</v>
      </c>
      <c r="G44" s="12" t="s">
        <v>11</v>
      </c>
      <c r="H44" s="13" t="s">
        <v>84</v>
      </c>
      <c r="I44" s="12"/>
      <c r="J44" s="12"/>
      <c r="K44" s="12"/>
      <c r="L44" s="12"/>
      <c r="M44" s="12"/>
      <c r="N44" s="14" t="s">
        <v>82</v>
      </c>
    </row>
    <row r="45" spans="2:14" x14ac:dyDescent="0.25">
      <c r="B45" s="9">
        <v>36</v>
      </c>
      <c r="C45" s="10" t="s">
        <v>22</v>
      </c>
      <c r="D45" s="11"/>
      <c r="E45" s="11" t="s">
        <v>85</v>
      </c>
      <c r="F45" s="12" t="s">
        <v>86</v>
      </c>
      <c r="G45" s="12" t="s">
        <v>11</v>
      </c>
      <c r="H45" s="13" t="s">
        <v>87</v>
      </c>
      <c r="I45" s="12"/>
      <c r="J45" s="12"/>
      <c r="K45" s="12"/>
      <c r="L45" s="12"/>
      <c r="M45" s="12"/>
      <c r="N45" s="14" t="s">
        <v>82</v>
      </c>
    </row>
    <row r="46" spans="2:14" x14ac:dyDescent="0.25">
      <c r="B46" s="9">
        <v>37</v>
      </c>
      <c r="C46" s="10" t="s">
        <v>22</v>
      </c>
      <c r="D46" s="11"/>
      <c r="E46" s="11"/>
      <c r="F46" s="12" t="s">
        <v>83</v>
      </c>
      <c r="G46" s="12" t="s">
        <v>11</v>
      </c>
      <c r="H46" s="13" t="s">
        <v>88</v>
      </c>
      <c r="I46" s="12"/>
      <c r="J46" s="12"/>
      <c r="K46" s="12"/>
      <c r="L46" s="12"/>
      <c r="M46" s="12"/>
      <c r="N46" s="14" t="s">
        <v>82</v>
      </c>
    </row>
    <row r="47" spans="2:14" x14ac:dyDescent="0.25">
      <c r="B47" s="9">
        <v>38</v>
      </c>
      <c r="C47" s="15" t="s">
        <v>29</v>
      </c>
      <c r="D47" s="11"/>
      <c r="E47" s="11" t="s">
        <v>79</v>
      </c>
      <c r="F47" s="12" t="s">
        <v>80</v>
      </c>
      <c r="G47" s="12" t="s">
        <v>11</v>
      </c>
      <c r="H47" s="13" t="s">
        <v>89</v>
      </c>
      <c r="I47" s="12"/>
      <c r="J47" s="12"/>
      <c r="K47" s="12"/>
      <c r="L47" s="12"/>
      <c r="M47" s="12"/>
      <c r="N47" s="14" t="s">
        <v>82</v>
      </c>
    </row>
    <row r="48" spans="2:14" x14ac:dyDescent="0.25">
      <c r="B48" s="9">
        <v>39</v>
      </c>
      <c r="C48" s="15" t="s">
        <v>29</v>
      </c>
      <c r="D48" s="11"/>
      <c r="E48" s="11"/>
      <c r="F48" s="11" t="s">
        <v>83</v>
      </c>
      <c r="G48" s="12" t="s">
        <v>90</v>
      </c>
      <c r="H48" s="13" t="s">
        <v>91</v>
      </c>
      <c r="I48" s="12"/>
      <c r="J48" s="12"/>
      <c r="K48" s="12"/>
      <c r="L48" s="12"/>
      <c r="M48" s="12"/>
      <c r="N48" s="14" t="s">
        <v>82</v>
      </c>
    </row>
    <row r="49" spans="2:14" x14ac:dyDescent="0.25">
      <c r="B49" s="9">
        <v>40</v>
      </c>
      <c r="C49" s="15" t="s">
        <v>29</v>
      </c>
      <c r="D49" s="11"/>
      <c r="E49" s="11"/>
      <c r="F49" s="11"/>
      <c r="G49" s="12" t="s">
        <v>92</v>
      </c>
      <c r="H49" s="13" t="s">
        <v>93</v>
      </c>
      <c r="I49" s="12"/>
      <c r="J49" s="12"/>
      <c r="K49" s="12"/>
      <c r="L49" s="12"/>
      <c r="M49" s="12"/>
      <c r="N49" s="14" t="s">
        <v>82</v>
      </c>
    </row>
    <row r="50" spans="2:14" x14ac:dyDescent="0.25">
      <c r="B50" s="9">
        <v>41</v>
      </c>
      <c r="C50" s="15" t="s">
        <v>29</v>
      </c>
      <c r="D50" s="11"/>
      <c r="E50" s="11"/>
      <c r="F50" s="11"/>
      <c r="G50" s="12" t="s">
        <v>94</v>
      </c>
      <c r="H50" s="13" t="s">
        <v>95</v>
      </c>
      <c r="I50" s="12"/>
      <c r="J50" s="12"/>
      <c r="K50" s="12"/>
      <c r="L50" s="12"/>
      <c r="M50" s="12"/>
      <c r="N50" s="14" t="s">
        <v>82</v>
      </c>
    </row>
    <row r="51" spans="2:14" x14ac:dyDescent="0.25">
      <c r="B51" s="9">
        <v>42</v>
      </c>
      <c r="C51" s="15" t="s">
        <v>29</v>
      </c>
      <c r="D51" s="11"/>
      <c r="E51" s="11"/>
      <c r="F51" s="11"/>
      <c r="G51" s="12" t="s">
        <v>94</v>
      </c>
      <c r="H51" s="13" t="s">
        <v>96</v>
      </c>
      <c r="I51" s="12"/>
      <c r="J51" s="12"/>
      <c r="K51" s="12"/>
      <c r="L51" s="12"/>
      <c r="M51" s="12"/>
      <c r="N51" s="14" t="s">
        <v>82</v>
      </c>
    </row>
    <row r="52" spans="2:14" x14ac:dyDescent="0.25">
      <c r="B52" s="9">
        <v>43</v>
      </c>
      <c r="C52" s="15" t="s">
        <v>29</v>
      </c>
      <c r="D52" s="11"/>
      <c r="E52" s="11" t="s">
        <v>85</v>
      </c>
      <c r="F52" s="11" t="s">
        <v>86</v>
      </c>
      <c r="G52" s="12" t="s">
        <v>11</v>
      </c>
      <c r="H52" s="13" t="s">
        <v>97</v>
      </c>
      <c r="I52" s="12"/>
      <c r="J52" s="12"/>
      <c r="K52" s="12"/>
      <c r="L52" s="12"/>
      <c r="M52" s="12"/>
      <c r="N52" s="14" t="s">
        <v>82</v>
      </c>
    </row>
    <row r="53" spans="2:14" x14ac:dyDescent="0.25">
      <c r="B53" s="9">
        <v>44</v>
      </c>
      <c r="C53" s="15" t="s">
        <v>29</v>
      </c>
      <c r="D53" s="11"/>
      <c r="E53" s="11"/>
      <c r="F53" s="11"/>
      <c r="G53" s="12" t="s">
        <v>11</v>
      </c>
      <c r="H53" s="13" t="s">
        <v>98</v>
      </c>
      <c r="I53" s="12"/>
      <c r="J53" s="12"/>
      <c r="K53" s="12"/>
      <c r="L53" s="12"/>
      <c r="M53" s="12"/>
      <c r="N53" s="14" t="s">
        <v>82</v>
      </c>
    </row>
    <row r="54" spans="2:14" x14ac:dyDescent="0.25">
      <c r="B54" s="9">
        <v>45</v>
      </c>
      <c r="C54" s="15" t="s">
        <v>29</v>
      </c>
      <c r="D54" s="11"/>
      <c r="E54" s="11"/>
      <c r="F54" s="12" t="s">
        <v>83</v>
      </c>
      <c r="G54" s="12" t="s">
        <v>99</v>
      </c>
      <c r="H54" s="13" t="s">
        <v>100</v>
      </c>
      <c r="I54" s="12"/>
      <c r="J54" s="12"/>
      <c r="K54" s="12"/>
      <c r="L54" s="12"/>
      <c r="M54" s="12"/>
      <c r="N54" s="14" t="s">
        <v>82</v>
      </c>
    </row>
    <row r="55" spans="2:14" x14ac:dyDescent="0.25">
      <c r="B55" s="9">
        <v>46</v>
      </c>
      <c r="C55" s="16" t="s">
        <v>35</v>
      </c>
      <c r="D55" s="11"/>
      <c r="E55" s="11" t="s">
        <v>79</v>
      </c>
      <c r="F55" s="12" t="s">
        <v>80</v>
      </c>
      <c r="G55" s="12" t="s">
        <v>11</v>
      </c>
      <c r="H55" s="13" t="s">
        <v>101</v>
      </c>
      <c r="I55" s="12"/>
      <c r="J55" s="12"/>
      <c r="K55" s="12"/>
      <c r="L55" s="12"/>
      <c r="M55" s="12"/>
      <c r="N55" s="14" t="s">
        <v>82</v>
      </c>
    </row>
    <row r="56" spans="2:14" x14ac:dyDescent="0.25">
      <c r="B56" s="9">
        <v>47</v>
      </c>
      <c r="C56" s="16" t="s">
        <v>35</v>
      </c>
      <c r="D56" s="11"/>
      <c r="E56" s="11"/>
      <c r="F56" s="12" t="s">
        <v>83</v>
      </c>
      <c r="G56" s="12" t="s">
        <v>90</v>
      </c>
      <c r="H56" s="13" t="s">
        <v>102</v>
      </c>
      <c r="I56" s="12"/>
      <c r="J56" s="12"/>
      <c r="K56" s="12"/>
      <c r="L56" s="12"/>
      <c r="M56" s="12"/>
      <c r="N56" s="14" t="s">
        <v>82</v>
      </c>
    </row>
    <row r="57" spans="2:14" x14ac:dyDescent="0.25">
      <c r="B57" s="9">
        <v>48</v>
      </c>
      <c r="C57" s="16" t="s">
        <v>35</v>
      </c>
      <c r="D57" s="11"/>
      <c r="E57" s="11" t="s">
        <v>85</v>
      </c>
      <c r="F57" s="12" t="s">
        <v>86</v>
      </c>
      <c r="G57" s="12" t="s">
        <v>11</v>
      </c>
      <c r="H57" s="13" t="s">
        <v>103</v>
      </c>
      <c r="I57" s="12"/>
      <c r="J57" s="12"/>
      <c r="K57" s="12"/>
      <c r="L57" s="12"/>
      <c r="M57" s="12"/>
      <c r="N57" s="14" t="s">
        <v>82</v>
      </c>
    </row>
    <row r="58" spans="2:14" x14ac:dyDescent="0.25">
      <c r="B58" s="9">
        <v>49</v>
      </c>
      <c r="C58" s="16" t="s">
        <v>35</v>
      </c>
      <c r="D58" s="11"/>
      <c r="E58" s="11"/>
      <c r="F58" s="11" t="s">
        <v>83</v>
      </c>
      <c r="G58" s="12" t="s">
        <v>104</v>
      </c>
      <c r="H58" s="13" t="s">
        <v>105</v>
      </c>
      <c r="I58" s="12"/>
      <c r="J58" s="12"/>
      <c r="K58" s="12"/>
      <c r="L58" s="12"/>
      <c r="M58" s="12"/>
      <c r="N58" s="14" t="s">
        <v>82</v>
      </c>
    </row>
    <row r="59" spans="2:14" x14ac:dyDescent="0.25">
      <c r="B59" s="9">
        <v>50</v>
      </c>
      <c r="C59" s="16" t="s">
        <v>35</v>
      </c>
      <c r="D59" s="11"/>
      <c r="E59" s="12" t="s">
        <v>79</v>
      </c>
      <c r="F59" s="11"/>
      <c r="G59" s="12" t="s">
        <v>92</v>
      </c>
      <c r="H59" s="13" t="s">
        <v>106</v>
      </c>
      <c r="I59" s="12"/>
      <c r="J59" s="12"/>
      <c r="K59" s="12"/>
      <c r="L59" s="12"/>
      <c r="M59" s="12"/>
      <c r="N59" s="14" t="s">
        <v>82</v>
      </c>
    </row>
    <row r="60" spans="2:14" x14ac:dyDescent="0.25">
      <c r="B60" s="9">
        <v>51</v>
      </c>
      <c r="C60" s="16" t="s">
        <v>35</v>
      </c>
      <c r="D60" s="11"/>
      <c r="E60" s="12" t="s">
        <v>85</v>
      </c>
      <c r="F60" s="11"/>
      <c r="G60" s="12" t="s">
        <v>104</v>
      </c>
      <c r="H60" s="13" t="s">
        <v>107</v>
      </c>
      <c r="I60" s="12"/>
      <c r="J60" s="12"/>
      <c r="K60" s="12"/>
      <c r="L60" s="12"/>
      <c r="M60" s="12"/>
      <c r="N60" s="14" t="s">
        <v>82</v>
      </c>
    </row>
    <row r="61" spans="2:14" x14ac:dyDescent="0.25">
      <c r="B61" s="9">
        <v>52</v>
      </c>
      <c r="C61" s="10" t="s">
        <v>22</v>
      </c>
      <c r="D61" s="11" t="s">
        <v>108</v>
      </c>
      <c r="E61" s="12" t="s">
        <v>109</v>
      </c>
      <c r="F61" s="12" t="s">
        <v>11</v>
      </c>
      <c r="G61" s="12" t="s">
        <v>11</v>
      </c>
      <c r="H61" s="13" t="s">
        <v>110</v>
      </c>
      <c r="I61" s="12"/>
      <c r="J61" s="12"/>
      <c r="K61" s="12"/>
      <c r="L61" s="12"/>
      <c r="M61" s="12"/>
      <c r="N61" s="14" t="s">
        <v>111</v>
      </c>
    </row>
    <row r="62" spans="2:14" x14ac:dyDescent="0.25">
      <c r="B62" s="9">
        <v>53</v>
      </c>
      <c r="C62" s="10" t="s">
        <v>22</v>
      </c>
      <c r="D62" s="11"/>
      <c r="E62" s="12" t="s">
        <v>112</v>
      </c>
      <c r="F62" s="12" t="s">
        <v>11</v>
      </c>
      <c r="G62" s="12" t="s">
        <v>11</v>
      </c>
      <c r="H62" s="13" t="s">
        <v>113</v>
      </c>
      <c r="I62" s="12"/>
      <c r="J62" s="12"/>
      <c r="K62" s="12"/>
      <c r="L62" s="12"/>
      <c r="M62" s="12"/>
      <c r="N62" s="14" t="s">
        <v>111</v>
      </c>
    </row>
    <row r="63" spans="2:14" x14ac:dyDescent="0.25">
      <c r="B63" s="9">
        <v>54</v>
      </c>
      <c r="C63" s="15" t="s">
        <v>29</v>
      </c>
      <c r="D63" s="11"/>
      <c r="E63" s="12" t="s">
        <v>109</v>
      </c>
      <c r="F63" s="12" t="s">
        <v>11</v>
      </c>
      <c r="G63" s="12" t="s">
        <v>11</v>
      </c>
      <c r="H63" s="13" t="s">
        <v>114</v>
      </c>
      <c r="I63" s="12"/>
      <c r="J63" s="12"/>
      <c r="K63" s="12"/>
      <c r="L63" s="12"/>
      <c r="M63" s="12"/>
      <c r="N63" s="14" t="s">
        <v>111</v>
      </c>
    </row>
    <row r="64" spans="2:14" x14ac:dyDescent="0.25">
      <c r="B64" s="9">
        <v>55</v>
      </c>
      <c r="C64" s="15" t="s">
        <v>29</v>
      </c>
      <c r="D64" s="11"/>
      <c r="E64" s="11" t="s">
        <v>112</v>
      </c>
      <c r="F64" s="12" t="s">
        <v>11</v>
      </c>
      <c r="G64" s="12" t="s">
        <v>11</v>
      </c>
      <c r="H64" s="13" t="s">
        <v>115</v>
      </c>
      <c r="I64" s="12"/>
      <c r="J64" s="12"/>
      <c r="K64" s="12"/>
      <c r="L64" s="12"/>
      <c r="M64" s="12"/>
      <c r="N64" s="14" t="s">
        <v>111</v>
      </c>
    </row>
    <row r="65" spans="2:14" x14ac:dyDescent="0.25">
      <c r="B65" s="9">
        <v>56</v>
      </c>
      <c r="C65" s="15" t="s">
        <v>29</v>
      </c>
      <c r="D65" s="11"/>
      <c r="E65" s="11"/>
      <c r="F65" s="12" t="s">
        <v>11</v>
      </c>
      <c r="G65" s="12" t="s">
        <v>11</v>
      </c>
      <c r="H65" s="13" t="s">
        <v>116</v>
      </c>
      <c r="I65" s="12"/>
      <c r="J65" s="12"/>
      <c r="K65" s="12"/>
      <c r="L65" s="12"/>
      <c r="M65" s="12"/>
      <c r="N65" s="14" t="s">
        <v>111</v>
      </c>
    </row>
    <row r="66" spans="2:14" x14ac:dyDescent="0.25">
      <c r="B66" s="9">
        <v>57</v>
      </c>
      <c r="C66" s="16" t="s">
        <v>35</v>
      </c>
      <c r="D66" s="11"/>
      <c r="E66" s="12" t="s">
        <v>109</v>
      </c>
      <c r="F66" s="12" t="s">
        <v>11</v>
      </c>
      <c r="G66" s="12" t="s">
        <v>11</v>
      </c>
      <c r="H66" s="13" t="s">
        <v>117</v>
      </c>
      <c r="I66" s="12"/>
      <c r="J66" s="12"/>
      <c r="K66" s="12"/>
      <c r="L66" s="12"/>
      <c r="M66" s="12"/>
      <c r="N66" s="14" t="s">
        <v>111</v>
      </c>
    </row>
    <row r="67" spans="2:14" x14ac:dyDescent="0.25">
      <c r="B67" s="9">
        <v>58</v>
      </c>
      <c r="C67" s="16" t="s">
        <v>35</v>
      </c>
      <c r="D67" s="11"/>
      <c r="E67" s="12" t="s">
        <v>112</v>
      </c>
      <c r="F67" s="12" t="s">
        <v>11</v>
      </c>
      <c r="G67" s="12" t="s">
        <v>11</v>
      </c>
      <c r="H67" s="13" t="s">
        <v>118</v>
      </c>
      <c r="I67" s="12"/>
      <c r="J67" s="12"/>
      <c r="K67" s="12"/>
      <c r="L67" s="12"/>
      <c r="M67" s="12"/>
      <c r="N67" s="14" t="s">
        <v>111</v>
      </c>
    </row>
    <row r="68" spans="2:14" x14ac:dyDescent="0.25">
      <c r="B68" s="9">
        <v>59</v>
      </c>
      <c r="C68" s="10" t="s">
        <v>22</v>
      </c>
      <c r="D68" s="11" t="s">
        <v>119</v>
      </c>
      <c r="E68" s="11" t="s">
        <v>120</v>
      </c>
      <c r="F68" s="12" t="s">
        <v>121</v>
      </c>
      <c r="G68" s="12" t="s">
        <v>11</v>
      </c>
      <c r="H68" s="13" t="s">
        <v>122</v>
      </c>
      <c r="I68" s="12"/>
      <c r="J68" s="12"/>
      <c r="K68" s="12"/>
      <c r="L68" s="12"/>
      <c r="M68" s="12"/>
      <c r="N68" s="14" t="s">
        <v>123</v>
      </c>
    </row>
    <row r="69" spans="2:14" x14ac:dyDescent="0.25">
      <c r="B69" s="9">
        <v>60</v>
      </c>
      <c r="C69" s="15" t="s">
        <v>29</v>
      </c>
      <c r="D69" s="11"/>
      <c r="E69" s="11"/>
      <c r="F69" s="12" t="s">
        <v>92</v>
      </c>
      <c r="G69" s="12" t="s">
        <v>11</v>
      </c>
      <c r="H69" s="13" t="s">
        <v>124</v>
      </c>
      <c r="I69" s="12"/>
      <c r="J69" s="12"/>
      <c r="K69" s="12"/>
      <c r="L69" s="12"/>
      <c r="M69" s="12"/>
      <c r="N69" s="14" t="s">
        <v>123</v>
      </c>
    </row>
    <row r="70" spans="2:14" x14ac:dyDescent="0.25">
      <c r="B70" s="9">
        <v>61</v>
      </c>
      <c r="C70" s="15" t="s">
        <v>29</v>
      </c>
      <c r="D70" s="11"/>
      <c r="E70" s="11"/>
      <c r="F70" s="12" t="s">
        <v>125</v>
      </c>
      <c r="G70" s="12" t="s">
        <v>11</v>
      </c>
      <c r="H70" s="13" t="s">
        <v>126</v>
      </c>
      <c r="I70" s="12"/>
      <c r="J70" s="12"/>
      <c r="K70" s="12"/>
      <c r="L70" s="12"/>
      <c r="M70" s="12"/>
      <c r="N70" s="14" t="s">
        <v>123</v>
      </c>
    </row>
    <row r="71" spans="2:14" x14ac:dyDescent="0.25">
      <c r="B71" s="9">
        <v>62</v>
      </c>
      <c r="C71" s="15" t="s">
        <v>29</v>
      </c>
      <c r="D71" s="11"/>
      <c r="E71" s="11"/>
      <c r="F71" s="11" t="s">
        <v>121</v>
      </c>
      <c r="G71" s="12" t="s">
        <v>11</v>
      </c>
      <c r="H71" s="13" t="s">
        <v>127</v>
      </c>
      <c r="I71" s="12"/>
      <c r="J71" s="12"/>
      <c r="K71" s="12"/>
      <c r="L71" s="12"/>
      <c r="M71" s="12"/>
      <c r="N71" s="14" t="s">
        <v>123</v>
      </c>
    </row>
    <row r="72" spans="2:14" x14ac:dyDescent="0.25">
      <c r="B72" s="9">
        <v>63</v>
      </c>
      <c r="C72" s="16" t="s">
        <v>35</v>
      </c>
      <c r="D72" s="11"/>
      <c r="E72" s="11"/>
      <c r="F72" s="11"/>
      <c r="G72" s="12" t="s">
        <v>11</v>
      </c>
      <c r="H72" s="13" t="s">
        <v>128</v>
      </c>
      <c r="I72" s="12"/>
      <c r="J72" s="12"/>
      <c r="K72" s="12"/>
      <c r="L72" s="12"/>
      <c r="M72" s="12"/>
      <c r="N72" s="14" t="s">
        <v>123</v>
      </c>
    </row>
    <row r="73" spans="2:14" x14ac:dyDescent="0.25">
      <c r="B73" s="9">
        <v>64</v>
      </c>
      <c r="C73" s="10" t="s">
        <v>22</v>
      </c>
      <c r="D73" s="11"/>
      <c r="E73" s="11" t="s">
        <v>129</v>
      </c>
      <c r="F73" s="12" t="s">
        <v>130</v>
      </c>
      <c r="G73" s="12" t="s">
        <v>11</v>
      </c>
      <c r="H73" s="13" t="s">
        <v>131</v>
      </c>
      <c r="I73" s="12"/>
      <c r="J73" s="12"/>
      <c r="K73" s="12"/>
      <c r="L73" s="12"/>
      <c r="M73" s="12"/>
      <c r="N73" s="14" t="s">
        <v>123</v>
      </c>
    </row>
    <row r="74" spans="2:14" x14ac:dyDescent="0.25">
      <c r="B74" s="9">
        <v>65</v>
      </c>
      <c r="C74" s="15" t="s">
        <v>29</v>
      </c>
      <c r="D74" s="11"/>
      <c r="E74" s="11"/>
      <c r="F74" s="12" t="s">
        <v>132</v>
      </c>
      <c r="G74" s="12" t="s">
        <v>11</v>
      </c>
      <c r="H74" s="13" t="s">
        <v>133</v>
      </c>
      <c r="I74" s="12"/>
      <c r="J74" s="12"/>
      <c r="K74" s="12"/>
      <c r="L74" s="12"/>
      <c r="M74" s="12"/>
      <c r="N74" s="14" t="s">
        <v>123</v>
      </c>
    </row>
    <row r="75" spans="2:14" x14ac:dyDescent="0.25">
      <c r="B75" s="9">
        <v>66</v>
      </c>
      <c r="C75" s="15" t="s">
        <v>29</v>
      </c>
      <c r="D75" s="11"/>
      <c r="E75" s="11"/>
      <c r="F75" s="12" t="s">
        <v>134</v>
      </c>
      <c r="G75" s="12" t="s">
        <v>11</v>
      </c>
      <c r="H75" s="13" t="s">
        <v>135</v>
      </c>
      <c r="I75" s="12"/>
      <c r="J75" s="12"/>
      <c r="K75" s="12"/>
      <c r="L75" s="12"/>
      <c r="M75" s="12"/>
      <c r="N75" s="14" t="s">
        <v>123</v>
      </c>
    </row>
    <row r="76" spans="2:14" x14ac:dyDescent="0.25">
      <c r="B76" s="9">
        <v>67</v>
      </c>
      <c r="C76" s="15" t="s">
        <v>29</v>
      </c>
      <c r="D76" s="11"/>
      <c r="E76" s="11"/>
      <c r="F76" s="11" t="s">
        <v>132</v>
      </c>
      <c r="G76" s="12" t="s">
        <v>11</v>
      </c>
      <c r="H76" s="13" t="s">
        <v>136</v>
      </c>
      <c r="I76" s="12"/>
      <c r="J76" s="12"/>
      <c r="K76" s="12"/>
      <c r="L76" s="12"/>
      <c r="M76" s="12"/>
      <c r="N76" s="14" t="s">
        <v>123</v>
      </c>
    </row>
    <row r="77" spans="2:14" x14ac:dyDescent="0.25">
      <c r="B77" s="9">
        <v>68</v>
      </c>
      <c r="C77" s="16" t="s">
        <v>35</v>
      </c>
      <c r="D77" s="11"/>
      <c r="E77" s="11"/>
      <c r="F77" s="11"/>
      <c r="G77" s="12" t="s">
        <v>11</v>
      </c>
      <c r="H77" s="13" t="s">
        <v>137</v>
      </c>
      <c r="I77" s="12"/>
      <c r="J77" s="12"/>
      <c r="K77" s="12"/>
      <c r="L77" s="12"/>
      <c r="M77" s="12"/>
      <c r="N77" s="14" t="s">
        <v>123</v>
      </c>
    </row>
    <row r="78" spans="2:14" x14ac:dyDescent="0.25">
      <c r="B78" s="9">
        <v>69</v>
      </c>
      <c r="C78" s="16" t="s">
        <v>35</v>
      </c>
      <c r="D78" s="11"/>
      <c r="E78" s="11"/>
      <c r="F78" s="12" t="s">
        <v>134</v>
      </c>
      <c r="G78" s="12" t="s">
        <v>11</v>
      </c>
      <c r="H78" s="13" t="s">
        <v>138</v>
      </c>
      <c r="I78" s="12"/>
      <c r="J78" s="12"/>
      <c r="K78" s="12"/>
      <c r="L78" s="12"/>
      <c r="M78" s="12"/>
      <c r="N78" s="14" t="s">
        <v>123</v>
      </c>
    </row>
    <row r="79" spans="2:14" x14ac:dyDescent="0.25">
      <c r="B79" s="9">
        <v>70</v>
      </c>
      <c r="C79" s="10" t="s">
        <v>22</v>
      </c>
      <c r="D79" s="11"/>
      <c r="E79" s="11" t="s">
        <v>139</v>
      </c>
      <c r="F79" s="12" t="s">
        <v>140</v>
      </c>
      <c r="G79" s="12" t="s">
        <v>11</v>
      </c>
      <c r="H79" s="13" t="s">
        <v>141</v>
      </c>
      <c r="I79" s="12"/>
      <c r="J79" s="12"/>
      <c r="K79" s="12"/>
      <c r="L79" s="12"/>
      <c r="M79" s="12"/>
      <c r="N79" s="14" t="s">
        <v>123</v>
      </c>
    </row>
    <row r="80" spans="2:14" x14ac:dyDescent="0.25">
      <c r="B80" s="9">
        <v>71</v>
      </c>
      <c r="C80" s="10" t="s">
        <v>22</v>
      </c>
      <c r="D80" s="11"/>
      <c r="E80" s="11"/>
      <c r="F80" s="12" t="s">
        <v>142</v>
      </c>
      <c r="G80" s="12" t="s">
        <v>11</v>
      </c>
      <c r="H80" s="13" t="s">
        <v>143</v>
      </c>
      <c r="I80" s="12"/>
      <c r="J80" s="12"/>
      <c r="K80" s="12"/>
      <c r="L80" s="12"/>
      <c r="M80" s="12"/>
      <c r="N80" s="14" t="s">
        <v>123</v>
      </c>
    </row>
    <row r="81" spans="2:14" x14ac:dyDescent="0.25">
      <c r="B81" s="9">
        <v>72</v>
      </c>
      <c r="C81" s="15" t="s">
        <v>29</v>
      </c>
      <c r="D81" s="11"/>
      <c r="E81" s="11"/>
      <c r="F81" s="12" t="s">
        <v>144</v>
      </c>
      <c r="G81" s="12" t="s">
        <v>11</v>
      </c>
      <c r="H81" s="13" t="s">
        <v>145</v>
      </c>
      <c r="I81" s="12"/>
      <c r="J81" s="12"/>
      <c r="K81" s="12"/>
      <c r="L81" s="12"/>
      <c r="M81" s="12"/>
      <c r="N81" s="14" t="s">
        <v>123</v>
      </c>
    </row>
    <row r="82" spans="2:14" x14ac:dyDescent="0.25">
      <c r="B82" s="9">
        <v>73</v>
      </c>
      <c r="C82" s="15" t="s">
        <v>29</v>
      </c>
      <c r="D82" s="11"/>
      <c r="E82" s="11"/>
      <c r="F82" s="12" t="s">
        <v>142</v>
      </c>
      <c r="G82" s="12" t="s">
        <v>11</v>
      </c>
      <c r="H82" s="13" t="s">
        <v>146</v>
      </c>
      <c r="I82" s="12"/>
      <c r="J82" s="12"/>
      <c r="K82" s="12"/>
      <c r="L82" s="12"/>
      <c r="M82" s="12"/>
      <c r="N82" s="14" t="s">
        <v>123</v>
      </c>
    </row>
    <row r="83" spans="2:14" x14ac:dyDescent="0.25">
      <c r="B83" s="9">
        <v>74</v>
      </c>
      <c r="C83" s="16" t="s">
        <v>35</v>
      </c>
      <c r="D83" s="11"/>
      <c r="E83" s="11"/>
      <c r="F83" s="12" t="s">
        <v>144</v>
      </c>
      <c r="G83" s="12" t="s">
        <v>11</v>
      </c>
      <c r="H83" s="13" t="s">
        <v>147</v>
      </c>
      <c r="I83" s="12"/>
      <c r="J83" s="12"/>
      <c r="K83" s="12"/>
      <c r="L83" s="12"/>
      <c r="M83" s="12"/>
      <c r="N83" s="14" t="s">
        <v>123</v>
      </c>
    </row>
    <row r="84" spans="2:14" x14ac:dyDescent="0.25">
      <c r="B84" s="9">
        <v>75</v>
      </c>
      <c r="C84" s="16" t="s">
        <v>35</v>
      </c>
      <c r="D84" s="11"/>
      <c r="E84" s="11"/>
      <c r="F84" s="12" t="s">
        <v>140</v>
      </c>
      <c r="G84" s="12" t="s">
        <v>11</v>
      </c>
      <c r="H84" s="13" t="s">
        <v>148</v>
      </c>
      <c r="I84" s="12"/>
      <c r="J84" s="12"/>
      <c r="K84" s="12"/>
      <c r="L84" s="12"/>
      <c r="M84" s="12"/>
      <c r="N84" s="14" t="s">
        <v>123</v>
      </c>
    </row>
    <row r="85" spans="2:14" x14ac:dyDescent="0.25">
      <c r="B85" s="9">
        <v>76</v>
      </c>
      <c r="C85" s="10" t="s">
        <v>22</v>
      </c>
      <c r="D85" s="11"/>
      <c r="E85" s="11" t="s">
        <v>149</v>
      </c>
      <c r="F85" s="12" t="s">
        <v>11</v>
      </c>
      <c r="G85" s="12" t="s">
        <v>11</v>
      </c>
      <c r="H85" s="13" t="s">
        <v>150</v>
      </c>
      <c r="I85" s="12"/>
      <c r="J85" s="12"/>
      <c r="K85" s="12"/>
      <c r="L85" s="12"/>
      <c r="M85" s="12"/>
      <c r="N85" s="14" t="s">
        <v>123</v>
      </c>
    </row>
    <row r="86" spans="2:14" x14ac:dyDescent="0.25">
      <c r="B86" s="9">
        <v>77</v>
      </c>
      <c r="C86" s="15" t="s">
        <v>29</v>
      </c>
      <c r="D86" s="11"/>
      <c r="E86" s="11"/>
      <c r="F86" s="12" t="s">
        <v>11</v>
      </c>
      <c r="G86" s="12" t="s">
        <v>11</v>
      </c>
      <c r="H86" s="13" t="s">
        <v>151</v>
      </c>
      <c r="I86" s="12"/>
      <c r="J86" s="12"/>
      <c r="K86" s="12"/>
      <c r="L86" s="12"/>
      <c r="M86" s="12"/>
      <c r="N86" s="14" t="s">
        <v>123</v>
      </c>
    </row>
    <row r="87" spans="2:14" x14ac:dyDescent="0.25">
      <c r="B87" s="9">
        <v>78</v>
      </c>
      <c r="C87" s="15" t="s">
        <v>29</v>
      </c>
      <c r="D87" s="11"/>
      <c r="E87" s="11"/>
      <c r="F87" s="12" t="s">
        <v>11</v>
      </c>
      <c r="G87" s="12" t="s">
        <v>11</v>
      </c>
      <c r="H87" s="13" t="s">
        <v>152</v>
      </c>
      <c r="I87" s="12"/>
      <c r="J87" s="12"/>
      <c r="K87" s="12"/>
      <c r="L87" s="12"/>
      <c r="M87" s="12"/>
      <c r="N87" s="14" t="s">
        <v>123</v>
      </c>
    </row>
    <row r="88" spans="2:14" x14ac:dyDescent="0.25">
      <c r="B88" s="9">
        <v>79</v>
      </c>
      <c r="C88" s="16" t="s">
        <v>35</v>
      </c>
      <c r="D88" s="11"/>
      <c r="E88" s="11"/>
      <c r="F88" s="12" t="s">
        <v>11</v>
      </c>
      <c r="G88" s="12" t="s">
        <v>11</v>
      </c>
      <c r="H88" s="13" t="s">
        <v>153</v>
      </c>
      <c r="I88" s="12"/>
      <c r="J88" s="12"/>
      <c r="K88" s="12"/>
      <c r="L88" s="12"/>
      <c r="M88" s="12"/>
      <c r="N88" s="14" t="s">
        <v>123</v>
      </c>
    </row>
    <row r="89" spans="2:14" x14ac:dyDescent="0.25">
      <c r="B89" s="9">
        <v>80</v>
      </c>
      <c r="C89" s="15" t="s">
        <v>29</v>
      </c>
      <c r="D89" s="11"/>
      <c r="E89" s="11"/>
      <c r="F89" s="12" t="s">
        <v>11</v>
      </c>
      <c r="G89" s="12" t="s">
        <v>11</v>
      </c>
      <c r="H89" s="13" t="s">
        <v>154</v>
      </c>
      <c r="I89" s="12"/>
      <c r="J89" s="12"/>
      <c r="K89" s="12"/>
      <c r="L89" s="12"/>
      <c r="M89" s="12"/>
      <c r="N89" s="14" t="s">
        <v>123</v>
      </c>
    </row>
    <row r="90" spans="2:14" x14ac:dyDescent="0.25">
      <c r="B90" s="9">
        <v>81</v>
      </c>
      <c r="C90" s="10" t="s">
        <v>22</v>
      </c>
      <c r="D90" s="11" t="s">
        <v>155</v>
      </c>
      <c r="E90" s="12" t="s">
        <v>156</v>
      </c>
      <c r="F90" s="12" t="s">
        <v>11</v>
      </c>
      <c r="G90" s="12" t="s">
        <v>11</v>
      </c>
      <c r="H90" s="13" t="s">
        <v>157</v>
      </c>
      <c r="I90" s="12"/>
      <c r="J90" s="12"/>
      <c r="K90" s="12"/>
      <c r="L90" s="12"/>
      <c r="M90" s="12"/>
      <c r="N90" s="14" t="s">
        <v>26</v>
      </c>
    </row>
    <row r="91" spans="2:14" x14ac:dyDescent="0.25">
      <c r="B91" s="9">
        <v>82</v>
      </c>
      <c r="C91" s="15" t="s">
        <v>29</v>
      </c>
      <c r="D91" s="11"/>
      <c r="E91" s="12" t="s">
        <v>158</v>
      </c>
      <c r="F91" s="12" t="s">
        <v>11</v>
      </c>
      <c r="G91" s="12" t="s">
        <v>11</v>
      </c>
      <c r="H91" s="13" t="s">
        <v>159</v>
      </c>
      <c r="I91" s="12"/>
      <c r="J91" s="12"/>
      <c r="K91" s="12"/>
      <c r="L91" s="12"/>
      <c r="M91" s="12"/>
      <c r="N91" s="14" t="s">
        <v>26</v>
      </c>
    </row>
    <row r="92" spans="2:14" x14ac:dyDescent="0.25">
      <c r="B92" s="9">
        <v>83</v>
      </c>
      <c r="C92" s="15" t="s">
        <v>29</v>
      </c>
      <c r="D92" s="11"/>
      <c r="E92" s="11" t="s">
        <v>156</v>
      </c>
      <c r="F92" s="12" t="s">
        <v>11</v>
      </c>
      <c r="G92" s="12" t="s">
        <v>11</v>
      </c>
      <c r="H92" s="13" t="s">
        <v>160</v>
      </c>
      <c r="I92" s="12"/>
      <c r="J92" s="12"/>
      <c r="K92" s="12"/>
      <c r="L92" s="12"/>
      <c r="M92" s="12"/>
      <c r="N92" s="14" t="s">
        <v>26</v>
      </c>
    </row>
    <row r="93" spans="2:14" x14ac:dyDescent="0.25">
      <c r="B93" s="9">
        <v>84</v>
      </c>
      <c r="C93" s="15" t="s">
        <v>29</v>
      </c>
      <c r="D93" s="11"/>
      <c r="E93" s="11"/>
      <c r="F93" s="12" t="s">
        <v>11</v>
      </c>
      <c r="G93" s="12" t="s">
        <v>11</v>
      </c>
      <c r="H93" s="13" t="s">
        <v>161</v>
      </c>
      <c r="I93" s="12"/>
      <c r="J93" s="12"/>
      <c r="K93" s="12"/>
      <c r="L93" s="12"/>
      <c r="M93" s="12"/>
      <c r="N93" s="14" t="s">
        <v>26</v>
      </c>
    </row>
    <row r="94" spans="2:14" x14ac:dyDescent="0.25">
      <c r="B94" s="9">
        <v>85</v>
      </c>
      <c r="C94" s="16" t="s">
        <v>35</v>
      </c>
      <c r="D94" s="11"/>
      <c r="E94" s="12" t="s">
        <v>162</v>
      </c>
      <c r="F94" s="12" t="s">
        <v>11</v>
      </c>
      <c r="G94" s="12" t="s">
        <v>11</v>
      </c>
      <c r="H94" s="13" t="s">
        <v>163</v>
      </c>
      <c r="I94" s="12"/>
      <c r="J94" s="12"/>
      <c r="K94" s="12"/>
      <c r="L94" s="12"/>
      <c r="M94" s="12"/>
      <c r="N94" s="14" t="s">
        <v>26</v>
      </c>
    </row>
    <row r="95" spans="2:14" x14ac:dyDescent="0.25">
      <c r="B95" s="9">
        <v>86</v>
      </c>
      <c r="C95" s="16" t="s">
        <v>35</v>
      </c>
      <c r="D95" s="11"/>
      <c r="E95" s="12" t="s">
        <v>156</v>
      </c>
      <c r="F95" s="12" t="s">
        <v>11</v>
      </c>
      <c r="G95" s="12" t="s">
        <v>11</v>
      </c>
      <c r="H95" s="13" t="s">
        <v>164</v>
      </c>
      <c r="I95" s="12"/>
      <c r="J95" s="12"/>
      <c r="K95" s="12"/>
      <c r="L95" s="12"/>
      <c r="M95" s="12"/>
      <c r="N95" s="14" t="s">
        <v>26</v>
      </c>
    </row>
    <row r="96" spans="2:14" x14ac:dyDescent="0.25">
      <c r="B96" s="9">
        <v>87</v>
      </c>
      <c r="C96" s="10" t="s">
        <v>22</v>
      </c>
      <c r="D96" s="11" t="s">
        <v>165</v>
      </c>
      <c r="E96" s="11" t="s">
        <v>166</v>
      </c>
      <c r="F96" s="11" t="s">
        <v>167</v>
      </c>
      <c r="G96" s="12" t="s">
        <v>11</v>
      </c>
      <c r="H96" s="13" t="s">
        <v>168</v>
      </c>
      <c r="I96" s="12"/>
      <c r="J96" s="12"/>
      <c r="K96" s="12"/>
      <c r="L96" s="12"/>
      <c r="M96" s="12"/>
      <c r="N96" s="14" t="s">
        <v>169</v>
      </c>
    </row>
    <row r="97" spans="2:14" x14ac:dyDescent="0.25">
      <c r="B97" s="9">
        <v>88</v>
      </c>
      <c r="C97" s="10" t="s">
        <v>22</v>
      </c>
      <c r="D97" s="11"/>
      <c r="E97" s="11"/>
      <c r="F97" s="11"/>
      <c r="G97" s="12" t="s">
        <v>11</v>
      </c>
      <c r="H97" s="13" t="s">
        <v>170</v>
      </c>
      <c r="I97" s="12"/>
      <c r="J97" s="12"/>
      <c r="K97" s="12"/>
      <c r="L97" s="12"/>
      <c r="M97" s="12"/>
      <c r="N97" s="14" t="s">
        <v>169</v>
      </c>
    </row>
    <row r="98" spans="2:14" x14ac:dyDescent="0.25">
      <c r="B98" s="9">
        <v>89</v>
      </c>
      <c r="C98" s="10" t="s">
        <v>22</v>
      </c>
      <c r="D98" s="11"/>
      <c r="E98" s="11"/>
      <c r="F98" s="11"/>
      <c r="G98" s="12" t="s">
        <v>11</v>
      </c>
      <c r="H98" s="13" t="s">
        <v>171</v>
      </c>
      <c r="I98" s="12"/>
      <c r="J98" s="12"/>
      <c r="K98" s="12"/>
      <c r="L98" s="12"/>
      <c r="M98" s="12"/>
      <c r="N98" s="14" t="s">
        <v>169</v>
      </c>
    </row>
    <row r="99" spans="2:14" x14ac:dyDescent="0.25">
      <c r="B99" s="9">
        <v>90</v>
      </c>
      <c r="C99" s="15" t="s">
        <v>29</v>
      </c>
      <c r="D99" s="11"/>
      <c r="E99" s="11"/>
      <c r="F99" s="11"/>
      <c r="G99" s="12" t="s">
        <v>11</v>
      </c>
      <c r="H99" s="13" t="s">
        <v>172</v>
      </c>
      <c r="I99" s="12"/>
      <c r="J99" s="12"/>
      <c r="K99" s="12"/>
      <c r="L99" s="12"/>
      <c r="M99" s="12"/>
      <c r="N99" s="14" t="s">
        <v>169</v>
      </c>
    </row>
    <row r="100" spans="2:14" x14ac:dyDescent="0.25">
      <c r="B100" s="9">
        <v>91</v>
      </c>
      <c r="C100" s="15" t="s">
        <v>29</v>
      </c>
      <c r="D100" s="11"/>
      <c r="E100" s="11"/>
      <c r="F100" s="12" t="s">
        <v>173</v>
      </c>
      <c r="G100" s="12" t="s">
        <v>11</v>
      </c>
      <c r="H100" s="13" t="s">
        <v>174</v>
      </c>
      <c r="I100" s="12"/>
      <c r="J100" s="12"/>
      <c r="K100" s="12"/>
      <c r="L100" s="12"/>
      <c r="M100" s="12"/>
      <c r="N100" s="14" t="s">
        <v>169</v>
      </c>
    </row>
    <row r="101" spans="2:14" x14ac:dyDescent="0.25">
      <c r="B101" s="9">
        <v>92</v>
      </c>
      <c r="C101" s="15" t="s">
        <v>29</v>
      </c>
      <c r="D101" s="11"/>
      <c r="E101" s="11" t="s">
        <v>175</v>
      </c>
      <c r="F101" s="12" t="s">
        <v>176</v>
      </c>
      <c r="G101" s="12" t="s">
        <v>11</v>
      </c>
      <c r="H101" s="13" t="s">
        <v>177</v>
      </c>
      <c r="I101" s="12"/>
      <c r="J101" s="12"/>
      <c r="K101" s="12"/>
      <c r="L101" s="12"/>
      <c r="M101" s="12"/>
      <c r="N101" s="14" t="s">
        <v>169</v>
      </c>
    </row>
    <row r="102" spans="2:14" x14ac:dyDescent="0.25">
      <c r="B102" s="9">
        <v>93</v>
      </c>
      <c r="C102" s="15" t="s">
        <v>29</v>
      </c>
      <c r="D102" s="11"/>
      <c r="E102" s="11"/>
      <c r="F102" s="12" t="s">
        <v>178</v>
      </c>
      <c r="G102" s="12" t="s">
        <v>11</v>
      </c>
      <c r="H102" s="13" t="s">
        <v>179</v>
      </c>
      <c r="I102" s="12"/>
      <c r="J102" s="12"/>
      <c r="K102" s="12"/>
      <c r="L102" s="12"/>
      <c r="M102" s="12"/>
      <c r="N102" s="14" t="s">
        <v>169</v>
      </c>
    </row>
    <row r="103" spans="2:14" x14ac:dyDescent="0.25">
      <c r="B103" s="9">
        <v>94</v>
      </c>
      <c r="C103" s="15" t="s">
        <v>29</v>
      </c>
      <c r="D103" s="11"/>
      <c r="E103" s="11" t="s">
        <v>166</v>
      </c>
      <c r="F103" s="11" t="s">
        <v>167</v>
      </c>
      <c r="G103" s="12" t="s">
        <v>11</v>
      </c>
      <c r="H103" s="13" t="s">
        <v>180</v>
      </c>
      <c r="I103" s="12"/>
      <c r="J103" s="12"/>
      <c r="K103" s="12"/>
      <c r="L103" s="12"/>
      <c r="M103" s="12"/>
      <c r="N103" s="14" t="s">
        <v>169</v>
      </c>
    </row>
    <row r="104" spans="2:14" x14ac:dyDescent="0.25">
      <c r="B104" s="9">
        <v>95</v>
      </c>
      <c r="C104" s="16" t="s">
        <v>35</v>
      </c>
      <c r="D104" s="11"/>
      <c r="E104" s="11"/>
      <c r="F104" s="11"/>
      <c r="G104" s="12" t="s">
        <v>11</v>
      </c>
      <c r="H104" s="13" t="s">
        <v>181</v>
      </c>
      <c r="I104" s="12"/>
      <c r="J104" s="12"/>
      <c r="K104" s="12"/>
      <c r="L104" s="12"/>
      <c r="M104" s="12"/>
      <c r="N104" s="14" t="s">
        <v>169</v>
      </c>
    </row>
    <row r="105" spans="2:14" x14ac:dyDescent="0.25">
      <c r="B105" s="9">
        <v>96</v>
      </c>
      <c r="C105" s="16" t="s">
        <v>35</v>
      </c>
      <c r="D105" s="11"/>
      <c r="E105" s="11"/>
      <c r="F105" s="12" t="s">
        <v>173</v>
      </c>
      <c r="G105" s="12" t="s">
        <v>11</v>
      </c>
      <c r="H105" s="13" t="s">
        <v>182</v>
      </c>
      <c r="I105" s="12"/>
      <c r="J105" s="12"/>
      <c r="K105" s="12"/>
      <c r="L105" s="12"/>
      <c r="M105" s="12"/>
      <c r="N105" s="14" t="s">
        <v>169</v>
      </c>
    </row>
    <row r="106" spans="2:14" x14ac:dyDescent="0.25">
      <c r="B106" s="9">
        <v>97</v>
      </c>
      <c r="C106" s="10" t="s">
        <v>22</v>
      </c>
      <c r="D106" s="11" t="s">
        <v>183</v>
      </c>
      <c r="E106" s="11" t="s">
        <v>184</v>
      </c>
      <c r="F106" s="12" t="s">
        <v>185</v>
      </c>
      <c r="G106" s="12" t="s">
        <v>11</v>
      </c>
      <c r="H106" s="13" t="s">
        <v>186</v>
      </c>
      <c r="I106" s="12"/>
      <c r="J106" s="12"/>
      <c r="K106" s="12"/>
      <c r="L106" s="12"/>
      <c r="M106" s="12"/>
      <c r="N106" s="14" t="s">
        <v>187</v>
      </c>
    </row>
    <row r="107" spans="2:14" x14ac:dyDescent="0.25">
      <c r="B107" s="9">
        <v>98</v>
      </c>
      <c r="C107" s="10" t="s">
        <v>22</v>
      </c>
      <c r="D107" s="11"/>
      <c r="E107" s="11"/>
      <c r="F107" s="12" t="s">
        <v>188</v>
      </c>
      <c r="G107" s="12" t="s">
        <v>11</v>
      </c>
      <c r="H107" s="13" t="s">
        <v>189</v>
      </c>
      <c r="I107" s="12"/>
      <c r="J107" s="12"/>
      <c r="K107" s="12"/>
      <c r="L107" s="12"/>
      <c r="M107" s="12"/>
      <c r="N107" s="14" t="s">
        <v>187</v>
      </c>
    </row>
    <row r="108" spans="2:14" x14ac:dyDescent="0.25">
      <c r="B108" s="9">
        <v>99</v>
      </c>
      <c r="C108" s="15" t="s">
        <v>29</v>
      </c>
      <c r="D108" s="11"/>
      <c r="E108" s="11"/>
      <c r="F108" s="12" t="s">
        <v>185</v>
      </c>
      <c r="G108" s="12" t="s">
        <v>11</v>
      </c>
      <c r="H108" s="13" t="s">
        <v>190</v>
      </c>
      <c r="I108" s="12"/>
      <c r="J108" s="12"/>
      <c r="K108" s="12"/>
      <c r="L108" s="12"/>
      <c r="M108" s="12"/>
      <c r="N108" s="14" t="s">
        <v>187</v>
      </c>
    </row>
    <row r="109" spans="2:14" x14ac:dyDescent="0.25">
      <c r="B109" s="9">
        <v>100</v>
      </c>
      <c r="C109" s="15" t="s">
        <v>29</v>
      </c>
      <c r="D109" s="11"/>
      <c r="E109" s="11"/>
      <c r="F109" s="12" t="s">
        <v>188</v>
      </c>
      <c r="G109" s="12" t="s">
        <v>11</v>
      </c>
      <c r="H109" s="13" t="s">
        <v>191</v>
      </c>
      <c r="I109" s="12"/>
      <c r="J109" s="12"/>
      <c r="K109" s="12"/>
      <c r="L109" s="12"/>
      <c r="M109" s="12"/>
      <c r="N109" s="14" t="s">
        <v>187</v>
      </c>
    </row>
    <row r="110" spans="2:14" x14ac:dyDescent="0.25">
      <c r="B110" s="9">
        <v>101</v>
      </c>
      <c r="C110" s="10" t="s">
        <v>22</v>
      </c>
      <c r="D110" s="11"/>
      <c r="E110" s="11" t="s">
        <v>192</v>
      </c>
      <c r="F110" s="11" t="s">
        <v>193</v>
      </c>
      <c r="G110" s="12" t="s">
        <v>11</v>
      </c>
      <c r="H110" s="13" t="s">
        <v>194</v>
      </c>
      <c r="I110" s="12"/>
      <c r="J110" s="12"/>
      <c r="K110" s="12"/>
      <c r="L110" s="12"/>
      <c r="M110" s="12"/>
      <c r="N110" s="14" t="s">
        <v>187</v>
      </c>
    </row>
    <row r="111" spans="2:14" x14ac:dyDescent="0.25">
      <c r="B111" s="9">
        <v>102</v>
      </c>
      <c r="C111" s="15" t="s">
        <v>29</v>
      </c>
      <c r="D111" s="11"/>
      <c r="E111" s="11"/>
      <c r="F111" s="11"/>
      <c r="G111" s="12" t="s">
        <v>11</v>
      </c>
      <c r="H111" s="13" t="s">
        <v>195</v>
      </c>
      <c r="I111" s="12"/>
      <c r="J111" s="12"/>
      <c r="K111" s="12"/>
      <c r="L111" s="12"/>
      <c r="M111" s="12"/>
      <c r="N111" s="14" t="s">
        <v>187</v>
      </c>
    </row>
    <row r="112" spans="2:14" x14ac:dyDescent="0.25">
      <c r="B112" s="9">
        <v>103</v>
      </c>
      <c r="C112" s="15" t="s">
        <v>29</v>
      </c>
      <c r="D112" s="11"/>
      <c r="E112" s="11"/>
      <c r="F112" s="11"/>
      <c r="G112" s="12" t="s">
        <v>11</v>
      </c>
      <c r="H112" s="13" t="s">
        <v>196</v>
      </c>
      <c r="I112" s="12"/>
      <c r="J112" s="12"/>
      <c r="K112" s="12"/>
      <c r="L112" s="12"/>
      <c r="M112" s="12"/>
      <c r="N112" s="14" t="s">
        <v>187</v>
      </c>
    </row>
    <row r="113" spans="2:14" x14ac:dyDescent="0.25">
      <c r="B113" s="9">
        <v>104</v>
      </c>
      <c r="C113" s="15" t="s">
        <v>29</v>
      </c>
      <c r="D113" s="11"/>
      <c r="E113" s="11" t="s">
        <v>197</v>
      </c>
      <c r="F113" s="12" t="s">
        <v>198</v>
      </c>
      <c r="G113" s="12" t="s">
        <v>11</v>
      </c>
      <c r="H113" s="13" t="s">
        <v>199</v>
      </c>
      <c r="I113" s="12"/>
      <c r="J113" s="12"/>
      <c r="K113" s="12"/>
      <c r="L113" s="12"/>
      <c r="M113" s="12"/>
      <c r="N113" s="14" t="s">
        <v>187</v>
      </c>
    </row>
    <row r="114" spans="2:14" x14ac:dyDescent="0.25">
      <c r="B114" s="9">
        <v>105</v>
      </c>
      <c r="C114" s="15" t="s">
        <v>29</v>
      </c>
      <c r="D114" s="11"/>
      <c r="E114" s="11"/>
      <c r="F114" s="12" t="s">
        <v>200</v>
      </c>
      <c r="G114" s="12" t="s">
        <v>11</v>
      </c>
      <c r="H114" s="13" t="s">
        <v>201</v>
      </c>
      <c r="I114" s="12"/>
      <c r="J114" s="12"/>
      <c r="K114" s="12"/>
      <c r="L114" s="12"/>
      <c r="M114" s="12"/>
      <c r="N114" s="14" t="s">
        <v>187</v>
      </c>
    </row>
    <row r="115" spans="2:14" x14ac:dyDescent="0.25">
      <c r="B115" s="9">
        <v>106</v>
      </c>
      <c r="C115" s="16" t="s">
        <v>35</v>
      </c>
      <c r="D115" s="11"/>
      <c r="E115" s="12" t="s">
        <v>184</v>
      </c>
      <c r="F115" s="12" t="s">
        <v>188</v>
      </c>
      <c r="G115" s="12" t="s">
        <v>11</v>
      </c>
      <c r="H115" s="13" t="s">
        <v>202</v>
      </c>
      <c r="I115" s="12"/>
      <c r="J115" s="12"/>
      <c r="K115" s="12"/>
      <c r="L115" s="12"/>
      <c r="M115" s="12"/>
      <c r="N115" s="14" t="s">
        <v>187</v>
      </c>
    </row>
    <row r="116" spans="2:14" x14ac:dyDescent="0.25">
      <c r="B116" s="9">
        <v>107</v>
      </c>
      <c r="C116" s="16" t="s">
        <v>35</v>
      </c>
      <c r="D116" s="11"/>
      <c r="E116" s="12" t="s">
        <v>192</v>
      </c>
      <c r="F116" s="12" t="s">
        <v>193</v>
      </c>
      <c r="G116" s="12" t="s">
        <v>11</v>
      </c>
      <c r="H116" s="13" t="s">
        <v>203</v>
      </c>
      <c r="I116" s="12"/>
      <c r="J116" s="12"/>
      <c r="K116" s="12"/>
      <c r="L116" s="12"/>
      <c r="M116" s="12"/>
      <c r="N116" s="14" t="s">
        <v>187</v>
      </c>
    </row>
    <row r="117" spans="2:14" x14ac:dyDescent="0.25">
      <c r="B117" s="9">
        <v>108</v>
      </c>
      <c r="C117" s="16" t="s">
        <v>35</v>
      </c>
      <c r="D117" s="11"/>
      <c r="E117" s="12" t="s">
        <v>197</v>
      </c>
      <c r="F117" s="12" t="s">
        <v>200</v>
      </c>
      <c r="G117" s="12" t="s">
        <v>11</v>
      </c>
      <c r="H117" s="13" t="s">
        <v>204</v>
      </c>
      <c r="I117" s="12"/>
      <c r="J117" s="12"/>
      <c r="K117" s="12"/>
      <c r="L117" s="12"/>
      <c r="M117" s="12"/>
      <c r="N117" s="14" t="s">
        <v>187</v>
      </c>
    </row>
    <row r="118" spans="2:14" x14ac:dyDescent="0.25">
      <c r="B118" s="9">
        <v>109</v>
      </c>
      <c r="C118" s="10" t="s">
        <v>22</v>
      </c>
      <c r="D118" s="11" t="s">
        <v>205</v>
      </c>
      <c r="E118" s="11" t="s">
        <v>206</v>
      </c>
      <c r="F118" s="11" t="s">
        <v>207</v>
      </c>
      <c r="G118" s="12" t="s">
        <v>11</v>
      </c>
      <c r="H118" s="13" t="s">
        <v>208</v>
      </c>
      <c r="I118" s="12"/>
      <c r="J118" s="12"/>
      <c r="K118" s="12"/>
      <c r="L118" s="12"/>
      <c r="M118" s="12"/>
      <c r="N118" s="14" t="s">
        <v>209</v>
      </c>
    </row>
    <row r="119" spans="2:14" x14ac:dyDescent="0.25">
      <c r="B119" s="9">
        <v>110</v>
      </c>
      <c r="C119" s="15" t="s">
        <v>29</v>
      </c>
      <c r="D119" s="11"/>
      <c r="E119" s="11"/>
      <c r="F119" s="11"/>
      <c r="G119" s="12" t="s">
        <v>11</v>
      </c>
      <c r="H119" s="13" t="s">
        <v>210</v>
      </c>
      <c r="I119" s="12"/>
      <c r="J119" s="12"/>
      <c r="K119" s="12"/>
      <c r="L119" s="12"/>
      <c r="M119" s="12"/>
      <c r="N119" s="14" t="s">
        <v>209</v>
      </c>
    </row>
    <row r="120" spans="2:14" x14ac:dyDescent="0.25">
      <c r="B120" s="9">
        <v>111</v>
      </c>
      <c r="C120" s="15" t="s">
        <v>29</v>
      </c>
      <c r="D120" s="11"/>
      <c r="E120" s="11"/>
      <c r="F120" s="11" t="s">
        <v>211</v>
      </c>
      <c r="G120" s="12" t="s">
        <v>11</v>
      </c>
      <c r="H120" s="13" t="s">
        <v>212</v>
      </c>
      <c r="I120" s="12"/>
      <c r="J120" s="12"/>
      <c r="K120" s="12"/>
      <c r="L120" s="12"/>
      <c r="M120" s="12"/>
      <c r="N120" s="14" t="s">
        <v>209</v>
      </c>
    </row>
    <row r="121" spans="2:14" x14ac:dyDescent="0.25">
      <c r="B121" s="9">
        <v>112</v>
      </c>
      <c r="C121" s="15" t="s">
        <v>29</v>
      </c>
      <c r="D121" s="11"/>
      <c r="E121" s="11"/>
      <c r="F121" s="11"/>
      <c r="G121" s="12" t="s">
        <v>213</v>
      </c>
      <c r="H121" s="13" t="s">
        <v>214</v>
      </c>
      <c r="I121" s="12"/>
      <c r="J121" s="12"/>
      <c r="K121" s="12"/>
      <c r="L121" s="12"/>
      <c r="M121" s="12"/>
      <c r="N121" s="14" t="s">
        <v>215</v>
      </c>
    </row>
    <row r="122" spans="2:14" x14ac:dyDescent="0.25">
      <c r="B122" s="9">
        <v>113</v>
      </c>
      <c r="C122" s="15" t="s">
        <v>29</v>
      </c>
      <c r="D122" s="11"/>
      <c r="E122" s="11"/>
      <c r="F122" s="11"/>
      <c r="G122" s="12" t="s">
        <v>213</v>
      </c>
      <c r="H122" s="13" t="s">
        <v>216</v>
      </c>
      <c r="I122" s="12"/>
      <c r="J122" s="12"/>
      <c r="K122" s="12"/>
      <c r="L122" s="12"/>
      <c r="M122" s="12"/>
      <c r="N122" s="14" t="s">
        <v>215</v>
      </c>
    </row>
    <row r="123" spans="2:14" x14ac:dyDescent="0.25">
      <c r="B123" s="9">
        <v>114</v>
      </c>
      <c r="C123" s="16" t="s">
        <v>35</v>
      </c>
      <c r="D123" s="11"/>
      <c r="E123" s="11"/>
      <c r="F123" s="11"/>
      <c r="G123" s="12" t="s">
        <v>11</v>
      </c>
      <c r="H123" s="13" t="s">
        <v>217</v>
      </c>
      <c r="I123" s="12"/>
      <c r="J123" s="12"/>
      <c r="K123" s="12"/>
      <c r="L123" s="12"/>
      <c r="M123" s="12"/>
      <c r="N123" s="14" t="s">
        <v>209</v>
      </c>
    </row>
    <row r="124" spans="2:14" x14ac:dyDescent="0.25">
      <c r="B124" s="9">
        <v>115</v>
      </c>
      <c r="C124" s="15" t="s">
        <v>29</v>
      </c>
      <c r="D124" s="11"/>
      <c r="E124" s="11"/>
      <c r="F124" s="11" t="s">
        <v>218</v>
      </c>
      <c r="G124" s="12" t="s">
        <v>11</v>
      </c>
      <c r="H124" s="13" t="s">
        <v>219</v>
      </c>
      <c r="I124" s="12"/>
      <c r="J124" s="12"/>
      <c r="K124" s="12"/>
      <c r="L124" s="12"/>
      <c r="M124" s="12"/>
      <c r="N124" s="14" t="s">
        <v>209</v>
      </c>
    </row>
    <row r="125" spans="2:14" x14ac:dyDescent="0.25">
      <c r="B125" s="9">
        <v>116</v>
      </c>
      <c r="C125" s="15" t="s">
        <v>29</v>
      </c>
      <c r="D125" s="11"/>
      <c r="E125" s="11"/>
      <c r="F125" s="11"/>
      <c r="G125" s="12" t="s">
        <v>220</v>
      </c>
      <c r="H125" s="13" t="s">
        <v>221</v>
      </c>
      <c r="I125" s="12"/>
      <c r="J125" s="12"/>
      <c r="K125" s="12"/>
      <c r="L125" s="12"/>
      <c r="M125" s="12"/>
      <c r="N125" s="14" t="s">
        <v>215</v>
      </c>
    </row>
    <row r="126" spans="2:14" x14ac:dyDescent="0.25">
      <c r="B126" s="9">
        <v>117</v>
      </c>
      <c r="C126" s="15" t="s">
        <v>29</v>
      </c>
      <c r="D126" s="11"/>
      <c r="E126" s="11"/>
      <c r="F126" s="11"/>
      <c r="G126" s="12" t="s">
        <v>220</v>
      </c>
      <c r="H126" s="13" t="s">
        <v>222</v>
      </c>
      <c r="I126" s="12"/>
      <c r="J126" s="12"/>
      <c r="K126" s="12"/>
      <c r="L126" s="12"/>
      <c r="M126" s="12"/>
      <c r="N126" s="14" t="s">
        <v>215</v>
      </c>
    </row>
    <row r="127" spans="2:14" x14ac:dyDescent="0.25">
      <c r="B127" s="9">
        <v>118</v>
      </c>
      <c r="C127" s="16" t="s">
        <v>35</v>
      </c>
      <c r="D127" s="11"/>
      <c r="E127" s="11"/>
      <c r="F127" s="11"/>
      <c r="G127" s="12" t="s">
        <v>11</v>
      </c>
      <c r="H127" s="13" t="s">
        <v>223</v>
      </c>
      <c r="I127" s="12"/>
      <c r="J127" s="12"/>
      <c r="K127" s="12"/>
      <c r="L127" s="12"/>
      <c r="M127" s="12"/>
      <c r="N127" s="14" t="s">
        <v>209</v>
      </c>
    </row>
    <row r="128" spans="2:14" x14ac:dyDescent="0.25">
      <c r="B128" s="9">
        <v>119</v>
      </c>
      <c r="C128" s="16" t="s">
        <v>35</v>
      </c>
      <c r="D128" s="11"/>
      <c r="E128" s="11" t="s">
        <v>224</v>
      </c>
      <c r="F128" s="12" t="s">
        <v>207</v>
      </c>
      <c r="G128" s="12" t="s">
        <v>11</v>
      </c>
      <c r="H128" s="13" t="s">
        <v>225</v>
      </c>
      <c r="I128" s="12"/>
      <c r="J128" s="12"/>
      <c r="K128" s="12"/>
      <c r="L128" s="12"/>
      <c r="M128" s="12"/>
      <c r="N128" s="14" t="s">
        <v>209</v>
      </c>
    </row>
    <row r="129" spans="2:14" x14ac:dyDescent="0.25">
      <c r="B129" s="9">
        <v>120</v>
      </c>
      <c r="C129" s="15" t="s">
        <v>29</v>
      </c>
      <c r="D129" s="11"/>
      <c r="E129" s="11"/>
      <c r="F129" s="11" t="s">
        <v>226</v>
      </c>
      <c r="G129" s="12" t="s">
        <v>11</v>
      </c>
      <c r="H129" s="13" t="s">
        <v>227</v>
      </c>
      <c r="I129" s="12"/>
      <c r="J129" s="12"/>
      <c r="K129" s="12"/>
      <c r="L129" s="12"/>
      <c r="M129" s="12"/>
      <c r="N129" s="14" t="s">
        <v>209</v>
      </c>
    </row>
    <row r="130" spans="2:14" x14ac:dyDescent="0.25">
      <c r="B130" s="9">
        <v>121</v>
      </c>
      <c r="C130" s="15" t="s">
        <v>29</v>
      </c>
      <c r="D130" s="11"/>
      <c r="E130" s="11"/>
      <c r="F130" s="11"/>
      <c r="G130" s="12" t="s">
        <v>228</v>
      </c>
      <c r="H130" s="13" t="s">
        <v>229</v>
      </c>
      <c r="I130" s="12"/>
      <c r="J130" s="12"/>
      <c r="K130" s="12"/>
      <c r="L130" s="12"/>
      <c r="M130" s="12"/>
      <c r="N130" s="14" t="s">
        <v>215</v>
      </c>
    </row>
    <row r="131" spans="2:14" x14ac:dyDescent="0.25">
      <c r="B131" s="9">
        <v>122</v>
      </c>
      <c r="C131" s="15" t="s">
        <v>29</v>
      </c>
      <c r="D131" s="11"/>
      <c r="E131" s="11"/>
      <c r="F131" s="11"/>
      <c r="G131" s="12" t="s">
        <v>228</v>
      </c>
      <c r="H131" s="13" t="s">
        <v>230</v>
      </c>
      <c r="I131" s="12"/>
      <c r="J131" s="12"/>
      <c r="K131" s="12"/>
      <c r="L131" s="12"/>
      <c r="M131" s="12"/>
      <c r="N131" s="14" t="s">
        <v>215</v>
      </c>
    </row>
    <row r="132" spans="2:14" x14ac:dyDescent="0.25">
      <c r="B132" s="9">
        <v>123</v>
      </c>
      <c r="C132" s="16" t="s">
        <v>35</v>
      </c>
      <c r="D132" s="11"/>
      <c r="E132" s="11"/>
      <c r="F132" s="11"/>
      <c r="G132" s="12" t="s">
        <v>11</v>
      </c>
      <c r="H132" s="13" t="s">
        <v>231</v>
      </c>
      <c r="I132" s="12"/>
      <c r="J132" s="12"/>
      <c r="K132" s="12"/>
      <c r="L132" s="12"/>
      <c r="M132" s="12"/>
      <c r="N132" s="14" t="s">
        <v>209</v>
      </c>
    </row>
    <row r="133" spans="2:14" x14ac:dyDescent="0.25">
      <c r="B133" s="9">
        <v>124</v>
      </c>
      <c r="C133" s="15" t="s">
        <v>29</v>
      </c>
      <c r="D133" s="11"/>
      <c r="E133" s="11"/>
      <c r="F133" s="11" t="s">
        <v>232</v>
      </c>
      <c r="G133" s="12" t="s">
        <v>11</v>
      </c>
      <c r="H133" s="13" t="s">
        <v>233</v>
      </c>
      <c r="I133" s="12"/>
      <c r="J133" s="12"/>
      <c r="K133" s="12"/>
      <c r="L133" s="12"/>
      <c r="M133" s="12"/>
      <c r="N133" s="14" t="s">
        <v>209</v>
      </c>
    </row>
    <row r="134" spans="2:14" x14ac:dyDescent="0.25">
      <c r="B134" s="9">
        <v>125</v>
      </c>
      <c r="C134" s="15" t="s">
        <v>29</v>
      </c>
      <c r="D134" s="11"/>
      <c r="E134" s="11"/>
      <c r="F134" s="11"/>
      <c r="G134" s="12" t="s">
        <v>228</v>
      </c>
      <c r="H134" s="13" t="s">
        <v>234</v>
      </c>
      <c r="I134" s="12"/>
      <c r="J134" s="12"/>
      <c r="K134" s="12"/>
      <c r="L134" s="12"/>
      <c r="M134" s="12"/>
      <c r="N134" s="14" t="s">
        <v>215</v>
      </c>
    </row>
    <row r="135" spans="2:14" x14ac:dyDescent="0.25">
      <c r="B135" s="9">
        <v>126</v>
      </c>
      <c r="C135" s="15" t="s">
        <v>29</v>
      </c>
      <c r="D135" s="11"/>
      <c r="E135" s="11"/>
      <c r="F135" s="11"/>
      <c r="G135" s="12" t="s">
        <v>228</v>
      </c>
      <c r="H135" s="13" t="s">
        <v>235</v>
      </c>
      <c r="I135" s="12"/>
      <c r="J135" s="12"/>
      <c r="K135" s="12"/>
      <c r="L135" s="12"/>
      <c r="M135" s="12"/>
      <c r="N135" s="14" t="s">
        <v>215</v>
      </c>
    </row>
    <row r="136" spans="2:14" x14ac:dyDescent="0.25">
      <c r="B136" s="9">
        <v>127</v>
      </c>
      <c r="C136" s="16" t="s">
        <v>35</v>
      </c>
      <c r="D136" s="11"/>
      <c r="E136" s="11"/>
      <c r="F136" s="11"/>
      <c r="G136" s="12" t="s">
        <v>11</v>
      </c>
      <c r="H136" s="13" t="s">
        <v>236</v>
      </c>
      <c r="I136" s="12"/>
      <c r="J136" s="12"/>
      <c r="K136" s="12"/>
      <c r="L136" s="12"/>
      <c r="M136" s="12"/>
      <c r="N136" s="14" t="s">
        <v>209</v>
      </c>
    </row>
    <row r="137" spans="2:14" x14ac:dyDescent="0.25">
      <c r="B137" s="9">
        <v>128</v>
      </c>
      <c r="C137" s="10" t="s">
        <v>22</v>
      </c>
      <c r="D137" s="11"/>
      <c r="E137" s="11" t="s">
        <v>237</v>
      </c>
      <c r="F137" s="11" t="s">
        <v>207</v>
      </c>
      <c r="G137" s="12" t="s">
        <v>11</v>
      </c>
      <c r="H137" s="13" t="s">
        <v>238</v>
      </c>
      <c r="I137" s="12"/>
      <c r="J137" s="12"/>
      <c r="K137" s="12"/>
      <c r="L137" s="12"/>
      <c r="M137" s="12"/>
      <c r="N137" s="14" t="s">
        <v>209</v>
      </c>
    </row>
    <row r="138" spans="2:14" x14ac:dyDescent="0.25">
      <c r="B138" s="9">
        <v>129</v>
      </c>
      <c r="C138" s="16" t="s">
        <v>35</v>
      </c>
      <c r="D138" s="11"/>
      <c r="E138" s="11"/>
      <c r="F138" s="11"/>
      <c r="G138" s="12" t="s">
        <v>11</v>
      </c>
      <c r="H138" s="13" t="s">
        <v>239</v>
      </c>
      <c r="I138" s="12"/>
      <c r="J138" s="12"/>
      <c r="K138" s="12"/>
      <c r="L138" s="12"/>
      <c r="M138" s="12"/>
      <c r="N138" s="14" t="s">
        <v>209</v>
      </c>
    </row>
    <row r="139" spans="2:14" x14ac:dyDescent="0.25">
      <c r="B139" s="9">
        <v>130</v>
      </c>
      <c r="C139" s="15" t="s">
        <v>29</v>
      </c>
      <c r="D139" s="11"/>
      <c r="E139" s="11"/>
      <c r="F139" s="11" t="s">
        <v>240</v>
      </c>
      <c r="G139" s="12" t="s">
        <v>11</v>
      </c>
      <c r="H139" s="13" t="s">
        <v>241</v>
      </c>
      <c r="I139" s="12"/>
      <c r="J139" s="12"/>
      <c r="K139" s="12"/>
      <c r="L139" s="12"/>
      <c r="M139" s="12"/>
      <c r="N139" s="14" t="s">
        <v>209</v>
      </c>
    </row>
    <row r="140" spans="2:14" x14ac:dyDescent="0.25">
      <c r="B140" s="9">
        <v>131</v>
      </c>
      <c r="C140" s="15" t="s">
        <v>29</v>
      </c>
      <c r="D140" s="11"/>
      <c r="E140" s="11"/>
      <c r="F140" s="11"/>
      <c r="G140" s="12" t="s">
        <v>11</v>
      </c>
      <c r="H140" s="13" t="s">
        <v>242</v>
      </c>
      <c r="I140" s="12"/>
      <c r="J140" s="12"/>
      <c r="K140" s="12"/>
      <c r="L140" s="12"/>
      <c r="M140" s="12"/>
      <c r="N140" s="14" t="s">
        <v>209</v>
      </c>
    </row>
    <row r="141" spans="2:14" x14ac:dyDescent="0.25">
      <c r="B141" s="9">
        <v>132</v>
      </c>
      <c r="C141" s="15" t="s">
        <v>29</v>
      </c>
      <c r="D141" s="11"/>
      <c r="E141" s="11"/>
      <c r="F141" s="11"/>
      <c r="G141" s="12" t="s">
        <v>243</v>
      </c>
      <c r="H141" s="13" t="s">
        <v>244</v>
      </c>
      <c r="I141" s="12"/>
      <c r="J141" s="12"/>
      <c r="K141" s="12"/>
      <c r="L141" s="12"/>
      <c r="M141" s="12"/>
      <c r="N141" s="14" t="s">
        <v>215</v>
      </c>
    </row>
    <row r="142" spans="2:14" x14ac:dyDescent="0.25">
      <c r="B142" s="9">
        <v>133</v>
      </c>
      <c r="C142" s="15" t="s">
        <v>29</v>
      </c>
      <c r="D142" s="11"/>
      <c r="E142" s="11"/>
      <c r="F142" s="11"/>
      <c r="G142" s="12" t="s">
        <v>243</v>
      </c>
      <c r="H142" s="13" t="s">
        <v>245</v>
      </c>
      <c r="I142" s="12"/>
      <c r="J142" s="12"/>
      <c r="K142" s="12"/>
      <c r="L142" s="12"/>
      <c r="M142" s="12"/>
      <c r="N142" s="14" t="s">
        <v>215</v>
      </c>
    </row>
    <row r="143" spans="2:14" x14ac:dyDescent="0.25">
      <c r="B143" s="9">
        <v>134</v>
      </c>
      <c r="C143" s="16" t="s">
        <v>35</v>
      </c>
      <c r="D143" s="11"/>
      <c r="E143" s="11"/>
      <c r="F143" s="11"/>
      <c r="G143" s="12" t="s">
        <v>11</v>
      </c>
      <c r="H143" s="13" t="s">
        <v>246</v>
      </c>
      <c r="I143" s="12"/>
      <c r="J143" s="12"/>
      <c r="K143" s="12"/>
      <c r="L143" s="12"/>
      <c r="M143" s="12"/>
      <c r="N143" s="14" t="s">
        <v>209</v>
      </c>
    </row>
    <row r="144" spans="2:14" x14ac:dyDescent="0.25">
      <c r="B144" s="9">
        <v>135</v>
      </c>
      <c r="C144" s="15" t="s">
        <v>29</v>
      </c>
      <c r="D144" s="11"/>
      <c r="E144" s="11"/>
      <c r="F144" s="11" t="s">
        <v>247</v>
      </c>
      <c r="G144" s="12" t="s">
        <v>11</v>
      </c>
      <c r="H144" s="13" t="s">
        <v>248</v>
      </c>
      <c r="I144" s="12"/>
      <c r="J144" s="12"/>
      <c r="K144" s="12"/>
      <c r="L144" s="12"/>
      <c r="M144" s="12"/>
      <c r="N144" s="14" t="s">
        <v>209</v>
      </c>
    </row>
    <row r="145" spans="2:14" x14ac:dyDescent="0.25">
      <c r="B145" s="9">
        <v>136</v>
      </c>
      <c r="C145" s="15" t="s">
        <v>29</v>
      </c>
      <c r="D145" s="11"/>
      <c r="E145" s="11"/>
      <c r="F145" s="11"/>
      <c r="G145" s="12" t="s">
        <v>249</v>
      </c>
      <c r="H145" s="13" t="s">
        <v>250</v>
      </c>
      <c r="I145" s="12"/>
      <c r="J145" s="12"/>
      <c r="K145" s="12"/>
      <c r="L145" s="12"/>
      <c r="M145" s="12"/>
      <c r="N145" s="14" t="s">
        <v>215</v>
      </c>
    </row>
    <row r="146" spans="2:14" x14ac:dyDescent="0.25">
      <c r="B146" s="9">
        <v>137</v>
      </c>
      <c r="C146" s="15" t="s">
        <v>29</v>
      </c>
      <c r="D146" s="11"/>
      <c r="E146" s="11"/>
      <c r="F146" s="11"/>
      <c r="G146" s="12" t="s">
        <v>249</v>
      </c>
      <c r="H146" s="13" t="s">
        <v>251</v>
      </c>
      <c r="I146" s="12"/>
      <c r="J146" s="12"/>
      <c r="K146" s="12"/>
      <c r="L146" s="12"/>
      <c r="M146" s="12"/>
      <c r="N146" s="14" t="s">
        <v>215</v>
      </c>
    </row>
    <row r="147" spans="2:14" x14ac:dyDescent="0.25">
      <c r="B147" s="9">
        <v>138</v>
      </c>
      <c r="C147" s="16" t="s">
        <v>35</v>
      </c>
      <c r="D147" s="11"/>
      <c r="E147" s="11"/>
      <c r="F147" s="11"/>
      <c r="G147" s="12" t="s">
        <v>11</v>
      </c>
      <c r="H147" s="13" t="s">
        <v>252</v>
      </c>
      <c r="I147" s="12"/>
      <c r="J147" s="12"/>
      <c r="K147" s="12"/>
      <c r="L147" s="12"/>
      <c r="M147" s="12"/>
      <c r="N147" s="14" t="s">
        <v>209</v>
      </c>
    </row>
    <row r="148" spans="2:14" x14ac:dyDescent="0.25">
      <c r="B148" s="9">
        <v>139</v>
      </c>
      <c r="C148" s="16" t="s">
        <v>35</v>
      </c>
      <c r="D148" s="11"/>
      <c r="E148" s="11"/>
      <c r="F148" s="12" t="s">
        <v>207</v>
      </c>
      <c r="G148" s="12" t="s">
        <v>11</v>
      </c>
      <c r="H148" s="13" t="s">
        <v>253</v>
      </c>
      <c r="I148" s="12"/>
      <c r="J148" s="12"/>
      <c r="K148" s="12"/>
      <c r="L148" s="12"/>
      <c r="M148" s="12"/>
      <c r="N148" s="14" t="s">
        <v>209</v>
      </c>
    </row>
    <row r="149" spans="2:14" x14ac:dyDescent="0.25">
      <c r="B149" s="9">
        <v>140</v>
      </c>
      <c r="C149" s="10" t="s">
        <v>22</v>
      </c>
      <c r="D149" s="11"/>
      <c r="E149" s="12" t="s">
        <v>254</v>
      </c>
      <c r="F149" s="12" t="s">
        <v>11</v>
      </c>
      <c r="G149" s="12" t="s">
        <v>11</v>
      </c>
      <c r="H149" s="13" t="s">
        <v>255</v>
      </c>
      <c r="I149" s="12"/>
      <c r="J149" s="12"/>
      <c r="K149" s="12"/>
      <c r="L149" s="12"/>
      <c r="M149" s="12"/>
      <c r="N149" s="14" t="s">
        <v>215</v>
      </c>
    </row>
    <row r="150" spans="2:14" x14ac:dyDescent="0.25">
      <c r="B150" s="9">
        <v>141</v>
      </c>
      <c r="C150" s="10" t="s">
        <v>22</v>
      </c>
      <c r="D150" s="11" t="s">
        <v>256</v>
      </c>
      <c r="E150" s="12" t="s">
        <v>257</v>
      </c>
      <c r="F150" s="12" t="s">
        <v>11</v>
      </c>
      <c r="G150" s="12" t="s">
        <v>11</v>
      </c>
      <c r="H150" s="13" t="s">
        <v>258</v>
      </c>
      <c r="I150" s="12"/>
      <c r="J150" s="12"/>
      <c r="K150" s="12"/>
      <c r="L150" s="12"/>
      <c r="M150" s="12"/>
      <c r="N150" s="14" t="s">
        <v>259</v>
      </c>
    </row>
    <row r="151" spans="2:14" x14ac:dyDescent="0.25">
      <c r="B151" s="9">
        <v>142</v>
      </c>
      <c r="C151" s="15" t="s">
        <v>29</v>
      </c>
      <c r="D151" s="11"/>
      <c r="E151" s="12" t="s">
        <v>260</v>
      </c>
      <c r="F151" s="12" t="s">
        <v>11</v>
      </c>
      <c r="G151" s="12" t="s">
        <v>11</v>
      </c>
      <c r="H151" s="13" t="s">
        <v>261</v>
      </c>
      <c r="I151" s="12"/>
      <c r="J151" s="12"/>
      <c r="K151" s="12"/>
      <c r="L151" s="12"/>
      <c r="M151" s="12"/>
      <c r="N151" s="14" t="s">
        <v>259</v>
      </c>
    </row>
    <row r="152" spans="2:14" x14ac:dyDescent="0.25">
      <c r="B152" s="9">
        <v>143</v>
      </c>
      <c r="C152" s="15" t="s">
        <v>29</v>
      </c>
      <c r="D152" s="11"/>
      <c r="E152" s="12" t="s">
        <v>262</v>
      </c>
      <c r="F152" s="12" t="s">
        <v>11</v>
      </c>
      <c r="G152" s="12" t="s">
        <v>11</v>
      </c>
      <c r="H152" s="13" t="s">
        <v>263</v>
      </c>
      <c r="I152" s="12"/>
      <c r="J152" s="12"/>
      <c r="K152" s="12"/>
      <c r="L152" s="12"/>
      <c r="M152" s="12"/>
      <c r="N152" s="14" t="s">
        <v>259</v>
      </c>
    </row>
    <row r="153" spans="2:14" x14ac:dyDescent="0.25">
      <c r="B153" s="9">
        <v>144</v>
      </c>
      <c r="C153" s="16" t="s">
        <v>35</v>
      </c>
      <c r="D153" s="11"/>
      <c r="E153" s="12" t="s">
        <v>257</v>
      </c>
      <c r="F153" s="12" t="s">
        <v>11</v>
      </c>
      <c r="G153" s="12" t="s">
        <v>11</v>
      </c>
      <c r="H153" s="13" t="s">
        <v>264</v>
      </c>
      <c r="I153" s="12"/>
      <c r="J153" s="12"/>
      <c r="K153" s="12"/>
      <c r="L153" s="12"/>
      <c r="M153" s="12"/>
      <c r="N153" s="14" t="s">
        <v>259</v>
      </c>
    </row>
    <row r="154" spans="2:14" x14ac:dyDescent="0.25">
      <c r="B154" s="9">
        <v>145</v>
      </c>
      <c r="C154" s="16" t="s">
        <v>35</v>
      </c>
      <c r="D154" s="11"/>
      <c r="E154" s="11" t="s">
        <v>260</v>
      </c>
      <c r="F154" s="12" t="s">
        <v>11</v>
      </c>
      <c r="G154" s="12" t="s">
        <v>11</v>
      </c>
      <c r="H154" s="13" t="s">
        <v>265</v>
      </c>
      <c r="I154" s="12"/>
      <c r="J154" s="12"/>
      <c r="K154" s="12"/>
      <c r="L154" s="12"/>
      <c r="M154" s="12"/>
      <c r="N154" s="14" t="s">
        <v>259</v>
      </c>
    </row>
    <row r="155" spans="2:14" x14ac:dyDescent="0.25">
      <c r="B155" s="9">
        <v>146</v>
      </c>
      <c r="C155" s="16" t="s">
        <v>35</v>
      </c>
      <c r="D155" s="11"/>
      <c r="E155" s="11"/>
      <c r="F155" s="12" t="s">
        <v>11</v>
      </c>
      <c r="G155" s="12" t="s">
        <v>11</v>
      </c>
      <c r="H155" s="13" t="s">
        <v>266</v>
      </c>
      <c r="I155" s="12"/>
      <c r="J155" s="12"/>
      <c r="K155" s="12"/>
      <c r="L155" s="12"/>
      <c r="M155" s="12"/>
      <c r="N155" s="14" t="s">
        <v>259</v>
      </c>
    </row>
    <row r="156" spans="2:14" x14ac:dyDescent="0.25">
      <c r="B156" s="9">
        <v>147</v>
      </c>
      <c r="C156" s="16" t="s">
        <v>35</v>
      </c>
      <c r="D156" s="11"/>
      <c r="E156" s="11" t="s">
        <v>262</v>
      </c>
      <c r="F156" s="12" t="s">
        <v>11</v>
      </c>
      <c r="G156" s="12" t="s">
        <v>11</v>
      </c>
      <c r="H156" s="13" t="s">
        <v>267</v>
      </c>
      <c r="I156" s="12"/>
      <c r="J156" s="12"/>
      <c r="K156" s="12"/>
      <c r="L156" s="12"/>
      <c r="M156" s="12"/>
      <c r="N156" s="14" t="s">
        <v>259</v>
      </c>
    </row>
    <row r="157" spans="2:14" x14ac:dyDescent="0.25">
      <c r="B157" s="9">
        <v>148</v>
      </c>
      <c r="C157" s="16" t="s">
        <v>35</v>
      </c>
      <c r="D157" s="11"/>
      <c r="E157" s="11"/>
      <c r="F157" s="12" t="s">
        <v>11</v>
      </c>
      <c r="G157" s="12" t="s">
        <v>11</v>
      </c>
      <c r="H157" s="13" t="s">
        <v>268</v>
      </c>
      <c r="I157" s="12"/>
      <c r="J157" s="12"/>
      <c r="K157" s="12"/>
      <c r="L157" s="12"/>
      <c r="M157" s="12"/>
      <c r="N157" s="14" t="s">
        <v>259</v>
      </c>
    </row>
  </sheetData>
  <mergeCells count="60">
    <mergeCell ref="D10:D17"/>
    <mergeCell ref="E12:E14"/>
    <mergeCell ref="D18:D27"/>
    <mergeCell ref="E20:E22"/>
    <mergeCell ref="E23:E24"/>
    <mergeCell ref="E25:E26"/>
    <mergeCell ref="D28:D32"/>
    <mergeCell ref="D33:D42"/>
    <mergeCell ref="E34:E39"/>
    <mergeCell ref="F34:F35"/>
    <mergeCell ref="F36:F37"/>
    <mergeCell ref="F38:F39"/>
    <mergeCell ref="E41:E42"/>
    <mergeCell ref="D43:D60"/>
    <mergeCell ref="E43:E44"/>
    <mergeCell ref="E45:E46"/>
    <mergeCell ref="E47:E51"/>
    <mergeCell ref="F48:F51"/>
    <mergeCell ref="E52:E54"/>
    <mergeCell ref="F52:F53"/>
    <mergeCell ref="E55:E56"/>
    <mergeCell ref="E57:E58"/>
    <mergeCell ref="F58:F60"/>
    <mergeCell ref="D61:D67"/>
    <mergeCell ref="E64:E65"/>
    <mergeCell ref="D68:D89"/>
    <mergeCell ref="E68:E72"/>
    <mergeCell ref="F71:F72"/>
    <mergeCell ref="E73:E78"/>
    <mergeCell ref="F76:F77"/>
    <mergeCell ref="E79:E84"/>
    <mergeCell ref="E85:E89"/>
    <mergeCell ref="D90:D95"/>
    <mergeCell ref="E92:E93"/>
    <mergeCell ref="D96:D105"/>
    <mergeCell ref="E96:E100"/>
    <mergeCell ref="F96:F99"/>
    <mergeCell ref="E101:E102"/>
    <mergeCell ref="E103:E105"/>
    <mergeCell ref="F103:F104"/>
    <mergeCell ref="D106:D117"/>
    <mergeCell ref="E106:E109"/>
    <mergeCell ref="E110:E112"/>
    <mergeCell ref="F110:F112"/>
    <mergeCell ref="E113:E114"/>
    <mergeCell ref="D118:D149"/>
    <mergeCell ref="E118:E127"/>
    <mergeCell ref="F118:F119"/>
    <mergeCell ref="F120:F123"/>
    <mergeCell ref="F124:F127"/>
    <mergeCell ref="E128:E136"/>
    <mergeCell ref="F129:F132"/>
    <mergeCell ref="F133:F136"/>
    <mergeCell ref="E137:E148"/>
    <mergeCell ref="F137:F138"/>
    <mergeCell ref="F139:F143"/>
    <mergeCell ref="F144:F147"/>
    <mergeCell ref="D150:D157"/>
    <mergeCell ref="E154:E155"/>
    <mergeCell ref="E156:E157"/>
  </mergeCells>
  <dataValidations count="1">
    <dataValidation type="list" allowBlank="1" showErrorMessage="1" errorTitle="잘못된 값" error="Pass, Fail, N/T, Block 중 하나를 선택하세요." sqref="I10:J157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달빛술사 쿠키 체크리스트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2026-05-08T02:02:38Z</dcterms:created>
  <dcterms:modified xsi:type="dcterms:W3CDTF">2026-05-08T02:02:38Z</dcterms:modified>
</cp:coreProperties>
</file>