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방꾸미기 이벤트" state="visible" r:id="rId4"/>
  </sheets>
  <calcPr calcId="171027"/>
</workbook>
</file>

<file path=xl/sharedStrings.xml><?xml version="1.0" encoding="utf-8"?>
<sst xmlns="http://schemas.openxmlformats.org/spreadsheetml/2006/main" count="455" uniqueCount="239">
  <si>
    <t>(C)방꾸미기 이벤트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</si>
  <si>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</si>
  <si>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</si>
  <si>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</si>
  <si>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</si>
  <si>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</si>
  <si>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</si>
  <si>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</si>
  <si>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</si>
  <si>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</si>
  <si>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</si>
  <si>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</si>
  <si>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</si>
  <si>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</si>
  <si>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</si>
  <si>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</si>
  <si>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</si>
  <si>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</si>
  <si>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</si>
  <si>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</si>
  <si>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</si>
  <si>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</si>
  <si>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Critical</t>
  </si>
  <si>
    <t>방꾸미기 이벤트</t>
  </si>
  <si>
    <t>이벤트 시스템</t>
  </si>
  <si>
    <t>이벤트 ON/OFF</t>
  </si>
  <si>
    <t>오픈 조건</t>
  </si>
  <si>
    <t>start_time_stamp 이전 시점에는 이벤트가 비활성 상태이며, 이벤트 진입 경로(배너, 탭, 대문)가 노출되지 않는다</t>
  </si>
  <si>
    <t>기획서: 이벤트 ON/OFF 섹션</t>
  </si>
  <si>
    <t>start_time_stamp 도달 시 이벤트가 활성화되어 이벤트 진입 경로가 정상 노출된다</t>
  </si>
  <si>
    <t>종료 처리</t>
  </si>
  <si>
    <t>end_time_stamp 도달 시 이벤트가 종료되어 이벤트 진입 경로가 비활성화된다</t>
  </si>
  <si>
    <t>엔드타임 퇴장</t>
  </si>
  <si>
    <t>이벤트 종료 시간에 이벤트 화면을 보고 있는 유저가 자동으로 로비로 퇴장 처리된다</t>
  </si>
  <si>
    <t>Major</t>
  </si>
  <si>
    <t>이벤트 종료 시점에 방꾸미기 작업 중이던 유저가 로비로 퇴장 처리되며, 퇴장 전 마지막 저장된 배치 상태가 유지된다</t>
  </si>
  <si>
    <t>이벤트 종료 시점에 상점에서 교환 중이던 유저가 로비로 퇴장 처리되며, 교환 완료된 건은 정상 반영된다</t>
  </si>
  <si>
    <t>퇴장 연출</t>
  </si>
  <si>
    <t>엔드타임 퇴장 시 유저에게 이벤트 종료 안내 팝업 또는 토스트 메시지가 출력된 후 로비로 이동한다</t>
  </si>
  <si>
    <t>이벤트 UNLOCK</t>
  </si>
  <si>
    <t>공용 이벤트 연동 오픈</t>
  </si>
  <si>
    <t>공용 이벤트(CONTENTS_TYPE_EVENT) 오픈 시점에 2주년 방꾸미기 이벤트가 함께 오픈된다</t>
  </si>
  <si>
    <t>기획서: 이벤트 UNLOCK 섹션</t>
  </si>
  <si>
    <t>공용 이벤트가 오픈되지 않은 상태에서는 2주년 이벤트 관련 UI가 노출되지 않는다</t>
  </si>
  <si>
    <t>이벤트 진입</t>
  </si>
  <si>
    <t>로비 배너</t>
  </si>
  <si>
    <t>로비에서 이벤트 배너를 터치하면 2주년 이벤트 로비 화면으로 정상 진입한다</t>
  </si>
  <si>
    <t>기획서: 이벤트 진입 섹션 (1)</t>
  </si>
  <si>
    <t>공용 이벤트 탭</t>
  </si>
  <si>
    <t>공용 이벤트 &gt; 2주년 이벤트 탭 &gt; 이벤트 버튼을 터치하면 2주년 이벤트 로비 화면으로 정상 진입한다</t>
  </si>
  <si>
    <t>기획서: 이벤트 진입 섹션 (2)</t>
  </si>
  <si>
    <t>모드리스트 대문</t>
  </si>
  <si>
    <t>모드리스트 &gt; 2주년 이벤트 대문을 터치하면 2주년 이벤트 로비 화면으로 정상 진입한다</t>
  </si>
  <si>
    <t>기획서: 이벤트 진입 섹션 (3)</t>
  </si>
  <si>
    <t>진입 경로 일관성</t>
  </si>
  <si>
    <t>3가지 진입 경로(로비 배너, 공용 이벤트 탭, 모드리스트 대문) 모두 동일한 2주년 이벤트 로비 화면에 도달한다</t>
  </si>
  <si>
    <t>기획서: 이벤트 진입 섹션</t>
  </si>
  <si>
    <t>로비 배너 표시</t>
  </si>
  <si>
    <t>이벤트 기간 중 로비에 2주년 이벤트 배너가 정상 노출되며, 배너 이미지 리소스가 깨지지 않는다</t>
  </si>
  <si>
    <t>Normal</t>
  </si>
  <si>
    <t>진입 애니메이션</t>
  </si>
  <si>
    <t>이벤트 로비 진입 시 화면 전환 애니메이션이 정상 재생된다</t>
  </si>
  <si>
    <t>기획서: 개요 섹션 스크린샷</t>
  </si>
  <si>
    <t>방꾸미기</t>
  </si>
  <si>
    <t>방 단계 확장</t>
  </si>
  <si>
    <t>전체 유저 진행도 반영</t>
  </si>
  <si>
    <t>전체 유저들의 플레이 진행도에 따라 케이크 단(tier)이 추가되어 방이 단계적으로 확장된다</t>
  </si>
  <si>
    <t>기획서: 2주년 로비 구성 (1) 케이크 이벤트</t>
  </si>
  <si>
    <t>서버에서 집계한 전체 유저 진행도가 클라이언트에 정상 동기화되어 현재 방 단계(tier)가 올바르게 표시된다</t>
  </si>
  <si>
    <t>전체 유저 진행도가 다음 단계 달성 조건에 도달하면 새로운 케이크 단이 추가된다</t>
  </si>
  <si>
    <t>단계 확장 연출</t>
  </si>
  <si>
    <t>방 단계가 확장될 때 케이크 단 추가 연출 애니메이션이 정상 재생된다</t>
  </si>
  <si>
    <t>방 단계 확장 연출 시 효과음이 정상 재생된다</t>
  </si>
  <si>
    <t>단계 표시</t>
  </si>
  <si>
    <t>현재 방 단계(tier) 정보가 UI에 정상 표시되며, 전체 유저 진행도 게이지가 올바르게 출력된다</t>
  </si>
  <si>
    <t>최대 단계(tier)에 도달한 경우 더 이상 확장되지 않으며, 최대 단계 도달 상태가 UI에 표시된다</t>
  </si>
  <si>
    <t>재진입 시 반영</t>
  </si>
  <si>
    <t>이벤트 로비를 나갔다가 재진입했을 때 최신 방 단계 상태가 정상 반영되어 표시된다</t>
  </si>
  <si>
    <t>데코 아이템 추가</t>
  </si>
  <si>
    <t>개별 미션 달성 조건</t>
  </si>
  <si>
    <t>개별 유저가 미션을 달성하면 해당 미션에 연결된 데코 아이템이 해금된다</t>
  </si>
  <si>
    <t>아이템 해금</t>
  </si>
  <si>
    <t>미션 달성으로 해금된 데코 아이템이 방꾸미기 아이템 목록에 정상 추가되어 선택 가능 상태가 된다</t>
  </si>
  <si>
    <t>미달성 미션에 연결된 데코 아이템은 잠금 상태로 표시되며 선택할 수 없다</t>
  </si>
  <si>
    <t>이미 해금된 데코 아이템은 중복으로 해금되지 않으며, 해금 상태가 유지된다</t>
  </si>
  <si>
    <t>해금 연출</t>
  </si>
  <si>
    <t>데코 아이템 해금 시 해금 연출 애니메이션이 정상 재생된다</t>
  </si>
  <si>
    <t>데코 아이템 해금 연출 시 효과음이 정상 재생된다</t>
  </si>
  <si>
    <t>해금 알림</t>
  </si>
  <si>
    <t>새로운 데코 아이템이 해금되면 해당 아이템에 NEW 표시 또는 알림이 출력된다</t>
  </si>
  <si>
    <t>방 꾸미기 실행</t>
  </si>
  <si>
    <t>데코 아이템 선택</t>
  </si>
  <si>
    <t>해금된 데코 아이템 목록에서 원하는 아이템을 터치하여 선택할 수 있다</t>
  </si>
  <si>
    <t>아이템 배치</t>
  </si>
  <si>
    <t>선택한 데코 아이템을 방(케이크) 위 지정된 위치에 배치할 수 있다</t>
  </si>
  <si>
    <t>배치된 데코 아이템이 방 화면에 즉시 반영되어 시각적으로 표시된다</t>
  </si>
  <si>
    <t>이미 배치된 위치에 다른 데코 아이템을 배치하면 기존 아이템이 교체된다</t>
  </si>
  <si>
    <t>배치 저장</t>
  </si>
  <si>
    <t>데코 아이템 배치 후 저장 시 배치 상태가 서버에 정상 저장된다</t>
  </si>
  <si>
    <t>저장된 배치 상태가 이벤트 재진입 시에도 유지되어 동일하게 표시된다</t>
  </si>
  <si>
    <t>배치 초기화</t>
  </si>
  <si>
    <t>배치 초기화 기능을 실행하면 배치된 모든 데코 아이템이 제거되어 초기 상태로 돌아간다</t>
  </si>
  <si>
    <t>배치 초기화 시 확인 팝업이 출력되며, 확인 버튼 터치 시 초기화가 진행된다</t>
  </si>
  <si>
    <t>배치 취소</t>
  </si>
  <si>
    <t>데코 아이템 배치 중 취소 시 변경사항이 반영되지 않고 이전 배치 상태가 유지된다</t>
  </si>
  <si>
    <t>배치 효과음</t>
  </si>
  <si>
    <t>데코 아이템을 배치할 때 배치 효과음이 정상 재생된다</t>
  </si>
  <si>
    <t>방꾸미기 UI</t>
  </si>
  <si>
    <t>진행도 표시</t>
  </si>
  <si>
    <t>전체 유저 진행도 게이지 및 현재 달성률이 UI에 정상 출력된다</t>
  </si>
  <si>
    <t>개별 유저의 미션 달성 진행도가 UI에 정상 출력된다</t>
  </si>
  <si>
    <t>미션 목록</t>
  </si>
  <si>
    <t>데코 아이템 해금을 위한 개별 미션 목록이 정상 출력되며, 각 미션의 달성 조건이 표시된다</t>
  </si>
  <si>
    <t>달성 완료된 미션은 완료 상태로 표시되고, 미달성 미션은 현재 진행률이 표시된다</t>
  </si>
  <si>
    <t>보상 수령</t>
  </si>
  <si>
    <t>미션 달성 후 보상 수령 버튼을 터치하면 데코 아이템이 정상 지급되고 수령 완료 상태로 변경된다</t>
  </si>
  <si>
    <t>이미 수령 완료된 보상의 수령 버튼은 비활성화되어 중복 수령할 수 없다</t>
  </si>
  <si>
    <t>보상 수령 연출</t>
  </si>
  <si>
    <t>보상 수령 시 보상 획득 연출 애니메이션이 정상 재생된다</t>
  </si>
  <si>
    <t>방 미리보기</t>
  </si>
  <si>
    <t>데코 아이템 배치 전 미리보기를 통해 배치 결과를 사전에 확인할 수 있다</t>
  </si>
  <si>
    <t>케이크 탑 만들기 버튼</t>
  </si>
  <si>
    <t>케이크 탑 만들기 버튼을 터치하면 방꾸미기(데코 배치) 모드로 진입한다</t>
  </si>
  <si>
    <t>기획서: 개요 스크린샷 - 케이크 탑 만들기 버튼</t>
  </si>
  <si>
    <t>2D 일러스트 배경</t>
  </si>
  <si>
    <t>2주년 이벤트 로비 배경이 2D 일러스트로 정상 출력되며, 리소스가 깨지거나 누락되지 않는다</t>
  </si>
  <si>
    <t>기획서: 개요 섹션 - 2D 일러스트 배경 명시</t>
  </si>
  <si>
    <t>보존쿠키 표시</t>
  </si>
  <si>
    <t>이벤트 로비 화면에 보존쿠키 UI 요소가 정상 출력된다</t>
  </si>
  <si>
    <t>기획서: 개요 스크린샷 - 보존쿠키 영역</t>
  </si>
  <si>
    <t>2주년 이벤트 상점</t>
  </si>
  <si>
    <t>상점 진입</t>
  </si>
  <si>
    <t>진입 경로</t>
  </si>
  <si>
    <t>2주년 이벤트 로비에서 교환소(상점) 버튼을 터치하면 이벤트 상점 화면으로 정상 진입한다</t>
  </si>
  <si>
    <t>기획서: 개요 스크린샷 - 교환소 버튼, 2주년 로비 구성 (2)</t>
  </si>
  <si>
    <t>UI 표시</t>
  </si>
  <si>
    <t>이벤트 상점 진입 시 상품 목록, 보유 이벤트 재화, 교환 버튼이 정상 출력된다</t>
  </si>
  <si>
    <t>기획서: 2주년 로비 구성 (2) 2주년 이벤트 상점</t>
  </si>
  <si>
    <t>상점 UI</t>
  </si>
  <si>
    <t>재화 표시</t>
  </si>
  <si>
    <t>상점 화면 상단에 유저가 보유한 이벤트 재화 수량이 정상 출력된다</t>
  </si>
  <si>
    <t>이벤트 재화 획득/사용 후 보유 수량이 실시간으로 갱신되어 표시된다</t>
  </si>
  <si>
    <t>상품 목록</t>
  </si>
  <si>
    <t>교환 가능한 보상 상품 목록이 정상 출력되며, 각 상품의 이름/아이콘/필요 재화가 표시된다</t>
  </si>
  <si>
    <t>상품 목록이 스크롤 가능한 경우 스크롤이 정상 동작한다</t>
  </si>
  <si>
    <t>보상 교환</t>
  </si>
  <si>
    <t>재화 확인</t>
  </si>
  <si>
    <t>교환 버튼 터치 시 유저의 보유 이벤트 재화가 상품 교환에 필요한 재화 이상인 경우 교환이 진행된다</t>
  </si>
  <si>
    <t>재화 부족</t>
  </si>
  <si>
    <t>보유 이벤트 재화가 부족한 경우 교환이 진행되지 않으며, 재화 부족 안내 메시지가 출력된다</t>
  </si>
  <si>
    <t>교환 동작</t>
  </si>
  <si>
    <t>교환 성공 시 이벤트 재화가 정확한 수량만큼 차감되고, 해당 보상 아이템이 유저에게 지급된다</t>
  </si>
  <si>
    <t>교환 확인 팝업</t>
  </si>
  <si>
    <t>교환 버튼 터치 시 교환 확인 팝업이 출력되며, 확인 버튼 터치 시 교환이 실행된다</t>
  </si>
  <si>
    <t>교환 확인 팝업에서 취소 버튼을 터치하면 교환이 진행되지 않고 팝업이 닫힌다</t>
  </si>
  <si>
    <t>교환 제한</t>
  </si>
  <si>
    <t>교환 횟수 제한이 있는 상품의 경우, 제한 횟수 도달 시 교환 버튼이 비활성화되고 교환할 수 없다</t>
  </si>
  <si>
    <t>교환 횟수 제한이 있는 상품은 현재 교환 횟수 / 최대 교환 횟수가 UI에 표시된다</t>
  </si>
  <si>
    <t>교환 성공 시 보상 획득 연출 애니메이션이 정상 재생된다</t>
  </si>
  <si>
    <t>교환 성공 시 효과음이 정상 재생된다</t>
  </si>
  <si>
    <t>품절 처리</t>
  </si>
  <si>
    <t>교환 한도에 도달한 상품은 품절(SOLD OUT) 상태로 표시된다</t>
  </si>
  <si>
    <t>품절 상품은 목록 하단으로 정렬되거나 별도로 구분되어 표시된다</t>
  </si>
  <si>
    <t>교환으로 지급된 보상 아이템이 유저 인벤토리/우편함에 정상 확인된다</t>
  </si>
  <si>
    <t>다수 교환</t>
  </si>
  <si>
    <t>동일 상품을 연속으로 교환할 경우 각 교환마다 재화 차감 및 보상 지급이 정확하게 이루어진다</t>
  </si>
  <si>
    <t>상점 진입 애니메이션</t>
  </si>
  <si>
    <t>상점 화면 진입 시 화면 전환 애니메이션이 정상 재생된다</t>
  </si>
  <si>
    <t>바로가기 숏컷</t>
  </si>
  <si>
    <t>스토리 이벤트 숏컷</t>
  </si>
  <si>
    <t>버튼 표시</t>
  </si>
  <si>
    <t>이벤트 로비에 달술/밀키웨이/스타더스트 스토리 바로가기 버튼이 정상 출력된다</t>
  </si>
  <si>
    <t>기획서: 2주년 로비 구성 (3) 스토리 이벤트 바로가기 숏컷</t>
  </si>
  <si>
    <t>달술 스토리 이동</t>
  </si>
  <si>
    <t>달술 스토리 바로가기 버튼을 터치하면 달술 스토리 화면으로 정상 이동한다</t>
  </si>
  <si>
    <t>밀키웨이 스토리 이동</t>
  </si>
  <si>
    <t>밀키웨이 스토리 바로가기 버튼을 터치하면 밀키웨이 스토리 화면으로 정상 이동한다</t>
  </si>
  <si>
    <t>스타더스트 스토리 이동</t>
  </si>
  <si>
    <t>스타더스트 스토리 바로가기 버튼을 터치하면 스타더스트 스토리 화면으로 정상 이동한다</t>
  </si>
  <si>
    <t>스���리 이벤트 숏컷</t>
  </si>
  <si>
    <t>버튼 비활성화</t>
  </si>
  <si>
    <t>해당 스토리 이벤트가 오픈되지 않은 경우 바로가기 버튼이 비활성화 또는 미노출 처리된다</t>
  </si>
  <si>
    <t>이동 후 복귀</t>
  </si>
  <si>
    <t>스토리 이벤트 숏컷으로 이동 후 뒤로가기 시 이벤트 로비로 정상 복귀한다</t>
  </si>
  <si>
    <t>어드벤처 숏컷</t>
  </si>
  <si>
    <t>이벤트 로비에 꿈열차 어드벤처 바로가기 버튼이 정상 출력된다</t>
  </si>
  <si>
    <t>기획서: 2주년 로비 구성 (5) 어드벤처 바로가기 숏컷</t>
  </si>
  <si>
    <t>터치 이동</t>
  </si>
  <si>
    <t>꿈열차 어드벤처 바로가기 버튼을 터치하면 꿈열차 어드벤처 로비로 정상 이동한다</t>
  </si>
  <si>
    <t>어드벤처 숏컷으로 이동 후 뒤로가기 시 이벤트 로비로 정상 복귀한다</t>
  </si>
  <si>
    <t>꿈열차 어드벤처가 오픈되지 않은 경우 바로가기 버튼이 비활성화 또는 미노출 처리된다</t>
  </si>
  <si>
    <t>공통</t>
  </si>
  <si>
    <t>뒤로가기</t>
  </si>
  <si>
    <t>버튼 뒤로가기</t>
  </si>
  <si>
    <t>2주년 이벤트 로비 화면에서 뒤로가기(←) 버튼을 터치하면 이전 화면(진입 경로에 따른 화면)으로 정상 이동한다</t>
  </si>
  <si>
    <t>기획서: 개요 스크린샷 - 좌상단 뒤로가기 버튼</t>
  </si>
  <si>
    <t>디바이스 뒤로가기</t>
  </si>
  <si>
    <t>2주년 이벤트 로비 화면에서 디바이스 뒤로가기를 실행하면 이전 화면으로 정상 이동한다</t>
  </si>
  <si>
    <t>상점 뒤로가기</t>
  </si>
  <si>
    <t>이벤트 상점 화면에서 뒤로가기 버튼 또는 디바이스 뒤로가기 시 이벤트 로비로 정상 복귀한다</t>
  </si>
  <si>
    <t>방꾸미기 뒤로가기</t>
  </si>
  <si>
    <t>방꾸미기 모드에서 뒤로가기 시 저장되지 않은 변경사항에 대한 확인 팝업이 출력되거나, 이벤트 로비로 정상 복귀한다</t>
  </si>
  <si>
    <t>팝업 뒤로가기</t>
  </si>
  <si>
    <t>교환 확인/초기화 확인 등 팝업이 열린 상태에서 디바이스 뒤로가기 시 팝업이 닫힌다</t>
  </si>
  <si>
    <t>기획서: 공통 UI 동작</t>
  </si>
  <si>
    <t>알림 시스템</t>
  </si>
  <si>
    <t>레드닷 출력 조건</t>
  </si>
  <si>
    <t>수령 가능한 미션 보상이 있을 경우 방꾸미기 관련 UI에 레드닷이 출력된다</t>
  </si>
  <si>
    <t>신규 해금된 데코 아이템이 있을 경우 해당 아이템에 레드닷 또는 NEW 표시가 출력된다</t>
  </si>
  <si>
    <t>교환 가능한 상점 상품이 있고 충분한 재화를 보유한 경우 상점 버튼에 레드닷이 출력된다</t>
  </si>
  <si>
    <t>레드닷 제거 조건</t>
  </si>
  <si>
    <t>수령 가능한 보상을 모두 수령하면 해당 레드닷이 제거된다</t>
  </si>
  <si>
    <t>신규 데코 아이템을 확인(터치)하면 해당 아이템의 NEW 표시/레드닷이 제거된다</t>
  </si>
  <si>
    <t>진입 경로 레드닷</t>
  </si>
  <si>
    <t>이벤트 내 수령 가능 보상이 있을 경우 로비 배너/공용 이벤트 탭/모드리스트 대문에도 레드닷이 연쇄 출력된다</t>
  </si>
  <si>
    <t>연출/효과</t>
  </si>
  <si>
    <t>배경 애니메이션</t>
  </si>
  <si>
    <t>2주년 이벤트 로비의 2D 일러스트 배경에 적용된 애니메이션 효과가 정상 재생된다</t>
  </si>
  <si>
    <t>기획서: 개요 섹션 - 2D 일러스트 배경</t>
  </si>
  <si>
    <t>배경음악</t>
  </si>
  <si>
    <t>이벤트 로비 진입 시 2주년 이벤트 전용 배경음악이 정상 재생된다</t>
  </si>
  <si>
    <t>기획서: 개요 섹션</t>
  </si>
  <si>
    <t>버튼 효과음</t>
  </si>
  <si>
    <t>이벤트 로비 내 각 버튼(교환소, 케이크 탑 만들기, 숏컷 등) 터치 시 효과음이 정상 재생된다</t>
  </si>
  <si>
    <t>기획서: 개요 스크린샷</t>
  </si>
  <si>
    <t>화면 전환</t>
  </si>
  <si>
    <t>이벤트 로비 → 상점, 이벤트 로비 → 방꾸미기 등 화면 전환 시 전환 애니메이션이 자연스럽게 재생된다</t>
  </si>
  <si>
    <t>기획서: 전체</t>
  </si>
  <si>
    <t>UI 리소스</t>
  </si>
  <si>
    <t>이벤트 로비 내 모든 UI 요소(아이콘, 버튼, 텍스트)가 정상 출력되며 리소스 누락이 없다</t>
  </si>
  <si>
    <t>이벤트 재화 아이콘</t>
  </si>
  <si>
    <t>이벤트 로비 상단에 보유 이벤트 재화 수량과 아이콘이 정상 출력된다</t>
  </si>
  <si>
    <t>기획서: 개요 스크린샷 - 상단 재화 표시</t>
  </si>
  <si>
    <t>이벤트 타이머</t>
  </si>
  <si>
    <t>이벤트 로비에 이벤트 남은 기간/종료 시간이 표시되며, 실시간으로 갱신된다</t>
  </si>
  <si>
    <t>기획서: 개요 스크린샷 - 기간/12일 남음 표시</t>
  </si>
  <si>
    <t>미니게임 버튼</t>
  </si>
  <si>
    <t>이벤트 로비 내 미니게임 버튼이 정상 출력되며, 터치 시 해당 미니게임 화면으로 이동한다</t>
  </si>
  <si>
    <t>기획서: 개요 스크린샷 - 미니게임 버튼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</si>
</sst>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COUNTIF(I10:I109,"Pass")</f>
      </c>
      <c r="K3" t="s">
        <v>4</v>
      </c>
      <c r="L3">
        <f>COUNTIF(I10:I109,"")</f>
      </c>
      <c r="M3" s="3" t="s">
        <v>3</v>
      </c>
      <c r="N3">
        <f>COUNTIF(J10:J109,"Pass")</f>
      </c>
    </row>
    <row r="4" spans="9:14" x14ac:dyDescent="0.25">
      <c r="I4" s="4" t="s">
        <v>5</v>
      </c>
      <c r="J4">
        <f>COUNTIF(I10:I109,"N/T")</f>
      </c>
      <c r="K4" t="s">
        <v>6</v>
      </c>
      <c r="L4">
        <f>COUNTA(I10:I109)-COUNTIF(I10:I109,"")</f>
      </c>
      <c r="M4" s="4" t="s">
        <v>5</v>
      </c>
      <c r="N4">
        <f>COUNTIF(J10:J109,"N/T")</f>
      </c>
    </row>
    <row r="5" spans="9:14" x14ac:dyDescent="0.25">
      <c r="I5" s="5" t="s">
        <v>7</v>
      </c>
      <c r="J5">
        <f>COUNTIF(I10:I109,"Fail")</f>
      </c>
      <c r="K5" t="s">
        <v>8</v>
      </c>
      <c r="L5">
        <v>100</v>
      </c>
      <c r="M5" s="5" t="s">
        <v>7</v>
      </c>
      <c r="N5">
        <f>COUNTIF(J10:J109,"Fail")</f>
      </c>
    </row>
    <row r="6" spans="9:14" x14ac:dyDescent="0.25">
      <c r="I6" s="6" t="s">
        <v>9</v>
      </c>
      <c r="J6">
        <f>COUNTIF(I10:I109,"Block")</f>
      </c>
      <c r="K6" t="s">
        <v>10</v>
      </c>
      <c r="L6" s="7">
        <f>IF(L5=0,0,L4/L5)</f>
      </c>
      <c r="M6" s="6" t="s">
        <v>9</v>
      </c>
      <c r="N6">
        <f>COUNTIF(J10:J109,"Block")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26</v>
      </c>
      <c r="H11" s="13" t="s">
        <v>29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0" t="s">
        <v>22</v>
      </c>
      <c r="D12" s="11"/>
      <c r="E12" s="11"/>
      <c r="F12" s="11"/>
      <c r="G12" s="12" t="s">
        <v>30</v>
      </c>
      <c r="H12" s="13" t="s">
        <v>31</v>
      </c>
      <c r="I12" s="12"/>
      <c r="J12" s="12"/>
      <c r="K12" s="12"/>
      <c r="L12" s="12"/>
      <c r="M12" s="12"/>
      <c r="N12" s="14" t="s">
        <v>28</v>
      </c>
    </row>
    <row r="13" spans="2:14" x14ac:dyDescent="0.25">
      <c r="B13" s="9">
        <v>4</v>
      </c>
      <c r="C13" s="10" t="s">
        <v>22</v>
      </c>
      <c r="D13" s="11"/>
      <c r="E13" s="11"/>
      <c r="F13" s="11"/>
      <c r="G13" s="12" t="s">
        <v>32</v>
      </c>
      <c r="H13" s="13" t="s">
        <v>33</v>
      </c>
      <c r="I13" s="12"/>
      <c r="J13" s="12"/>
      <c r="K13" s="12"/>
      <c r="L13" s="12"/>
      <c r="M13" s="12"/>
      <c r="N13" s="14" t="s">
        <v>28</v>
      </c>
    </row>
    <row r="14" spans="2:14" x14ac:dyDescent="0.25">
      <c r="B14" s="9">
        <v>5</v>
      </c>
      <c r="C14" s="15" t="s">
        <v>34</v>
      </c>
      <c r="D14" s="11"/>
      <c r="E14" s="11"/>
      <c r="F14" s="11"/>
      <c r="G14" s="12" t="s">
        <v>32</v>
      </c>
      <c r="H14" s="13" t="s">
        <v>35</v>
      </c>
      <c r="I14" s="12"/>
      <c r="J14" s="12"/>
      <c r="K14" s="12"/>
      <c r="L14" s="12"/>
      <c r="M14" s="12"/>
      <c r="N14" s="14" t="s">
        <v>28</v>
      </c>
    </row>
    <row r="15" spans="2:14" x14ac:dyDescent="0.25">
      <c r="B15" s="9">
        <v>6</v>
      </c>
      <c r="C15" s="15" t="s">
        <v>34</v>
      </c>
      <c r="D15" s="11"/>
      <c r="E15" s="11"/>
      <c r="F15" s="11"/>
      <c r="G15" s="12" t="s">
        <v>32</v>
      </c>
      <c r="H15" s="13" t="s">
        <v>36</v>
      </c>
      <c r="I15" s="12"/>
      <c r="J15" s="12"/>
      <c r="K15" s="12"/>
      <c r="L15" s="12"/>
      <c r="M15" s="12"/>
      <c r="N15" s="14" t="s">
        <v>28</v>
      </c>
    </row>
    <row r="16" spans="2:14" x14ac:dyDescent="0.25">
      <c r="B16" s="9">
        <v>7</v>
      </c>
      <c r="C16" s="15" t="s">
        <v>34</v>
      </c>
      <c r="D16" s="11"/>
      <c r="E16" s="11"/>
      <c r="F16" s="11"/>
      <c r="G16" s="12" t="s">
        <v>37</v>
      </c>
      <c r="H16" s="13" t="s">
        <v>38</v>
      </c>
      <c r="I16" s="12"/>
      <c r="J16" s="12"/>
      <c r="K16" s="12"/>
      <c r="L16" s="12"/>
      <c r="M16" s="12"/>
      <c r="N16" s="14" t="s">
        <v>28</v>
      </c>
    </row>
    <row r="17" spans="2:14" x14ac:dyDescent="0.25">
      <c r="B17" s="9">
        <v>8</v>
      </c>
      <c r="C17" s="10" t="s">
        <v>22</v>
      </c>
      <c r="D17" s="11"/>
      <c r="E17" s="11"/>
      <c r="F17" s="11" t="s">
        <v>39</v>
      </c>
      <c r="G17" s="12" t="s">
        <v>40</v>
      </c>
      <c r="H17" s="13" t="s">
        <v>41</v>
      </c>
      <c r="I17" s="12"/>
      <c r="J17" s="12"/>
      <c r="K17" s="12"/>
      <c r="L17" s="12"/>
      <c r="M17" s="12"/>
      <c r="N17" s="14" t="s">
        <v>42</v>
      </c>
    </row>
    <row r="18" spans="2:14" x14ac:dyDescent="0.25">
      <c r="B18" s="9">
        <v>9</v>
      </c>
      <c r="C18" s="15" t="s">
        <v>34</v>
      </c>
      <c r="D18" s="11"/>
      <c r="E18" s="11"/>
      <c r="F18" s="11"/>
      <c r="G18" s="12" t="s">
        <v>40</v>
      </c>
      <c r="H18" s="13" t="s">
        <v>43</v>
      </c>
      <c r="I18" s="12"/>
      <c r="J18" s="12"/>
      <c r="K18" s="12"/>
      <c r="L18" s="12"/>
      <c r="M18" s="12"/>
      <c r="N18" s="14" t="s">
        <v>42</v>
      </c>
    </row>
    <row r="19" spans="2:14" x14ac:dyDescent="0.25">
      <c r="B19" s="9">
        <v>10</v>
      </c>
      <c r="C19" s="10" t="s">
        <v>22</v>
      </c>
      <c r="D19" s="11"/>
      <c r="E19" s="11"/>
      <c r="F19" s="11" t="s">
        <v>44</v>
      </c>
      <c r="G19" s="12" t="s">
        <v>45</v>
      </c>
      <c r="H19" s="13" t="s">
        <v>46</v>
      </c>
      <c r="I19" s="12"/>
      <c r="J19" s="12"/>
      <c r="K19" s="12"/>
      <c r="L19" s="12"/>
      <c r="M19" s="12"/>
      <c r="N19" s="14" t="s">
        <v>47</v>
      </c>
    </row>
    <row r="20" spans="2:14" x14ac:dyDescent="0.25">
      <c r="B20" s="9">
        <v>11</v>
      </c>
      <c r="C20" s="10" t="s">
        <v>22</v>
      </c>
      <c r="D20" s="11"/>
      <c r="E20" s="11"/>
      <c r="F20" s="11"/>
      <c r="G20" s="12" t="s">
        <v>48</v>
      </c>
      <c r="H20" s="13" t="s">
        <v>49</v>
      </c>
      <c r="I20" s="12"/>
      <c r="J20" s="12"/>
      <c r="K20" s="12"/>
      <c r="L20" s="12"/>
      <c r="M20" s="12"/>
      <c r="N20" s="14" t="s">
        <v>50</v>
      </c>
    </row>
    <row r="21" spans="2:14" x14ac:dyDescent="0.25">
      <c r="B21" s="9">
        <v>12</v>
      </c>
      <c r="C21" s="10" t="s">
        <v>22</v>
      </c>
      <c r="D21" s="11"/>
      <c r="E21" s="11"/>
      <c r="F21" s="11"/>
      <c r="G21" s="12" t="s">
        <v>51</v>
      </c>
      <c r="H21" s="13" t="s">
        <v>52</v>
      </c>
      <c r="I21" s="12"/>
      <c r="J21" s="12"/>
      <c r="K21" s="12"/>
      <c r="L21" s="12"/>
      <c r="M21" s="12"/>
      <c r="N21" s="14" t="s">
        <v>53</v>
      </c>
    </row>
    <row r="22" spans="2:14" x14ac:dyDescent="0.25">
      <c r="B22" s="9">
        <v>13</v>
      </c>
      <c r="C22" s="15" t="s">
        <v>34</v>
      </c>
      <c r="D22" s="11"/>
      <c r="E22" s="11"/>
      <c r="F22" s="11"/>
      <c r="G22" s="12" t="s">
        <v>54</v>
      </c>
      <c r="H22" s="13" t="s">
        <v>55</v>
      </c>
      <c r="I22" s="12"/>
      <c r="J22" s="12"/>
      <c r="K22" s="12"/>
      <c r="L22" s="12"/>
      <c r="M22" s="12"/>
      <c r="N22" s="14" t="s">
        <v>56</v>
      </c>
    </row>
    <row r="23" spans="2:14" x14ac:dyDescent="0.25">
      <c r="B23" s="9">
        <v>14</v>
      </c>
      <c r="C23" s="15" t="s">
        <v>34</v>
      </c>
      <c r="D23" s="11"/>
      <c r="E23" s="11"/>
      <c r="F23" s="11"/>
      <c r="G23" s="12" t="s">
        <v>57</v>
      </c>
      <c r="H23" s="13" t="s">
        <v>58</v>
      </c>
      <c r="I23" s="12"/>
      <c r="J23" s="12"/>
      <c r="K23" s="12"/>
      <c r="L23" s="12"/>
      <c r="M23" s="12"/>
      <c r="N23" s="14" t="s">
        <v>47</v>
      </c>
    </row>
    <row r="24" spans="2:14" x14ac:dyDescent="0.25">
      <c r="B24" s="9">
        <v>15</v>
      </c>
      <c r="C24" s="16" t="s">
        <v>59</v>
      </c>
      <c r="D24" s="11"/>
      <c r="E24" s="11"/>
      <c r="F24" s="11"/>
      <c r="G24" s="12" t="s">
        <v>60</v>
      </c>
      <c r="H24" s="13" t="s">
        <v>61</v>
      </c>
      <c r="I24" s="12"/>
      <c r="J24" s="12"/>
      <c r="K24" s="12"/>
      <c r="L24" s="12"/>
      <c r="M24" s="12"/>
      <c r="N24" s="14" t="s">
        <v>62</v>
      </c>
    </row>
    <row r="25" spans="2:14" x14ac:dyDescent="0.25">
      <c r="B25" s="9">
        <v>16</v>
      </c>
      <c r="C25" s="10" t="s">
        <v>22</v>
      </c>
      <c r="D25" s="11"/>
      <c r="E25" s="11" t="s">
        <v>63</v>
      </c>
      <c r="F25" s="11" t="s">
        <v>64</v>
      </c>
      <c r="G25" s="12" t="s">
        <v>65</v>
      </c>
      <c r="H25" s="13" t="s">
        <v>66</v>
      </c>
      <c r="I25" s="12"/>
      <c r="J25" s="12"/>
      <c r="K25" s="12"/>
      <c r="L25" s="12"/>
      <c r="M25" s="12"/>
      <c r="N25" s="14" t="s">
        <v>67</v>
      </c>
    </row>
    <row r="26" spans="2:14" x14ac:dyDescent="0.25">
      <c r="B26" s="9">
        <v>17</v>
      </c>
      <c r="C26" s="10" t="s">
        <v>22</v>
      </c>
      <c r="D26" s="11"/>
      <c r="E26" s="11"/>
      <c r="F26" s="11"/>
      <c r="G26" s="12" t="s">
        <v>65</v>
      </c>
      <c r="H26" s="13" t="s">
        <v>68</v>
      </c>
      <c r="I26" s="12"/>
      <c r="J26" s="12"/>
      <c r="K26" s="12"/>
      <c r="L26" s="12"/>
      <c r="M26" s="12"/>
      <c r="N26" s="14" t="s">
        <v>67</v>
      </c>
    </row>
    <row r="27" spans="2:14" x14ac:dyDescent="0.25">
      <c r="B27" s="9">
        <v>18</v>
      </c>
      <c r="C27" s="15" t="s">
        <v>34</v>
      </c>
      <c r="D27" s="11"/>
      <c r="E27" s="11"/>
      <c r="F27" s="11"/>
      <c r="G27" s="12" t="s">
        <v>65</v>
      </c>
      <c r="H27" s="13" t="s">
        <v>69</v>
      </c>
      <c r="I27" s="12"/>
      <c r="J27" s="12"/>
      <c r="K27" s="12"/>
      <c r="L27" s="12"/>
      <c r="M27" s="12"/>
      <c r="N27" s="14" t="s">
        <v>67</v>
      </c>
    </row>
    <row r="28" spans="2:14" x14ac:dyDescent="0.25">
      <c r="B28" s="9">
        <v>19</v>
      </c>
      <c r="C28" s="15" t="s">
        <v>34</v>
      </c>
      <c r="D28" s="11"/>
      <c r="E28" s="11"/>
      <c r="F28" s="11"/>
      <c r="G28" s="12" t="s">
        <v>70</v>
      </c>
      <c r="H28" s="13" t="s">
        <v>71</v>
      </c>
      <c r="I28" s="12"/>
      <c r="J28" s="12"/>
      <c r="K28" s="12"/>
      <c r="L28" s="12"/>
      <c r="M28" s="12"/>
      <c r="N28" s="14" t="s">
        <v>67</v>
      </c>
    </row>
    <row r="29" spans="2:14" x14ac:dyDescent="0.25">
      <c r="B29" s="9">
        <v>20</v>
      </c>
      <c r="C29" s="16" t="s">
        <v>59</v>
      </c>
      <c r="D29" s="11"/>
      <c r="E29" s="11"/>
      <c r="F29" s="11"/>
      <c r="G29" s="12" t="s">
        <v>70</v>
      </c>
      <c r="H29" s="13" t="s">
        <v>72</v>
      </c>
      <c r="I29" s="12"/>
      <c r="J29" s="12"/>
      <c r="K29" s="12"/>
      <c r="L29" s="12"/>
      <c r="M29" s="12"/>
      <c r="N29" s="14" t="s">
        <v>67</v>
      </c>
    </row>
    <row r="30" spans="2:14" x14ac:dyDescent="0.25">
      <c r="B30" s="9">
        <v>21</v>
      </c>
      <c r="C30" s="15" t="s">
        <v>34</v>
      </c>
      <c r="D30" s="11"/>
      <c r="E30" s="11"/>
      <c r="F30" s="11"/>
      <c r="G30" s="12" t="s">
        <v>73</v>
      </c>
      <c r="H30" s="13" t="s">
        <v>74</v>
      </c>
      <c r="I30" s="12"/>
      <c r="J30" s="12"/>
      <c r="K30" s="12"/>
      <c r="L30" s="12"/>
      <c r="M30" s="12"/>
      <c r="N30" s="14" t="s">
        <v>67</v>
      </c>
    </row>
    <row r="31" spans="2:14" x14ac:dyDescent="0.25">
      <c r="B31" s="9">
        <v>22</v>
      </c>
      <c r="C31" s="15" t="s">
        <v>34</v>
      </c>
      <c r="D31" s="11"/>
      <c r="E31" s="11"/>
      <c r="F31" s="11"/>
      <c r="G31" s="12" t="s">
        <v>73</v>
      </c>
      <c r="H31" s="13" t="s">
        <v>75</v>
      </c>
      <c r="I31" s="12"/>
      <c r="J31" s="12"/>
      <c r="K31" s="12"/>
      <c r="L31" s="12"/>
      <c r="M31" s="12"/>
      <c r="N31" s="14" t="s">
        <v>67</v>
      </c>
    </row>
    <row r="32" spans="2:14" x14ac:dyDescent="0.25">
      <c r="B32" s="9">
        <v>23</v>
      </c>
      <c r="C32" s="15" t="s">
        <v>34</v>
      </c>
      <c r="D32" s="11"/>
      <c r="E32" s="11"/>
      <c r="F32" s="11"/>
      <c r="G32" s="12" t="s">
        <v>76</v>
      </c>
      <c r="H32" s="13" t="s">
        <v>77</v>
      </c>
      <c r="I32" s="12"/>
      <c r="J32" s="12"/>
      <c r="K32" s="12"/>
      <c r="L32" s="12"/>
      <c r="M32" s="12"/>
      <c r="N32" s="14" t="s">
        <v>67</v>
      </c>
    </row>
    <row r="33" spans="2:14" x14ac:dyDescent="0.25">
      <c r="B33" s="9">
        <v>24</v>
      </c>
      <c r="C33" s="10" t="s">
        <v>22</v>
      </c>
      <c r="D33" s="11"/>
      <c r="E33" s="11"/>
      <c r="F33" s="11" t="s">
        <v>78</v>
      </c>
      <c r="G33" s="12" t="s">
        <v>79</v>
      </c>
      <c r="H33" s="13" t="s">
        <v>80</v>
      </c>
      <c r="I33" s="12"/>
      <c r="J33" s="12"/>
      <c r="K33" s="12"/>
      <c r="L33" s="12"/>
      <c r="M33" s="12"/>
      <c r="N33" s="14" t="s">
        <v>67</v>
      </c>
    </row>
    <row r="34" spans="2:14" x14ac:dyDescent="0.25">
      <c r="B34" s="9">
        <v>25</v>
      </c>
      <c r="C34" s="10" t="s">
        <v>22</v>
      </c>
      <c r="D34" s="11"/>
      <c r="E34" s="11"/>
      <c r="F34" s="11"/>
      <c r="G34" s="12" t="s">
        <v>81</v>
      </c>
      <c r="H34" s="13" t="s">
        <v>82</v>
      </c>
      <c r="I34" s="12"/>
      <c r="J34" s="12"/>
      <c r="K34" s="12"/>
      <c r="L34" s="12"/>
      <c r="M34" s="12"/>
      <c r="N34" s="14" t="s">
        <v>67</v>
      </c>
    </row>
    <row r="35" spans="2:14" x14ac:dyDescent="0.25">
      <c r="B35" s="9">
        <v>26</v>
      </c>
      <c r="C35" s="15" t="s">
        <v>34</v>
      </c>
      <c r="D35" s="11"/>
      <c r="E35" s="11"/>
      <c r="F35" s="11"/>
      <c r="G35" s="12" t="s">
        <v>81</v>
      </c>
      <c r="H35" s="13" t="s">
        <v>83</v>
      </c>
      <c r="I35" s="12"/>
      <c r="J35" s="12"/>
      <c r="K35" s="12"/>
      <c r="L35" s="12"/>
      <c r="M35" s="12"/>
      <c r="N35" s="14" t="s">
        <v>67</v>
      </c>
    </row>
    <row r="36" spans="2:14" x14ac:dyDescent="0.25">
      <c r="B36" s="9">
        <v>27</v>
      </c>
      <c r="C36" s="15" t="s">
        <v>34</v>
      </c>
      <c r="D36" s="11"/>
      <c r="E36" s="11"/>
      <c r="F36" s="11"/>
      <c r="G36" s="12" t="s">
        <v>81</v>
      </c>
      <c r="H36" s="13" t="s">
        <v>84</v>
      </c>
      <c r="I36" s="12"/>
      <c r="J36" s="12"/>
      <c r="K36" s="12"/>
      <c r="L36" s="12"/>
      <c r="M36" s="12"/>
      <c r="N36" s="14" t="s">
        <v>67</v>
      </c>
    </row>
    <row r="37" spans="2:14" x14ac:dyDescent="0.25">
      <c r="B37" s="9">
        <v>28</v>
      </c>
      <c r="C37" s="15" t="s">
        <v>34</v>
      </c>
      <c r="D37" s="11"/>
      <c r="E37" s="11"/>
      <c r="F37" s="11"/>
      <c r="G37" s="12" t="s">
        <v>85</v>
      </c>
      <c r="H37" s="13" t="s">
        <v>86</v>
      </c>
      <c r="I37" s="12"/>
      <c r="J37" s="12"/>
      <c r="K37" s="12"/>
      <c r="L37" s="12"/>
      <c r="M37" s="12"/>
      <c r="N37" s="14" t="s">
        <v>67</v>
      </c>
    </row>
    <row r="38" spans="2:14" x14ac:dyDescent="0.25">
      <c r="B38" s="9">
        <v>29</v>
      </c>
      <c r="C38" s="16" t="s">
        <v>59</v>
      </c>
      <c r="D38" s="11"/>
      <c r="E38" s="11"/>
      <c r="F38" s="11"/>
      <c r="G38" s="12" t="s">
        <v>85</v>
      </c>
      <c r="H38" s="13" t="s">
        <v>87</v>
      </c>
      <c r="I38" s="12"/>
      <c r="J38" s="12"/>
      <c r="K38" s="12"/>
      <c r="L38" s="12"/>
      <c r="M38" s="12"/>
      <c r="N38" s="14" t="s">
        <v>67</v>
      </c>
    </row>
    <row r="39" spans="2:14" x14ac:dyDescent="0.25">
      <c r="B39" s="9">
        <v>30</v>
      </c>
      <c r="C39" s="15" t="s">
        <v>34</v>
      </c>
      <c r="D39" s="11"/>
      <c r="E39" s="11"/>
      <c r="F39" s="11"/>
      <c r="G39" s="12" t="s">
        <v>88</v>
      </c>
      <c r="H39" s="13" t="s">
        <v>89</v>
      </c>
      <c r="I39" s="12"/>
      <c r="J39" s="12"/>
      <c r="K39" s="12"/>
      <c r="L39" s="12"/>
      <c r="M39" s="12"/>
      <c r="N39" s="14" t="s">
        <v>67</v>
      </c>
    </row>
    <row r="40" spans="2:14" x14ac:dyDescent="0.25">
      <c r="B40" s="9">
        <v>31</v>
      </c>
      <c r="C40" s="10" t="s">
        <v>22</v>
      </c>
      <c r="D40" s="11"/>
      <c r="E40" s="11"/>
      <c r="F40" s="11" t="s">
        <v>90</v>
      </c>
      <c r="G40" s="12" t="s">
        <v>91</v>
      </c>
      <c r="H40" s="13" t="s">
        <v>92</v>
      </c>
      <c r="I40" s="12"/>
      <c r="J40" s="12"/>
      <c r="K40" s="12"/>
      <c r="L40" s="12"/>
      <c r="M40" s="12"/>
      <c r="N40" s="14" t="s">
        <v>67</v>
      </c>
    </row>
    <row r="41" spans="2:14" x14ac:dyDescent="0.25">
      <c r="B41" s="9">
        <v>32</v>
      </c>
      <c r="C41" s="10" t="s">
        <v>22</v>
      </c>
      <c r="D41" s="11"/>
      <c r="E41" s="11"/>
      <c r="F41" s="11"/>
      <c r="G41" s="12" t="s">
        <v>93</v>
      </c>
      <c r="H41" s="13" t="s">
        <v>94</v>
      </c>
      <c r="I41" s="12"/>
      <c r="J41" s="12"/>
      <c r="K41" s="12"/>
      <c r="L41" s="12"/>
      <c r="M41" s="12"/>
      <c r="N41" s="14" t="s">
        <v>67</v>
      </c>
    </row>
    <row r="42" spans="2:14" x14ac:dyDescent="0.25">
      <c r="B42" s="9">
        <v>33</v>
      </c>
      <c r="C42" s="15" t="s">
        <v>34</v>
      </c>
      <c r="D42" s="11"/>
      <c r="E42" s="11"/>
      <c r="F42" s="11"/>
      <c r="G42" s="12" t="s">
        <v>93</v>
      </c>
      <c r="H42" s="13" t="s">
        <v>95</v>
      </c>
      <c r="I42" s="12"/>
      <c r="J42" s="12"/>
      <c r="K42" s="12"/>
      <c r="L42" s="12"/>
      <c r="M42" s="12"/>
      <c r="N42" s="14" t="s">
        <v>67</v>
      </c>
    </row>
    <row r="43" spans="2:14" x14ac:dyDescent="0.25">
      <c r="B43" s="9">
        <v>34</v>
      </c>
      <c r="C43" s="15" t="s">
        <v>34</v>
      </c>
      <c r="D43" s="11"/>
      <c r="E43" s="11"/>
      <c r="F43" s="11"/>
      <c r="G43" s="12" t="s">
        <v>93</v>
      </c>
      <c r="H43" s="13" t="s">
        <v>96</v>
      </c>
      <c r="I43" s="12"/>
      <c r="J43" s="12"/>
      <c r="K43" s="12"/>
      <c r="L43" s="12"/>
      <c r="M43" s="12"/>
      <c r="N43" s="14" t="s">
        <v>67</v>
      </c>
    </row>
    <row r="44" spans="2:14" x14ac:dyDescent="0.25">
      <c r="B44" s="9">
        <v>35</v>
      </c>
      <c r="C44" s="10" t="s">
        <v>22</v>
      </c>
      <c r="D44" s="11"/>
      <c r="E44" s="11"/>
      <c r="F44" s="11"/>
      <c r="G44" s="12" t="s">
        <v>97</v>
      </c>
      <c r="H44" s="13" t="s">
        <v>98</v>
      </c>
      <c r="I44" s="12"/>
      <c r="J44" s="12"/>
      <c r="K44" s="12"/>
      <c r="L44" s="12"/>
      <c r="M44" s="12"/>
      <c r="N44" s="14" t="s">
        <v>67</v>
      </c>
    </row>
    <row r="45" spans="2:14" x14ac:dyDescent="0.25">
      <c r="B45" s="9">
        <v>36</v>
      </c>
      <c r="C45" s="10" t="s">
        <v>22</v>
      </c>
      <c r="D45" s="11"/>
      <c r="E45" s="11"/>
      <c r="F45" s="11"/>
      <c r="G45" s="12" t="s">
        <v>97</v>
      </c>
      <c r="H45" s="13" t="s">
        <v>99</v>
      </c>
      <c r="I45" s="12"/>
      <c r="J45" s="12"/>
      <c r="K45" s="12"/>
      <c r="L45" s="12"/>
      <c r="M45" s="12"/>
      <c r="N45" s="14" t="s">
        <v>67</v>
      </c>
    </row>
    <row r="46" spans="2:14" x14ac:dyDescent="0.25">
      <c r="B46" s="9">
        <v>37</v>
      </c>
      <c r="C46" s="15" t="s">
        <v>34</v>
      </c>
      <c r="D46" s="11"/>
      <c r="E46" s="11"/>
      <c r="F46" s="11"/>
      <c r="G46" s="12" t="s">
        <v>100</v>
      </c>
      <c r="H46" s="13" t="s">
        <v>101</v>
      </c>
      <c r="I46" s="12"/>
      <c r="J46" s="12"/>
      <c r="K46" s="12"/>
      <c r="L46" s="12"/>
      <c r="M46" s="12"/>
      <c r="N46" s="14" t="s">
        <v>67</v>
      </c>
    </row>
    <row r="47" spans="2:14" x14ac:dyDescent="0.25">
      <c r="B47" s="9">
        <v>38</v>
      </c>
      <c r="C47" s="15" t="s">
        <v>34</v>
      </c>
      <c r="D47" s="11"/>
      <c r="E47" s="11"/>
      <c r="F47" s="11"/>
      <c r="G47" s="12" t="s">
        <v>100</v>
      </c>
      <c r="H47" s="13" t="s">
        <v>102</v>
      </c>
      <c r="I47" s="12"/>
      <c r="J47" s="12"/>
      <c r="K47" s="12"/>
      <c r="L47" s="12"/>
      <c r="M47" s="12"/>
      <c r="N47" s="14" t="s">
        <v>67</v>
      </c>
    </row>
    <row r="48" spans="2:14" x14ac:dyDescent="0.25">
      <c r="B48" s="9">
        <v>39</v>
      </c>
      <c r="C48" s="15" t="s">
        <v>34</v>
      </c>
      <c r="D48" s="11"/>
      <c r="E48" s="11"/>
      <c r="F48" s="11"/>
      <c r="G48" s="12" t="s">
        <v>103</v>
      </c>
      <c r="H48" s="13" t="s">
        <v>104</v>
      </c>
      <c r="I48" s="12"/>
      <c r="J48" s="12"/>
      <c r="K48" s="12"/>
      <c r="L48" s="12"/>
      <c r="M48" s="12"/>
      <c r="N48" s="14" t="s">
        <v>67</v>
      </c>
    </row>
    <row r="49" spans="2:14" x14ac:dyDescent="0.25">
      <c r="B49" s="9">
        <v>40</v>
      </c>
      <c r="C49" s="16" t="s">
        <v>59</v>
      </c>
      <c r="D49" s="11"/>
      <c r="E49" s="11"/>
      <c r="F49" s="11"/>
      <c r="G49" s="12" t="s">
        <v>105</v>
      </c>
      <c r="H49" s="13" t="s">
        <v>106</v>
      </c>
      <c r="I49" s="12"/>
      <c r="J49" s="12"/>
      <c r="K49" s="12"/>
      <c r="L49" s="12"/>
      <c r="M49" s="12"/>
      <c r="N49" s="14" t="s">
        <v>67</v>
      </c>
    </row>
    <row r="50" spans="2:14" x14ac:dyDescent="0.25">
      <c r="B50" s="9">
        <v>41</v>
      </c>
      <c r="C50" s="15" t="s">
        <v>34</v>
      </c>
      <c r="D50" s="11"/>
      <c r="E50" s="11"/>
      <c r="F50" s="11" t="s">
        <v>107</v>
      </c>
      <c r="G50" s="12" t="s">
        <v>108</v>
      </c>
      <c r="H50" s="13" t="s">
        <v>109</v>
      </c>
      <c r="I50" s="12"/>
      <c r="J50" s="12"/>
      <c r="K50" s="12"/>
      <c r="L50" s="12"/>
      <c r="M50" s="12"/>
      <c r="N50" s="14" t="s">
        <v>67</v>
      </c>
    </row>
    <row r="51" spans="2:14" x14ac:dyDescent="0.25">
      <c r="B51" s="9">
        <v>42</v>
      </c>
      <c r="C51" s="15" t="s">
        <v>34</v>
      </c>
      <c r="D51" s="11"/>
      <c r="E51" s="11"/>
      <c r="F51" s="11"/>
      <c r="G51" s="12" t="s">
        <v>108</v>
      </c>
      <c r="H51" s="13" t="s">
        <v>110</v>
      </c>
      <c r="I51" s="12"/>
      <c r="J51" s="12"/>
      <c r="K51" s="12"/>
      <c r="L51" s="12"/>
      <c r="M51" s="12"/>
      <c r="N51" s="14" t="s">
        <v>67</v>
      </c>
    </row>
    <row r="52" spans="2:14" x14ac:dyDescent="0.25">
      <c r="B52" s="9">
        <v>43</v>
      </c>
      <c r="C52" s="15" t="s">
        <v>34</v>
      </c>
      <c r="D52" s="11"/>
      <c r="E52" s="11"/>
      <c r="F52" s="11"/>
      <c r="G52" s="12" t="s">
        <v>111</v>
      </c>
      <c r="H52" s="13" t="s">
        <v>112</v>
      </c>
      <c r="I52" s="12"/>
      <c r="J52" s="12"/>
      <c r="K52" s="12"/>
      <c r="L52" s="12"/>
      <c r="M52" s="12"/>
      <c r="N52" s="14" t="s">
        <v>67</v>
      </c>
    </row>
    <row r="53" spans="2:14" x14ac:dyDescent="0.25">
      <c r="B53" s="9">
        <v>44</v>
      </c>
      <c r="C53" s="15" t="s">
        <v>34</v>
      </c>
      <c r="D53" s="11"/>
      <c r="E53" s="11"/>
      <c r="F53" s="11"/>
      <c r="G53" s="12" t="s">
        <v>111</v>
      </c>
      <c r="H53" s="13" t="s">
        <v>113</v>
      </c>
      <c r="I53" s="12"/>
      <c r="J53" s="12"/>
      <c r="K53" s="12"/>
      <c r="L53" s="12"/>
      <c r="M53" s="12"/>
      <c r="N53" s="14" t="s">
        <v>67</v>
      </c>
    </row>
    <row r="54" spans="2:14" x14ac:dyDescent="0.25">
      <c r="B54" s="9">
        <v>45</v>
      </c>
      <c r="C54" s="15" t="s">
        <v>34</v>
      </c>
      <c r="D54" s="11"/>
      <c r="E54" s="11"/>
      <c r="F54" s="11"/>
      <c r="G54" s="12" t="s">
        <v>114</v>
      </c>
      <c r="H54" s="13" t="s">
        <v>115</v>
      </c>
      <c r="I54" s="12"/>
      <c r="J54" s="12"/>
      <c r="K54" s="12"/>
      <c r="L54" s="12"/>
      <c r="M54" s="12"/>
      <c r="N54" s="14" t="s">
        <v>67</v>
      </c>
    </row>
    <row r="55" spans="2:14" x14ac:dyDescent="0.25">
      <c r="B55" s="9">
        <v>46</v>
      </c>
      <c r="C55" s="15" t="s">
        <v>34</v>
      </c>
      <c r="D55" s="11"/>
      <c r="E55" s="11"/>
      <c r="F55" s="11"/>
      <c r="G55" s="12" t="s">
        <v>114</v>
      </c>
      <c r="H55" s="13" t="s">
        <v>116</v>
      </c>
      <c r="I55" s="12"/>
      <c r="J55" s="12"/>
      <c r="K55" s="12"/>
      <c r="L55" s="12"/>
      <c r="M55" s="12"/>
      <c r="N55" s="14" t="s">
        <v>67</v>
      </c>
    </row>
    <row r="56" spans="2:14" x14ac:dyDescent="0.25">
      <c r="B56" s="9">
        <v>47</v>
      </c>
      <c r="C56" s="16" t="s">
        <v>59</v>
      </c>
      <c r="D56" s="11"/>
      <c r="E56" s="11"/>
      <c r="F56" s="11"/>
      <c r="G56" s="12" t="s">
        <v>117</v>
      </c>
      <c r="H56" s="13" t="s">
        <v>118</v>
      </c>
      <c r="I56" s="12"/>
      <c r="J56" s="12"/>
      <c r="K56" s="12"/>
      <c r="L56" s="12"/>
      <c r="M56" s="12"/>
      <c r="N56" s="14" t="s">
        <v>67</v>
      </c>
    </row>
    <row r="57" spans="2:14" x14ac:dyDescent="0.25">
      <c r="B57" s="9">
        <v>48</v>
      </c>
      <c r="C57" s="16" t="s">
        <v>59</v>
      </c>
      <c r="D57" s="11"/>
      <c r="E57" s="11"/>
      <c r="F57" s="11"/>
      <c r="G57" s="12" t="s">
        <v>119</v>
      </c>
      <c r="H57" s="13" t="s">
        <v>120</v>
      </c>
      <c r="I57" s="12"/>
      <c r="J57" s="12"/>
      <c r="K57" s="12"/>
      <c r="L57" s="12"/>
      <c r="M57" s="12"/>
      <c r="N57" s="14" t="s">
        <v>67</v>
      </c>
    </row>
    <row r="58" spans="2:14" x14ac:dyDescent="0.25">
      <c r="B58" s="9">
        <v>49</v>
      </c>
      <c r="C58" s="16" t="s">
        <v>59</v>
      </c>
      <c r="D58" s="11"/>
      <c r="E58" s="11"/>
      <c r="F58" s="11"/>
      <c r="G58" s="12" t="s">
        <v>121</v>
      </c>
      <c r="H58" s="13" t="s">
        <v>122</v>
      </c>
      <c r="I58" s="12"/>
      <c r="J58" s="12"/>
      <c r="K58" s="12"/>
      <c r="L58" s="12"/>
      <c r="M58" s="12"/>
      <c r="N58" s="14" t="s">
        <v>123</v>
      </c>
    </row>
    <row r="59" spans="2:14" x14ac:dyDescent="0.25">
      <c r="B59" s="9">
        <v>50</v>
      </c>
      <c r="C59" s="16" t="s">
        <v>59</v>
      </c>
      <c r="D59" s="11"/>
      <c r="E59" s="11"/>
      <c r="F59" s="11"/>
      <c r="G59" s="12" t="s">
        <v>124</v>
      </c>
      <c r="H59" s="13" t="s">
        <v>125</v>
      </c>
      <c r="I59" s="12"/>
      <c r="J59" s="12"/>
      <c r="K59" s="12"/>
      <c r="L59" s="12"/>
      <c r="M59" s="12"/>
      <c r="N59" s="14" t="s">
        <v>126</v>
      </c>
    </row>
    <row r="60" spans="2:14" x14ac:dyDescent="0.25">
      <c r="B60" s="9">
        <v>51</v>
      </c>
      <c r="C60" s="16" t="s">
        <v>59</v>
      </c>
      <c r="D60" s="11"/>
      <c r="E60" s="11"/>
      <c r="F60" s="11"/>
      <c r="G60" s="12" t="s">
        <v>127</v>
      </c>
      <c r="H60" s="13" t="s">
        <v>128</v>
      </c>
      <c r="I60" s="12"/>
      <c r="J60" s="12"/>
      <c r="K60" s="12"/>
      <c r="L60" s="12"/>
      <c r="M60" s="12"/>
      <c r="N60" s="14" t="s">
        <v>129</v>
      </c>
    </row>
    <row r="61" spans="2:14" x14ac:dyDescent="0.25">
      <c r="B61" s="9">
        <v>52</v>
      </c>
      <c r="C61" s="10" t="s">
        <v>22</v>
      </c>
      <c r="D61" s="11"/>
      <c r="E61" s="11" t="s">
        <v>130</v>
      </c>
      <c r="F61" s="11" t="s">
        <v>131</v>
      </c>
      <c r="G61" s="12" t="s">
        <v>132</v>
      </c>
      <c r="H61" s="13" t="s">
        <v>133</v>
      </c>
      <c r="I61" s="12"/>
      <c r="J61" s="12"/>
      <c r="K61" s="12"/>
      <c r="L61" s="12"/>
      <c r="M61" s="12"/>
      <c r="N61" s="14" t="s">
        <v>134</v>
      </c>
    </row>
    <row r="62" spans="2:14" x14ac:dyDescent="0.25">
      <c r="B62" s="9">
        <v>53</v>
      </c>
      <c r="C62" s="15" t="s">
        <v>34</v>
      </c>
      <c r="D62" s="11"/>
      <c r="E62" s="11"/>
      <c r="F62" s="11"/>
      <c r="G62" s="12" t="s">
        <v>135</v>
      </c>
      <c r="H62" s="13" t="s">
        <v>136</v>
      </c>
      <c r="I62" s="12"/>
      <c r="J62" s="12"/>
      <c r="K62" s="12"/>
      <c r="L62" s="12"/>
      <c r="M62" s="12"/>
      <c r="N62" s="14" t="s">
        <v>137</v>
      </c>
    </row>
    <row r="63" spans="2:14" x14ac:dyDescent="0.25">
      <c r="B63" s="9">
        <v>54</v>
      </c>
      <c r="C63" s="15" t="s">
        <v>34</v>
      </c>
      <c r="D63" s="11"/>
      <c r="E63" s="11"/>
      <c r="F63" s="11" t="s">
        <v>138</v>
      </c>
      <c r="G63" s="12" t="s">
        <v>139</v>
      </c>
      <c r="H63" s="13" t="s">
        <v>140</v>
      </c>
      <c r="I63" s="12"/>
      <c r="J63" s="12"/>
      <c r="K63" s="12"/>
      <c r="L63" s="12"/>
      <c r="M63" s="12"/>
      <c r="N63" s="14" t="s">
        <v>137</v>
      </c>
    </row>
    <row r="64" spans="2:14" x14ac:dyDescent="0.25">
      <c r="B64" s="9">
        <v>55</v>
      </c>
      <c r="C64" s="15" t="s">
        <v>34</v>
      </c>
      <c r="D64" s="11"/>
      <c r="E64" s="11"/>
      <c r="F64" s="11"/>
      <c r="G64" s="12" t="s">
        <v>139</v>
      </c>
      <c r="H64" s="13" t="s">
        <v>141</v>
      </c>
      <c r="I64" s="12"/>
      <c r="J64" s="12"/>
      <c r="K64" s="12"/>
      <c r="L64" s="12"/>
      <c r="M64" s="12"/>
      <c r="N64" s="14" t="s">
        <v>137</v>
      </c>
    </row>
    <row r="65" spans="2:14" x14ac:dyDescent="0.25">
      <c r="B65" s="9">
        <v>56</v>
      </c>
      <c r="C65" s="15" t="s">
        <v>34</v>
      </c>
      <c r="D65" s="11"/>
      <c r="E65" s="11"/>
      <c r="F65" s="11"/>
      <c r="G65" s="12" t="s">
        <v>142</v>
      </c>
      <c r="H65" s="13" t="s">
        <v>143</v>
      </c>
      <c r="I65" s="12"/>
      <c r="J65" s="12"/>
      <c r="K65" s="12"/>
      <c r="L65" s="12"/>
      <c r="M65" s="12"/>
      <c r="N65" s="14" t="s">
        <v>137</v>
      </c>
    </row>
    <row r="66" spans="2:14" x14ac:dyDescent="0.25">
      <c r="B66" s="9">
        <v>57</v>
      </c>
      <c r="C66" s="15" t="s">
        <v>34</v>
      </c>
      <c r="D66" s="11"/>
      <c r="E66" s="11"/>
      <c r="F66" s="11"/>
      <c r="G66" s="12" t="s">
        <v>142</v>
      </c>
      <c r="H66" s="13" t="s">
        <v>144</v>
      </c>
      <c r="I66" s="12"/>
      <c r="J66" s="12"/>
      <c r="K66" s="12"/>
      <c r="L66" s="12"/>
      <c r="M66" s="12"/>
      <c r="N66" s="14" t="s">
        <v>137</v>
      </c>
    </row>
    <row r="67" spans="2:14" x14ac:dyDescent="0.25">
      <c r="B67" s="9">
        <v>58</v>
      </c>
      <c r="C67" s="10" t="s">
        <v>22</v>
      </c>
      <c r="D67" s="11"/>
      <c r="E67" s="11"/>
      <c r="F67" s="11" t="s">
        <v>145</v>
      </c>
      <c r="G67" s="12" t="s">
        <v>146</v>
      </c>
      <c r="H67" s="13" t="s">
        <v>147</v>
      </c>
      <c r="I67" s="12"/>
      <c r="J67" s="12"/>
      <c r="K67" s="12"/>
      <c r="L67" s="12"/>
      <c r="M67" s="12"/>
      <c r="N67" s="14" t="s">
        <v>137</v>
      </c>
    </row>
    <row r="68" spans="2:14" x14ac:dyDescent="0.25">
      <c r="B68" s="9">
        <v>59</v>
      </c>
      <c r="C68" s="10" t="s">
        <v>22</v>
      </c>
      <c r="D68" s="11"/>
      <c r="E68" s="11"/>
      <c r="F68" s="11"/>
      <c r="G68" s="12" t="s">
        <v>148</v>
      </c>
      <c r="H68" s="13" t="s">
        <v>149</v>
      </c>
      <c r="I68" s="12"/>
      <c r="J68" s="12"/>
      <c r="K68" s="12"/>
      <c r="L68" s="12"/>
      <c r="M68" s="12"/>
      <c r="N68" s="14" t="s">
        <v>137</v>
      </c>
    </row>
    <row r="69" spans="2:14" x14ac:dyDescent="0.25">
      <c r="B69" s="9">
        <v>60</v>
      </c>
      <c r="C69" s="10" t="s">
        <v>22</v>
      </c>
      <c r="D69" s="11"/>
      <c r="E69" s="11"/>
      <c r="F69" s="11"/>
      <c r="G69" s="12" t="s">
        <v>150</v>
      </c>
      <c r="H69" s="13" t="s">
        <v>151</v>
      </c>
      <c r="I69" s="12"/>
      <c r="J69" s="12"/>
      <c r="K69" s="12"/>
      <c r="L69" s="12"/>
      <c r="M69" s="12"/>
      <c r="N69" s="14" t="s">
        <v>137</v>
      </c>
    </row>
    <row r="70" spans="2:14" x14ac:dyDescent="0.25">
      <c r="B70" s="9">
        <v>61</v>
      </c>
      <c r="C70" s="15" t="s">
        <v>34</v>
      </c>
      <c r="D70" s="11"/>
      <c r="E70" s="11"/>
      <c r="F70" s="11"/>
      <c r="G70" s="12" t="s">
        <v>152</v>
      </c>
      <c r="H70" s="13" t="s">
        <v>153</v>
      </c>
      <c r="I70" s="12"/>
      <c r="J70" s="12"/>
      <c r="K70" s="12"/>
      <c r="L70" s="12"/>
      <c r="M70" s="12"/>
      <c r="N70" s="14" t="s">
        <v>137</v>
      </c>
    </row>
    <row r="71" spans="2:14" x14ac:dyDescent="0.25">
      <c r="B71" s="9">
        <v>62</v>
      </c>
      <c r="C71" s="15" t="s">
        <v>34</v>
      </c>
      <c r="D71" s="11"/>
      <c r="E71" s="11"/>
      <c r="F71" s="11"/>
      <c r="G71" s="12" t="s">
        <v>152</v>
      </c>
      <c r="H71" s="13" t="s">
        <v>154</v>
      </c>
      <c r="I71" s="12"/>
      <c r="J71" s="12"/>
      <c r="K71" s="12"/>
      <c r="L71" s="12"/>
      <c r="M71" s="12"/>
      <c r="N71" s="14" t="s">
        <v>137</v>
      </c>
    </row>
    <row r="72" spans="2:14" x14ac:dyDescent="0.25">
      <c r="B72" s="9">
        <v>63</v>
      </c>
      <c r="C72" s="15" t="s">
        <v>34</v>
      </c>
      <c r="D72" s="11"/>
      <c r="E72" s="11"/>
      <c r="F72" s="11"/>
      <c r="G72" s="12" t="s">
        <v>155</v>
      </c>
      <c r="H72" s="13" t="s">
        <v>156</v>
      </c>
      <c r="I72" s="12"/>
      <c r="J72" s="12"/>
      <c r="K72" s="12"/>
      <c r="L72" s="12"/>
      <c r="M72" s="12"/>
      <c r="N72" s="14" t="s">
        <v>137</v>
      </c>
    </row>
    <row r="73" spans="2:14" x14ac:dyDescent="0.25">
      <c r="B73" s="9">
        <v>64</v>
      </c>
      <c r="C73" s="15" t="s">
        <v>34</v>
      </c>
      <c r="D73" s="11"/>
      <c r="E73" s="11"/>
      <c r="F73" s="11"/>
      <c r="G73" s="12" t="s">
        <v>155</v>
      </c>
      <c r="H73" s="13" t="s">
        <v>157</v>
      </c>
      <c r="I73" s="12"/>
      <c r="J73" s="12"/>
      <c r="K73" s="12"/>
      <c r="L73" s="12"/>
      <c r="M73" s="12"/>
      <c r="N73" s="14" t="s">
        <v>137</v>
      </c>
    </row>
    <row r="74" spans="2:14" x14ac:dyDescent="0.25">
      <c r="B74" s="9">
        <v>65</v>
      </c>
      <c r="C74" s="16" t="s">
        <v>59</v>
      </c>
      <c r="D74" s="11"/>
      <c r="E74" s="11"/>
      <c r="F74" s="11"/>
      <c r="G74" s="12" t="s">
        <v>117</v>
      </c>
      <c r="H74" s="13" t="s">
        <v>158</v>
      </c>
      <c r="I74" s="12"/>
      <c r="J74" s="12"/>
      <c r="K74" s="12"/>
      <c r="L74" s="12"/>
      <c r="M74" s="12"/>
      <c r="N74" s="14" t="s">
        <v>137</v>
      </c>
    </row>
    <row r="75" spans="2:14" x14ac:dyDescent="0.25">
      <c r="B75" s="9">
        <v>66</v>
      </c>
      <c r="C75" s="16" t="s">
        <v>59</v>
      </c>
      <c r="D75" s="11"/>
      <c r="E75" s="11"/>
      <c r="F75" s="11"/>
      <c r="G75" s="12" t="s">
        <v>117</v>
      </c>
      <c r="H75" s="13" t="s">
        <v>159</v>
      </c>
      <c r="I75" s="12"/>
      <c r="J75" s="12"/>
      <c r="K75" s="12"/>
      <c r="L75" s="12"/>
      <c r="M75" s="12"/>
      <c r="N75" s="14" t="s">
        <v>137</v>
      </c>
    </row>
    <row r="76" spans="2:14" x14ac:dyDescent="0.25">
      <c r="B76" s="9">
        <v>67</v>
      </c>
      <c r="C76" s="15" t="s">
        <v>34</v>
      </c>
      <c r="D76" s="11"/>
      <c r="E76" s="11"/>
      <c r="F76" s="11" t="s">
        <v>138</v>
      </c>
      <c r="G76" s="12" t="s">
        <v>160</v>
      </c>
      <c r="H76" s="13" t="s">
        <v>161</v>
      </c>
      <c r="I76" s="12"/>
      <c r="J76" s="12"/>
      <c r="K76" s="12"/>
      <c r="L76" s="12"/>
      <c r="M76" s="12"/>
      <c r="N76" s="14" t="s">
        <v>137</v>
      </c>
    </row>
    <row r="77" spans="2:14" x14ac:dyDescent="0.25">
      <c r="B77" s="9">
        <v>68</v>
      </c>
      <c r="C77" s="16" t="s">
        <v>59</v>
      </c>
      <c r="D77" s="11"/>
      <c r="E77" s="11"/>
      <c r="F77" s="11"/>
      <c r="G77" s="12" t="s">
        <v>160</v>
      </c>
      <c r="H77" s="13" t="s">
        <v>162</v>
      </c>
      <c r="I77" s="12"/>
      <c r="J77" s="12"/>
      <c r="K77" s="12"/>
      <c r="L77" s="12"/>
      <c r="M77" s="12"/>
      <c r="N77" s="14" t="s">
        <v>137</v>
      </c>
    </row>
    <row r="78" spans="2:14" x14ac:dyDescent="0.25">
      <c r="B78" s="9">
        <v>69</v>
      </c>
      <c r="C78" s="15" t="s">
        <v>34</v>
      </c>
      <c r="D78" s="11"/>
      <c r="E78" s="11"/>
      <c r="F78" s="11" t="s">
        <v>145</v>
      </c>
      <c r="G78" s="12" t="s">
        <v>150</v>
      </c>
      <c r="H78" s="13" t="s">
        <v>163</v>
      </c>
      <c r="I78" s="12"/>
      <c r="J78" s="12"/>
      <c r="K78" s="12"/>
      <c r="L78" s="12"/>
      <c r="M78" s="12"/>
      <c r="N78" s="14" t="s">
        <v>137</v>
      </c>
    </row>
    <row r="79" spans="2:14" x14ac:dyDescent="0.25">
      <c r="B79" s="9">
        <v>70</v>
      </c>
      <c r="C79" s="16" t="s">
        <v>59</v>
      </c>
      <c r="D79" s="11"/>
      <c r="E79" s="11"/>
      <c r="F79" s="11"/>
      <c r="G79" s="12" t="s">
        <v>164</v>
      </c>
      <c r="H79" s="13" t="s">
        <v>165</v>
      </c>
      <c r="I79" s="12"/>
      <c r="J79" s="12"/>
      <c r="K79" s="12"/>
      <c r="L79" s="12"/>
      <c r="M79" s="12"/>
      <c r="N79" s="14" t="s">
        <v>137</v>
      </c>
    </row>
    <row r="80" spans="2:14" x14ac:dyDescent="0.25">
      <c r="B80" s="9">
        <v>71</v>
      </c>
      <c r="C80" s="16" t="s">
        <v>59</v>
      </c>
      <c r="D80" s="11"/>
      <c r="E80" s="11"/>
      <c r="F80" s="12" t="s">
        <v>138</v>
      </c>
      <c r="G80" s="12" t="s">
        <v>166</v>
      </c>
      <c r="H80" s="13" t="s">
        <v>167</v>
      </c>
      <c r="I80" s="12"/>
      <c r="J80" s="12"/>
      <c r="K80" s="12"/>
      <c r="L80" s="12"/>
      <c r="M80" s="12"/>
      <c r="N80" s="14" t="s">
        <v>137</v>
      </c>
    </row>
    <row r="81" spans="2:14" x14ac:dyDescent="0.25">
      <c r="B81" s="9">
        <v>72</v>
      </c>
      <c r="C81" s="15" t="s">
        <v>34</v>
      </c>
      <c r="D81" s="11"/>
      <c r="E81" s="11" t="s">
        <v>168</v>
      </c>
      <c r="F81" s="11" t="s">
        <v>169</v>
      </c>
      <c r="G81" s="12" t="s">
        <v>170</v>
      </c>
      <c r="H81" s="13" t="s">
        <v>171</v>
      </c>
      <c r="I81" s="12"/>
      <c r="J81" s="12"/>
      <c r="K81" s="12"/>
      <c r="L81" s="12"/>
      <c r="M81" s="12"/>
      <c r="N81" s="14" t="s">
        <v>172</v>
      </c>
    </row>
    <row r="82" spans="2:14" x14ac:dyDescent="0.25">
      <c r="B82" s="9">
        <v>73</v>
      </c>
      <c r="C82" s="10" t="s">
        <v>22</v>
      </c>
      <c r="D82" s="11"/>
      <c r="E82" s="11"/>
      <c r="F82" s="11"/>
      <c r="G82" s="12" t="s">
        <v>173</v>
      </c>
      <c r="H82" s="13" t="s">
        <v>174</v>
      </c>
      <c r="I82" s="12"/>
      <c r="J82" s="12"/>
      <c r="K82" s="12"/>
      <c r="L82" s="12"/>
      <c r="M82" s="12"/>
      <c r="N82" s="14" t="s">
        <v>172</v>
      </c>
    </row>
    <row r="83" spans="2:14" x14ac:dyDescent="0.25">
      <c r="B83" s="9">
        <v>74</v>
      </c>
      <c r="C83" s="10" t="s">
        <v>22</v>
      </c>
      <c r="D83" s="11"/>
      <c r="E83" s="11"/>
      <c r="F83" s="11"/>
      <c r="G83" s="12" t="s">
        <v>175</v>
      </c>
      <c r="H83" s="13" t="s">
        <v>176</v>
      </c>
      <c r="I83" s="12"/>
      <c r="J83" s="12"/>
      <c r="K83" s="12"/>
      <c r="L83" s="12"/>
      <c r="M83" s="12"/>
      <c r="N83" s="14" t="s">
        <v>172</v>
      </c>
    </row>
    <row r="84" spans="2:14" x14ac:dyDescent="0.25">
      <c r="B84" s="9">
        <v>75</v>
      </c>
      <c r="C84" s="15" t="s">
        <v>34</v>
      </c>
      <c r="D84" s="11"/>
      <c r="E84" s="11"/>
      <c r="F84" s="11"/>
      <c r="G84" s="12" t="s">
        <v>177</v>
      </c>
      <c r="H84" s="13" t="s">
        <v>178</v>
      </c>
      <c r="I84" s="12"/>
      <c r="J84" s="12"/>
      <c r="K84" s="12"/>
      <c r="L84" s="12"/>
      <c r="M84" s="12"/>
      <c r="N84" s="14" t="s">
        <v>172</v>
      </c>
    </row>
    <row r="85" spans="2:14" x14ac:dyDescent="0.25">
      <c r="B85" s="9">
        <v>76</v>
      </c>
      <c r="C85" s="15" t="s">
        <v>34</v>
      </c>
      <c r="D85" s="11"/>
      <c r="E85" s="11"/>
      <c r="F85" s="12" t="s">
        <v>179</v>
      </c>
      <c r="G85" s="12" t="s">
        <v>180</v>
      </c>
      <c r="H85" s="13" t="s">
        <v>181</v>
      </c>
      <c r="I85" s="12"/>
      <c r="J85" s="12"/>
      <c r="K85" s="12"/>
      <c r="L85" s="12"/>
      <c r="M85" s="12"/>
      <c r="N85" s="14" t="s">
        <v>172</v>
      </c>
    </row>
    <row r="86" spans="2:14" x14ac:dyDescent="0.25">
      <c r="B86" s="9">
        <v>77</v>
      </c>
      <c r="C86" s="16" t="s">
        <v>59</v>
      </c>
      <c r="D86" s="11"/>
      <c r="E86" s="11"/>
      <c r="F86" s="12" t="s">
        <v>169</v>
      </c>
      <c r="G86" s="12" t="s">
        <v>182</v>
      </c>
      <c r="H86" s="13" t="s">
        <v>183</v>
      </c>
      <c r="I86" s="12"/>
      <c r="J86" s="12"/>
      <c r="K86" s="12"/>
      <c r="L86" s="12"/>
      <c r="M86" s="12"/>
      <c r="N86" s="14" t="s">
        <v>172</v>
      </c>
    </row>
    <row r="87" spans="2:14" x14ac:dyDescent="0.25">
      <c r="B87" s="9">
        <v>78</v>
      </c>
      <c r="C87" s="15" t="s">
        <v>34</v>
      </c>
      <c r="D87" s="11"/>
      <c r="E87" s="11"/>
      <c r="F87" s="11" t="s">
        <v>184</v>
      </c>
      <c r="G87" s="12" t="s">
        <v>170</v>
      </c>
      <c r="H87" s="13" t="s">
        <v>185</v>
      </c>
      <c r="I87" s="12"/>
      <c r="J87" s="12"/>
      <c r="K87" s="12"/>
      <c r="L87" s="12"/>
      <c r="M87" s="12"/>
      <c r="N87" s="14" t="s">
        <v>186</v>
      </c>
    </row>
    <row r="88" spans="2:14" x14ac:dyDescent="0.25">
      <c r="B88" s="9">
        <v>79</v>
      </c>
      <c r="C88" s="10" t="s">
        <v>22</v>
      </c>
      <c r="D88" s="11"/>
      <c r="E88" s="11"/>
      <c r="F88" s="11"/>
      <c r="G88" s="12" t="s">
        <v>187</v>
      </c>
      <c r="H88" s="13" t="s">
        <v>188</v>
      </c>
      <c r="I88" s="12"/>
      <c r="J88" s="12"/>
      <c r="K88" s="12"/>
      <c r="L88" s="12"/>
      <c r="M88" s="12"/>
      <c r="N88" s="14" t="s">
        <v>186</v>
      </c>
    </row>
    <row r="89" spans="2:14" x14ac:dyDescent="0.25">
      <c r="B89" s="9">
        <v>80</v>
      </c>
      <c r="C89" s="16" t="s">
        <v>59</v>
      </c>
      <c r="D89" s="11"/>
      <c r="E89" s="11"/>
      <c r="F89" s="11"/>
      <c r="G89" s="12" t="s">
        <v>182</v>
      </c>
      <c r="H89" s="13" t="s">
        <v>189</v>
      </c>
      <c r="I89" s="12"/>
      <c r="J89" s="12"/>
      <c r="K89" s="12"/>
      <c r="L89" s="12"/>
      <c r="M89" s="12"/>
      <c r="N89" s="14" t="s">
        <v>186</v>
      </c>
    </row>
    <row r="90" spans="2:14" x14ac:dyDescent="0.25">
      <c r="B90" s="9">
        <v>81</v>
      </c>
      <c r="C90" s="15" t="s">
        <v>34</v>
      </c>
      <c r="D90" s="11"/>
      <c r="E90" s="11"/>
      <c r="F90" s="11"/>
      <c r="G90" s="12" t="s">
        <v>180</v>
      </c>
      <c r="H90" s="13" t="s">
        <v>190</v>
      </c>
      <c r="I90" s="12"/>
      <c r="J90" s="12"/>
      <c r="K90" s="12"/>
      <c r="L90" s="12"/>
      <c r="M90" s="12"/>
      <c r="N90" s="14" t="s">
        <v>186</v>
      </c>
    </row>
    <row r="91" spans="2:14" x14ac:dyDescent="0.25">
      <c r="B91" s="9">
        <v>82</v>
      </c>
      <c r="C91" s="15" t="s">
        <v>34</v>
      </c>
      <c r="D91" s="11"/>
      <c r="E91" s="11" t="s">
        <v>191</v>
      </c>
      <c r="F91" s="11" t="s">
        <v>192</v>
      </c>
      <c r="G91" s="12" t="s">
        <v>193</v>
      </c>
      <c r="H91" s="13" t="s">
        <v>194</v>
      </c>
      <c r="I91" s="12"/>
      <c r="J91" s="12"/>
      <c r="K91" s="12"/>
      <c r="L91" s="12"/>
      <c r="M91" s="12"/>
      <c r="N91" s="14" t="s">
        <v>195</v>
      </c>
    </row>
    <row r="92" spans="2:14" x14ac:dyDescent="0.25">
      <c r="B92" s="9">
        <v>83</v>
      </c>
      <c r="C92" s="15" t="s">
        <v>34</v>
      </c>
      <c r="D92" s="11"/>
      <c r="E92" s="11"/>
      <c r="F92" s="11"/>
      <c r="G92" s="12" t="s">
        <v>196</v>
      </c>
      <c r="H92" s="13" t="s">
        <v>197</v>
      </c>
      <c r="I92" s="12"/>
      <c r="J92" s="12"/>
      <c r="K92" s="12"/>
      <c r="L92" s="12"/>
      <c r="M92" s="12"/>
      <c r="N92" s="14" t="s">
        <v>56</v>
      </c>
    </row>
    <row r="93" spans="2:14" x14ac:dyDescent="0.25">
      <c r="B93" s="9">
        <v>84</v>
      </c>
      <c r="C93" s="15" t="s">
        <v>34</v>
      </c>
      <c r="D93" s="11"/>
      <c r="E93" s="11"/>
      <c r="F93" s="11"/>
      <c r="G93" s="12" t="s">
        <v>198</v>
      </c>
      <c r="H93" s="13" t="s">
        <v>199</v>
      </c>
      <c r="I93" s="12"/>
      <c r="J93" s="12"/>
      <c r="K93" s="12"/>
      <c r="L93" s="12"/>
      <c r="M93" s="12"/>
      <c r="N93" s="14" t="s">
        <v>137</v>
      </c>
    </row>
    <row r="94" spans="2:14" x14ac:dyDescent="0.25">
      <c r="B94" s="9">
        <v>85</v>
      </c>
      <c r="C94" s="15" t="s">
        <v>34</v>
      </c>
      <c r="D94" s="11"/>
      <c r="E94" s="11"/>
      <c r="F94" s="11"/>
      <c r="G94" s="12" t="s">
        <v>200</v>
      </c>
      <c r="H94" s="13" t="s">
        <v>201</v>
      </c>
      <c r="I94" s="12"/>
      <c r="J94" s="12"/>
      <c r="K94" s="12"/>
      <c r="L94" s="12"/>
      <c r="M94" s="12"/>
      <c r="N94" s="14" t="s">
        <v>67</v>
      </c>
    </row>
    <row r="95" spans="2:14" x14ac:dyDescent="0.25">
      <c r="B95" s="9">
        <v>86</v>
      </c>
      <c r="C95" s="15" t="s">
        <v>34</v>
      </c>
      <c r="D95" s="11"/>
      <c r="E95" s="11"/>
      <c r="F95" s="11"/>
      <c r="G95" s="12" t="s">
        <v>202</v>
      </c>
      <c r="H95" s="13" t="s">
        <v>203</v>
      </c>
      <c r="I95" s="12"/>
      <c r="J95" s="12"/>
      <c r="K95" s="12"/>
      <c r="L95" s="12"/>
      <c r="M95" s="12"/>
      <c r="N95" s="14" t="s">
        <v>204</v>
      </c>
    </row>
    <row r="96" spans="2:14" x14ac:dyDescent="0.25">
      <c r="B96" s="9">
        <v>87</v>
      </c>
      <c r="C96" s="10" t="s">
        <v>22</v>
      </c>
      <c r="D96" s="11"/>
      <c r="E96" s="11"/>
      <c r="F96" s="11" t="s">
        <v>205</v>
      </c>
      <c r="G96" s="12" t="s">
        <v>206</v>
      </c>
      <c r="H96" s="13" t="s">
        <v>207</v>
      </c>
      <c r="I96" s="12"/>
      <c r="J96" s="12"/>
      <c r="K96" s="12"/>
      <c r="L96" s="12"/>
      <c r="M96" s="12"/>
      <c r="N96" s="14" t="s">
        <v>67</v>
      </c>
    </row>
    <row r="97" spans="2:14" x14ac:dyDescent="0.25">
      <c r="B97" s="9">
        <v>88</v>
      </c>
      <c r="C97" s="15" t="s">
        <v>34</v>
      </c>
      <c r="D97" s="11"/>
      <c r="E97" s="11"/>
      <c r="F97" s="11"/>
      <c r="G97" s="12" t="s">
        <v>206</v>
      </c>
      <c r="H97" s="13" t="s">
        <v>208</v>
      </c>
      <c r="I97" s="12"/>
      <c r="J97" s="12"/>
      <c r="K97" s="12"/>
      <c r="L97" s="12"/>
      <c r="M97" s="12"/>
      <c r="N97" s="14" t="s">
        <v>67</v>
      </c>
    </row>
    <row r="98" spans="2:14" x14ac:dyDescent="0.25">
      <c r="B98" s="9">
        <v>89</v>
      </c>
      <c r="C98" s="15" t="s">
        <v>34</v>
      </c>
      <c r="D98" s="11"/>
      <c r="E98" s="11"/>
      <c r="F98" s="11"/>
      <c r="G98" s="12" t="s">
        <v>206</v>
      </c>
      <c r="H98" s="13" t="s">
        <v>209</v>
      </c>
      <c r="I98" s="12"/>
      <c r="J98" s="12"/>
      <c r="K98" s="12"/>
      <c r="L98" s="12"/>
      <c r="M98" s="12"/>
      <c r="N98" s="14" t="s">
        <v>137</v>
      </c>
    </row>
    <row r="99" spans="2:14" x14ac:dyDescent="0.25">
      <c r="B99" s="9">
        <v>90</v>
      </c>
      <c r="C99" s="15" t="s">
        <v>34</v>
      </c>
      <c r="D99" s="11"/>
      <c r="E99" s="11"/>
      <c r="F99" s="11"/>
      <c r="G99" s="12" t="s">
        <v>210</v>
      </c>
      <c r="H99" s="13" t="s">
        <v>211</v>
      </c>
      <c r="I99" s="12"/>
      <c r="J99" s="12"/>
      <c r="K99" s="12"/>
      <c r="L99" s="12"/>
      <c r="M99" s="12"/>
      <c r="N99" s="14" t="s">
        <v>67</v>
      </c>
    </row>
    <row r="100" spans="2:14" x14ac:dyDescent="0.25">
      <c r="B100" s="9">
        <v>91</v>
      </c>
      <c r="C100" s="15" t="s">
        <v>34</v>
      </c>
      <c r="D100" s="11"/>
      <c r="E100" s="11"/>
      <c r="F100" s="11"/>
      <c r="G100" s="12" t="s">
        <v>210</v>
      </c>
      <c r="H100" s="13" t="s">
        <v>212</v>
      </c>
      <c r="I100" s="12"/>
      <c r="J100" s="12"/>
      <c r="K100" s="12"/>
      <c r="L100" s="12"/>
      <c r="M100" s="12"/>
      <c r="N100" s="14" t="s">
        <v>67</v>
      </c>
    </row>
    <row r="101" spans="2:14" x14ac:dyDescent="0.25">
      <c r="B101" s="9">
        <v>92</v>
      </c>
      <c r="C101" s="16" t="s">
        <v>59</v>
      </c>
      <c r="D101" s="11"/>
      <c r="E101" s="11"/>
      <c r="F101" s="11"/>
      <c r="G101" s="12" t="s">
        <v>213</v>
      </c>
      <c r="H101" s="13" t="s">
        <v>214</v>
      </c>
      <c r="I101" s="12"/>
      <c r="J101" s="12"/>
      <c r="K101" s="12"/>
      <c r="L101" s="12"/>
      <c r="M101" s="12"/>
      <c r="N101" s="14" t="s">
        <v>56</v>
      </c>
    </row>
    <row r="102" spans="2:14" x14ac:dyDescent="0.25">
      <c r="B102" s="9">
        <v>93</v>
      </c>
      <c r="C102" s="16" t="s">
        <v>59</v>
      </c>
      <c r="D102" s="11"/>
      <c r="E102" s="11"/>
      <c r="F102" s="11" t="s">
        <v>215</v>
      </c>
      <c r="G102" s="12" t="s">
        <v>216</v>
      </c>
      <c r="H102" s="13" t="s">
        <v>217</v>
      </c>
      <c r="I102" s="12"/>
      <c r="J102" s="12"/>
      <c r="K102" s="12"/>
      <c r="L102" s="12"/>
      <c r="M102" s="12"/>
      <c r="N102" s="14" t="s">
        <v>218</v>
      </c>
    </row>
    <row r="103" spans="2:14" x14ac:dyDescent="0.25">
      <c r="B103" s="9">
        <v>94</v>
      </c>
      <c r="C103" s="16" t="s">
        <v>59</v>
      </c>
      <c r="D103" s="11"/>
      <c r="E103" s="11"/>
      <c r="F103" s="11"/>
      <c r="G103" s="12" t="s">
        <v>219</v>
      </c>
      <c r="H103" s="13" t="s">
        <v>220</v>
      </c>
      <c r="I103" s="12"/>
      <c r="J103" s="12"/>
      <c r="K103" s="12"/>
      <c r="L103" s="12"/>
      <c r="M103" s="12"/>
      <c r="N103" s="14" t="s">
        <v>221</v>
      </c>
    </row>
    <row r="104" spans="2:14" x14ac:dyDescent="0.25">
      <c r="B104" s="9">
        <v>95</v>
      </c>
      <c r="C104" s="16" t="s">
        <v>59</v>
      </c>
      <c r="D104" s="11"/>
      <c r="E104" s="11"/>
      <c r="F104" s="11"/>
      <c r="G104" s="12" t="s">
        <v>222</v>
      </c>
      <c r="H104" s="13" t="s">
        <v>223</v>
      </c>
      <c r="I104" s="12"/>
      <c r="J104" s="12"/>
      <c r="K104" s="12"/>
      <c r="L104" s="12"/>
      <c r="M104" s="12"/>
      <c r="N104" s="14" t="s">
        <v>224</v>
      </c>
    </row>
    <row r="105" spans="2:14" x14ac:dyDescent="0.25">
      <c r="B105" s="9">
        <v>96</v>
      </c>
      <c r="C105" s="16" t="s">
        <v>59</v>
      </c>
      <c r="D105" s="11"/>
      <c r="E105" s="11"/>
      <c r="F105" s="11"/>
      <c r="G105" s="12" t="s">
        <v>225</v>
      </c>
      <c r="H105" s="13" t="s">
        <v>226</v>
      </c>
      <c r="I105" s="12"/>
      <c r="J105" s="12"/>
      <c r="K105" s="12"/>
      <c r="L105" s="12"/>
      <c r="M105" s="12"/>
      <c r="N105" s="14" t="s">
        <v>227</v>
      </c>
    </row>
    <row r="106" spans="2:14" x14ac:dyDescent="0.25">
      <c r="B106" s="9">
        <v>97</v>
      </c>
      <c r="C106" s="16" t="s">
        <v>59</v>
      </c>
      <c r="D106" s="11"/>
      <c r="E106" s="11"/>
      <c r="F106" s="11"/>
      <c r="G106" s="12" t="s">
        <v>228</v>
      </c>
      <c r="H106" s="13" t="s">
        <v>229</v>
      </c>
      <c r="I106" s="12"/>
      <c r="J106" s="12"/>
      <c r="K106" s="12"/>
      <c r="L106" s="12"/>
      <c r="M106" s="12"/>
      <c r="N106" s="14" t="s">
        <v>224</v>
      </c>
    </row>
    <row r="107" spans="2:14" x14ac:dyDescent="0.25">
      <c r="B107" s="9">
        <v>98</v>
      </c>
      <c r="C107" s="16" t="s">
        <v>59</v>
      </c>
      <c r="D107" s="11"/>
      <c r="E107" s="11"/>
      <c r="F107" s="11"/>
      <c r="G107" s="12" t="s">
        <v>230</v>
      </c>
      <c r="H107" s="13" t="s">
        <v>231</v>
      </c>
      <c r="I107" s="12"/>
      <c r="J107" s="12"/>
      <c r="K107" s="12"/>
      <c r="L107" s="12"/>
      <c r="M107" s="12"/>
      <c r="N107" s="14" t="s">
        <v>232</v>
      </c>
    </row>
    <row r="108" spans="2:14" x14ac:dyDescent="0.25">
      <c r="B108" s="9">
        <v>99</v>
      </c>
      <c r="C108" s="16" t="s">
        <v>59</v>
      </c>
      <c r="D108" s="11"/>
      <c r="E108" s="11"/>
      <c r="F108" s="11"/>
      <c r="G108" s="12" t="s">
        <v>233</v>
      </c>
      <c r="H108" s="13" t="s">
        <v>234</v>
      </c>
      <c r="I108" s="12"/>
      <c r="J108" s="12"/>
      <c r="K108" s="12"/>
      <c r="L108" s="12"/>
      <c r="M108" s="12"/>
      <c r="N108" s="14" t="s">
        <v>235</v>
      </c>
    </row>
    <row r="109" spans="2:14" x14ac:dyDescent="0.25">
      <c r="B109" s="9">
        <v>100</v>
      </c>
      <c r="C109" s="15" t="s">
        <v>34</v>
      </c>
      <c r="D109" s="11"/>
      <c r="E109" s="11"/>
      <c r="F109" s="11"/>
      <c r="G109" s="12" t="s">
        <v>236</v>
      </c>
      <c r="H109" s="13" t="s">
        <v>237</v>
      </c>
      <c r="I109" s="12"/>
      <c r="J109" s="12"/>
      <c r="K109" s="12"/>
      <c r="L109" s="12"/>
      <c r="M109" s="12"/>
      <c r="N109" s="14" t="s">
        <v>238</v>
      </c>
    </row>
  </sheetData>
  <mergeCells count="23">
    <mergeCell ref="D10:D109"/>
    <mergeCell ref="E10:E24"/>
    <mergeCell ref="F10:F16"/>
    <mergeCell ref="F17:F18"/>
    <mergeCell ref="F19:F24"/>
    <mergeCell ref="E25:E60"/>
    <mergeCell ref="F25:F32"/>
    <mergeCell ref="F33:F39"/>
    <mergeCell ref="F40:F49"/>
    <mergeCell ref="F50:F60"/>
    <mergeCell ref="E61:E80"/>
    <mergeCell ref="F61:F62"/>
    <mergeCell ref="F63:F66"/>
    <mergeCell ref="F67:F75"/>
    <mergeCell ref="F76:F77"/>
    <mergeCell ref="F78:F79"/>
    <mergeCell ref="E81:E90"/>
    <mergeCell ref="F81:F84"/>
    <mergeCell ref="F87:F90"/>
    <mergeCell ref="E91:E109"/>
    <mergeCell ref="F91:F95"/>
    <mergeCell ref="F96:F101"/>
    <mergeCell ref="F102:F109"/>
  </mergeCells>
  <dataValidations count="1">
    <dataValidation type="list" allowBlank="1" showErrorMessage="1" errorTitle="잘못된 값" error="Pass, Fail, N/T, Block 중 하나를 선택하세요." sqref="I10:J109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방꾸미기 이벤트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2026-05-12T04:49:58Z</dcterms:created>
  <dcterms:modified xsi:type="dcterms:W3CDTF">2026-05-12T04:49:58Z</dcterms:modified>
</cp:coreProperties>
</file>