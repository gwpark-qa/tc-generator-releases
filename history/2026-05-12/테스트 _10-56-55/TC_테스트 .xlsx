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테스트" state="visible" r:id="rId4"/>
  </sheets>
  <calcPr calcId="171027"/>
</workbook>
</file>

<file path=xl/sharedStrings.xml><?xml version="1.0" encoding="utf-8"?>
<sst xmlns="http://schemas.openxmlformats.org/spreadsheetml/2006/main" count="251" uniqueCount="156">
  <si>
    <t xml:space="preserve">(C)테스트 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</si>
  <si>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</si>
  <si>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</si>
  <si>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</si>
  <si>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</si>
  <si>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</si>
  <si>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</si>
  <si>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</si>
  <si>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</si>
  <si>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</si>
  <si>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</si>
  <si>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</si>
  <si>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</si>
  <si>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</si>
  <si>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</si>
  <si>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</si>
  <si>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</si>
  <si>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</si>
  <si>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</si>
  <si>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</si>
  <si>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</si>
  <si>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</si>
  <si>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</si>
  <si>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추천 장비 기능</t>
  </si>
  <si>
    <t>캐릭터 장착 화면</t>
  </si>
  <si>
    <t>캐릭터 정보 영역</t>
  </si>
  <si>
    <t>캐릭터 정보 출력</t>
  </si>
  <si>
    <t>캐릭터 장착 화면 진입 시, 캐릭터 일러스트와 기본 정보가 출력된다.</t>
  </si>
  <si>
    <t>참고 화면: 추천 장비 기능 개선 - UI 개선 화면</t>
  </si>
  <si>
    <t>스탯 정보 출력</t>
  </si>
  <si>
    <t>캐릭터 장착 화면 진입 시, 캐릭터의 기본 스탯 정보가 출력된다.</t>
  </si>
  <si>
    <t>재화 정보 출력</t>
  </si>
  <si>
    <t>캐릭터 장착 화면 진입 시, 상단에 보유 재화 정보가 출력된다.</t>
  </si>
  <si>
    <t>장착 슬롯 영역</t>
  </si>
  <si>
    <t>현재 장착 장비 출력</t>
  </si>
  <si>
    <t>캐릭터 장착 화면 진입 시, 현재 캐릭터에게 장착된 장비 아이콘이 각 슬롯에 출력된다.</t>
  </si>
  <si>
    <t>빈 슬롯 표시</t>
  </si>
  <si>
    <t>장착된 장비가 없는 슬롯에는 빈 슬롯 이미지가 출력된다.</t>
  </si>
  <si>
    <t>장비 등급 표시</t>
  </si>
  <si>
    <t>장착된 장비의 등급에 따라 슬롯 테두리 색상이 구분되어 출력된다.</t>
  </si>
  <si>
    <t>Normal</t>
  </si>
  <si>
    <t>장비 슬롯 터치 효과음</t>
  </si>
  <si>
    <t>장착 슬롯 터치 시, 효과음이 출력된다.</t>
  </si>
  <si>
    <t>알림 표시</t>
  </si>
  <si>
    <t>레드닷 출력</t>
  </si>
  <si>
    <t>추천 가능한 장비를 보유한 상태에서, 캐릭터 장착 화면 진입 시 추천 장비 영역에 레드닷이 출력된다.</t>
  </si>
  <si>
    <t>참고 화면: 추천 장비 기능 개선 - 알림 시스템</t>
  </si>
  <si>
    <t>레드닷 제거</t>
  </si>
  <si>
    <t>추천 장비 영역을 확인한 후, 레드닷이 제거된다.</t>
  </si>
  <si>
    <t>레드닷 미출력 처리</t>
  </si>
  <si>
    <t>추천 가능한 장비가 없는 경우, 추천 장비 영역에 레드닷이 출력되지 않는다.</t>
  </si>
  <si>
    <t>추천 장비 영역</t>
  </si>
  <si>
    <t>추천 장비 리스트</t>
  </si>
  <si>
    <t>추천 장비 출력</t>
  </si>
  <si>
    <t>캐릭터 장착 화면 진입 시, 개선된 UI에 따라 추천 장비 영역이 화면에 출력된다.</t>
  </si>
  <si>
    <t>참고 화면: 추천 장비 기능 개선 - 기본/개선 UI 비교</t>
  </si>
  <si>
    <t>보유 장비 기반 추천 출력</t>
  </si>
  <si>
    <t>추천 장비 영역에는 유저가 보유한 장비 중 추천 조건에 부합하는 장비가 출력된다.</t>
  </si>
  <si>
    <t>참고 화면: 추천 장비 기능 개선 - 규칙</t>
  </si>
  <si>
    <t>장비 아이콘 출력</t>
  </si>
  <si>
    <t>추천 장비 리스트 내 각 장비 슬롯에 해당 장비의 아이콘이 출력된다.</t>
  </si>
  <si>
    <t>참고 화면: 추천 장비 기능 개선 - 추천 장비 리스트</t>
  </si>
  <si>
    <t>추천 장비 리스트 내 각 장비의 등급에 따라 슬롯 테두리 또는 배경 색상이 구분되어 출력된다.</t>
  </si>
  <si>
    <t>장비 레벨 표시</t>
  </si>
  <si>
    <t>추천 장비 리스트 내 각 장비 슬롯에 장비 레벨이 출력된다.</t>
  </si>
  <si>
    <t>추천 단계 구분 표시</t>
  </si>
  <si>
    <t>추천 장비 리스트에서 1차 추천과 2차 추천 단계가 구분되어 출력된다.</t>
  </si>
  <si>
    <t>스크롤 동작</t>
  </si>
  <si>
    <t>추천 장비 리스트의 장비 수가 화면 한 페이지를 초과하는 경우, 좌우 스크롤로 추가 장비 확인이 가능하다.</t>
  </si>
  <si>
    <t>정렬 순서 표시</t>
  </si>
  <si>
    <t>추천 장비 리스트는 추천 우선순위에 따라 정렬되어 출력된다.</t>
  </si>
  <si>
    <t>추천 규칙 적용</t>
  </si>
  <si>
    <t>콘텐츠별 추천 출력</t>
  </si>
  <si>
    <t>진입한 콘텐츠 조건에 따라 해당 콘텐츠에 적합한 추천 장비가 출력된다.</t>
  </si>
  <si>
    <t>캐릭터별 추천 출력</t>
  </si>
  <si>
    <t>선택된 캐릭터의 속성/직업에 부합하는 장비가 추천 장비 영역에 출력된다.</t>
  </si>
  <si>
    <t>추천 우선순위 정렬</t>
  </si>
  <si>
    <t>추천 장비 리스트는 상위 등급 및 높은 레벨의 장비가 우선 노출되도록 정렬된다.</t>
  </si>
  <si>
    <t>장착 중 장비 제외 처리</t>
  </si>
  <si>
    <t>현재 캐릭터에 이미 장착된 장비는 추천 장비 리스트에서 제외되어 출력된다.</t>
  </si>
  <si>
    <t>예외 상황</t>
  </si>
  <si>
    <t>추천 장비 없음 표시</t>
  </si>
  <si>
    <t>추천 가능한 장비가 없는 경우, 추천 장비 영역에 안내 문구가 출력된다.</t>
  </si>
  <si>
    <t>참고 화면: 추천 장비 기능 개선 - 예외 처리</t>
  </si>
  <si>
    <t>모든 추천 장비 장착됨 처리</t>
  </si>
  <si>
    <t>모든 추천 장비가 이미 장착된 경우, 추천 장비 영역에 추가 추천 장비가 출력되지 않는다.</t>
  </si>
  <si>
    <t>추천 장비 선택</t>
  </si>
  <si>
    <t>장비 선택 동작</t>
  </si>
  <si>
    <t>장비 슬롯 터치 동작</t>
  </si>
  <si>
    <t>추천 장비 리스트 내 장비 슬롯 터치 시, 해당 장비가 선택 상태로 전환된다.</t>
  </si>
  <si>
    <t>참고 화면: 추천 장비 기능 개선 - 장비 선택</t>
  </si>
  <si>
    <t>하이라이트 출력</t>
  </si>
  <si>
    <t>추천 장비 슬롯 선택 시, 해당 장비 슬롯에 하이라이트가 출력된다.</t>
  </si>
  <si>
    <t>상세 정보 표시</t>
  </si>
  <si>
    <t>추천 장비 슬롯 선택 시, 해당 장비의 상세 정보가 출력된다.</t>
  </si>
  <si>
    <t>효과음 출력</t>
  </si>
  <si>
    <t>추천 장비 슬롯 선택 시, 선택 효과음이 출력된다.</t>
  </si>
  <si>
    <t>다른 장비 재선택 처리</t>
  </si>
  <si>
    <t>추천 장비 선택 후 다른 장비 슬롯 터치 시, 이전 선택 장비의 하이라이트가 해제되고 새로운 장비가 선택된다.</t>
  </si>
  <si>
    <t>스탯 비교 표시</t>
  </si>
  <si>
    <t>비교 수치 출력</t>
  </si>
  <si>
    <t>추천 장비 선택 시, 현재 장착 장비 대비 변경되는 스탯 수치가 출력된다.</t>
  </si>
  <si>
    <t>참고 화면: 추천 장비 기능 개선 - 스탯 비교</t>
  </si>
  <si>
    <t>증가 수치 색상 표시</t>
  </si>
  <si>
    <t>스탯 비교 수치 중 증가하는 스탯은 별도 색상(녹색/+ 기호)으로 표시된다.</t>
  </si>
  <si>
    <t>감소 수치 색상 표시</t>
  </si>
  <si>
    <t>스탯 비교 수치 중 감소하는 스탯은 별도 색상(적색/- 기호)으로 표시된다.</t>
  </si>
  <si>
    <t>동일 수치 표시</t>
  </si>
  <si>
    <t>스탯 비교 수치 중 변동이 없는 스탯은 기본 색상으로 표시된다.</t>
  </si>
  <si>
    <t>추천 장비 적용</t>
  </si>
  <si>
    <t>미리보기 동작</t>
  </si>
  <si>
    <t>캐릭터 미리보기 적용</t>
  </si>
  <si>
    <t>추천 장비 선택 시, 해당 장비를 장착한 캐릭터의 미리보기가 화면에 적용된다.</t>
  </si>
  <si>
    <t>참고 화면: 추천 장비 기능 개선 - 미리보기</t>
  </si>
  <si>
    <t>장착 슬롯 미리보기 표시</t>
  </si>
  <si>
    <t>추천 장비 선택 시, 해당 장비가 변경될 장착 슬롯에 미리보기로 출력된다.</t>
  </si>
  <si>
    <t>적용 버튼 동작</t>
  </si>
  <si>
    <t>버튼 활성화</t>
  </si>
  <si>
    <t>추천 장비 선택 시, 적용 버튼이 활성화 상태로 표시된다.</t>
  </si>
  <si>
    <t>참고 화면: 추천 장비 기능 개선 - 적용 버튼</t>
  </si>
  <si>
    <t>버튼 비활성화</t>
  </si>
  <si>
    <t>추천 장비를 선택하지 않은 상태에서, 적용 버튼이 비활성화 상태로 표시된다.</t>
  </si>
  <si>
    <t>확인 팝업 출력</t>
  </si>
  <si>
    <t>추천 장비 선택 후 적용 버튼 터치 시, 장비 변경 확인 팝업이 출력된다.</t>
  </si>
  <si>
    <t>확인 팝업 취소 처리</t>
  </si>
  <si>
    <t>장비 변경 확인 팝업에서 취소 버튼 터치 시, 팝업이 종료되고 장비가 변경되지 않는다.</t>
  </si>
  <si>
    <t>Critical</t>
  </si>
  <si>
    <t>장비 변경 확정</t>
  </si>
  <si>
    <t>장비 변경 확인 팝업에서 확인 버튼 터치 시, 선택한 추천 장비가 캐릭터에 장착된다.</t>
  </si>
  <si>
    <t>적용 결과</t>
  </si>
  <si>
    <t>장착 슬롯 갱신</t>
  </si>
  <si>
    <t>장비 변경 확정 시, 캐릭터 장착 슬롯의 장비 아이콘이 새로 적용된 장비로 갱신된다.</t>
  </si>
  <si>
    <t>참고 화면: 추천 장비 기능 개선 - 적용 결과</t>
  </si>
  <si>
    <t>스탯 정보 갱신</t>
  </si>
  <si>
    <t>장비 변경 확정 시, 캐릭터 스탯 정보가 새로 적용된 장비를 반영하여 갱신된다.</t>
  </si>
  <si>
    <t>기존 장비 해제 처리</t>
  </si>
  <si>
    <t>장비 변경 확정 시, 기존에 장착된 장비가 해제되어 보유 장비 목록으로 이동된다.</t>
  </si>
  <si>
    <t>추천 장비 리스트 갱신</t>
  </si>
  <si>
    <t>장비 변경 확정 시, 적용된 장비가 추천 장비 리스트에서 제거되고 리스트가 갱신된다.</t>
  </si>
  <si>
    <t>적용 연출 출력</t>
  </si>
  <si>
    <t>장비 변경 확정 시, 장착 슬롯에 적용 연출 애니메이션이 출력된다.</t>
  </si>
  <si>
    <t>적용 효과음 출력</t>
  </si>
  <si>
    <t>장비 변경 확정 시, 장착 완료 효과음이 출력된다.</t>
  </si>
  <si>
    <t>완료 메시지 출력</t>
  </si>
  <si>
    <t>장비 변경 확정 시, 장착 완료 안내 메시지가 출력된다.</t>
  </si>
  <si>
    <t>장비 미보유 예외 처리</t>
  </si>
  <si>
    <t>추천 장비 적용 진행 중 해당 장비가 다른 캐릭터에 의해 장착되어 미보유 상태가 된 경우, 적용 불가 안내 메시지가 출력된다.</t>
  </si>
  <si>
    <t>화면 이탈</t>
  </si>
  <si>
    <t>뒤로가기 동작</t>
  </si>
  <si>
    <t>뒤로가기 버튼 터치</t>
  </si>
  <si>
    <t>캐릭터 장착 화면 내 뒤로가기 버튼 터치 시, 이전 화면으로 전환된다.</t>
  </si>
  <si>
    <t>참고 화면: 추천 장비 기능 개선 - 화면 이탈</t>
  </si>
  <si>
    <t>디바이스 뒤로가기 동작</t>
  </si>
  <si>
    <t>캐릭터 장착 화면에서 디바이스 뒤로가기 동작 시, 이전 화면으로 전환된다.</t>
  </si>
  <si>
    <t>미적용 상태 이탈 처리</t>
  </si>
  <si>
    <t>추천 장비 선택 상태에서 적용하지 않고 뒤로가기 시, 선택한 장비는 적용되지 않고 이전 화면으로 전환된다.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</si>
</sst>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60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COUNTIF(I10:I60,"Pass")</f>
      </c>
      <c r="K3" t="s">
        <v>4</v>
      </c>
      <c r="L3">
        <f>COUNTIF(I10:I60,"")</f>
      </c>
      <c r="M3" s="3" t="s">
        <v>3</v>
      </c>
      <c r="N3">
        <f>COUNTIF(J10:J60,"Pass")</f>
      </c>
    </row>
    <row r="4" spans="9:14" x14ac:dyDescent="0.25">
      <c r="I4" s="4" t="s">
        <v>5</v>
      </c>
      <c r="J4">
        <f>COUNTIF(I10:I60,"N/T")</f>
      </c>
      <c r="K4" t="s">
        <v>6</v>
      </c>
      <c r="L4">
        <f>COUNTA(I10:I60)-COUNTIF(I10:I60,"")</f>
      </c>
      <c r="M4" s="4" t="s">
        <v>5</v>
      </c>
      <c r="N4">
        <f>COUNTIF(J10:J60,"N/T")</f>
      </c>
    </row>
    <row r="5" spans="9:14" x14ac:dyDescent="0.25">
      <c r="I5" s="5" t="s">
        <v>7</v>
      </c>
      <c r="J5">
        <f>COUNTIF(I10:I60,"Fail")</f>
      </c>
      <c r="K5" t="s">
        <v>8</v>
      </c>
      <c r="L5">
        <v>51</v>
      </c>
      <c r="M5" s="5" t="s">
        <v>7</v>
      </c>
      <c r="N5">
        <f>COUNTIF(J10:J60,"Fail")</f>
      </c>
    </row>
    <row r="6" spans="9:14" x14ac:dyDescent="0.25">
      <c r="I6" s="6" t="s">
        <v>9</v>
      </c>
      <c r="J6">
        <f>COUNTIF(I10:I60,"Block")</f>
      </c>
      <c r="K6" t="s">
        <v>10</v>
      </c>
      <c r="L6" s="7">
        <f>IF(L5=0,0,L4/L5)</f>
      </c>
      <c r="M6" s="6" t="s">
        <v>9</v>
      </c>
      <c r="N6">
        <f>COUNTIF(J10:J60,"Block")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0" t="s">
        <v>22</v>
      </c>
      <c r="D12" s="11"/>
      <c r="E12" s="11"/>
      <c r="F12" s="11"/>
      <c r="G12" s="12" t="s">
        <v>31</v>
      </c>
      <c r="H12" s="13" t="s">
        <v>32</v>
      </c>
      <c r="I12" s="12"/>
      <c r="J12" s="12"/>
      <c r="K12" s="12"/>
      <c r="L12" s="12"/>
      <c r="M12" s="12"/>
      <c r="N12" s="14" t="s">
        <v>28</v>
      </c>
    </row>
    <row r="13" spans="2:14" x14ac:dyDescent="0.25">
      <c r="B13" s="9">
        <v>4</v>
      </c>
      <c r="C13" s="10" t="s">
        <v>22</v>
      </c>
      <c r="D13" s="11"/>
      <c r="E13" s="11"/>
      <c r="F13" s="11" t="s">
        <v>33</v>
      </c>
      <c r="G13" s="12" t="s">
        <v>34</v>
      </c>
      <c r="H13" s="13" t="s">
        <v>35</v>
      </c>
      <c r="I13" s="12"/>
      <c r="J13" s="12"/>
      <c r="K13" s="12"/>
      <c r="L13" s="12"/>
      <c r="M13" s="12"/>
      <c r="N13" s="14" t="s">
        <v>28</v>
      </c>
    </row>
    <row r="14" spans="2:14" x14ac:dyDescent="0.25">
      <c r="B14" s="9">
        <v>5</v>
      </c>
      <c r="C14" s="10" t="s">
        <v>22</v>
      </c>
      <c r="D14" s="11"/>
      <c r="E14" s="11"/>
      <c r="F14" s="11"/>
      <c r="G14" s="12" t="s">
        <v>36</v>
      </c>
      <c r="H14" s="13" t="s">
        <v>37</v>
      </c>
      <c r="I14" s="12"/>
      <c r="J14" s="12"/>
      <c r="K14" s="12"/>
      <c r="L14" s="12"/>
      <c r="M14" s="12"/>
      <c r="N14" s="14" t="s">
        <v>28</v>
      </c>
    </row>
    <row r="15" spans="2:14" x14ac:dyDescent="0.25">
      <c r="B15" s="9">
        <v>6</v>
      </c>
      <c r="C15" s="10" t="s">
        <v>22</v>
      </c>
      <c r="D15" s="11"/>
      <c r="E15" s="11"/>
      <c r="F15" s="11"/>
      <c r="G15" s="12" t="s">
        <v>38</v>
      </c>
      <c r="H15" s="13" t="s">
        <v>39</v>
      </c>
      <c r="I15" s="12"/>
      <c r="J15" s="12"/>
      <c r="K15" s="12"/>
      <c r="L15" s="12"/>
      <c r="M15" s="12"/>
      <c r="N15" s="14" t="s">
        <v>28</v>
      </c>
    </row>
    <row r="16" spans="2:14" x14ac:dyDescent="0.25">
      <c r="B16" s="9">
        <v>7</v>
      </c>
      <c r="C16" s="15" t="s">
        <v>40</v>
      </c>
      <c r="D16" s="11"/>
      <c r="E16" s="11"/>
      <c r="F16" s="11"/>
      <c r="G16" s="12" t="s">
        <v>41</v>
      </c>
      <c r="H16" s="13" t="s">
        <v>42</v>
      </c>
      <c r="I16" s="12"/>
      <c r="J16" s="12"/>
      <c r="K16" s="12"/>
      <c r="L16" s="12"/>
      <c r="M16" s="12"/>
      <c r="N16" s="14" t="s">
        <v>28</v>
      </c>
    </row>
    <row r="17" spans="2:14" x14ac:dyDescent="0.25">
      <c r="B17" s="9">
        <v>8</v>
      </c>
      <c r="C17" s="10" t="s">
        <v>22</v>
      </c>
      <c r="D17" s="11"/>
      <c r="E17" s="11"/>
      <c r="F17" s="11" t="s">
        <v>43</v>
      </c>
      <c r="G17" s="12" t="s">
        <v>44</v>
      </c>
      <c r="H17" s="13" t="s">
        <v>45</v>
      </c>
      <c r="I17" s="12"/>
      <c r="J17" s="12"/>
      <c r="K17" s="12"/>
      <c r="L17" s="12"/>
      <c r="M17" s="12"/>
      <c r="N17" s="14" t="s">
        <v>46</v>
      </c>
    </row>
    <row r="18" spans="2:14" x14ac:dyDescent="0.25">
      <c r="B18" s="9">
        <v>9</v>
      </c>
      <c r="C18" s="10" t="s">
        <v>22</v>
      </c>
      <c r="D18" s="11"/>
      <c r="E18" s="11"/>
      <c r="F18" s="11"/>
      <c r="G18" s="12" t="s">
        <v>47</v>
      </c>
      <c r="H18" s="13" t="s">
        <v>48</v>
      </c>
      <c r="I18" s="12"/>
      <c r="J18" s="12"/>
      <c r="K18" s="12"/>
      <c r="L18" s="12"/>
      <c r="M18" s="12"/>
      <c r="N18" s="14" t="s">
        <v>46</v>
      </c>
    </row>
    <row r="19" spans="2:14" x14ac:dyDescent="0.25">
      <c r="B19" s="9">
        <v>10</v>
      </c>
      <c r="C19" s="15" t="s">
        <v>40</v>
      </c>
      <c r="D19" s="11"/>
      <c r="E19" s="11"/>
      <c r="F19" s="11"/>
      <c r="G19" s="12" t="s">
        <v>49</v>
      </c>
      <c r="H19" s="13" t="s">
        <v>50</v>
      </c>
      <c r="I19" s="12"/>
      <c r="J19" s="12"/>
      <c r="K19" s="12"/>
      <c r="L19" s="12"/>
      <c r="M19" s="12"/>
      <c r="N19" s="14" t="s">
        <v>46</v>
      </c>
    </row>
    <row r="20" spans="2:14" x14ac:dyDescent="0.25">
      <c r="B20" s="9">
        <v>11</v>
      </c>
      <c r="C20" s="10" t="s">
        <v>22</v>
      </c>
      <c r="D20" s="11"/>
      <c r="E20" s="11" t="s">
        <v>51</v>
      </c>
      <c r="F20" s="11" t="s">
        <v>52</v>
      </c>
      <c r="G20" s="12" t="s">
        <v>53</v>
      </c>
      <c r="H20" s="13" t="s">
        <v>54</v>
      </c>
      <c r="I20" s="12"/>
      <c r="J20" s="12"/>
      <c r="K20" s="12"/>
      <c r="L20" s="12"/>
      <c r="M20" s="12"/>
      <c r="N20" s="14" t="s">
        <v>55</v>
      </c>
    </row>
    <row r="21" spans="2:14" x14ac:dyDescent="0.25">
      <c r="B21" s="9">
        <v>12</v>
      </c>
      <c r="C21" s="10" t="s">
        <v>22</v>
      </c>
      <c r="D21" s="11"/>
      <c r="E21" s="11"/>
      <c r="F21" s="11"/>
      <c r="G21" s="12" t="s">
        <v>56</v>
      </c>
      <c r="H21" s="13" t="s">
        <v>57</v>
      </c>
      <c r="I21" s="12"/>
      <c r="J21" s="12"/>
      <c r="K21" s="12"/>
      <c r="L21" s="12"/>
      <c r="M21" s="12"/>
      <c r="N21" s="14" t="s">
        <v>58</v>
      </c>
    </row>
    <row r="22" spans="2:14" x14ac:dyDescent="0.25">
      <c r="B22" s="9">
        <v>13</v>
      </c>
      <c r="C22" s="10" t="s">
        <v>22</v>
      </c>
      <c r="D22" s="11"/>
      <c r="E22" s="11"/>
      <c r="F22" s="11"/>
      <c r="G22" s="12" t="s">
        <v>59</v>
      </c>
      <c r="H22" s="13" t="s">
        <v>60</v>
      </c>
      <c r="I22" s="12"/>
      <c r="J22" s="12"/>
      <c r="K22" s="12"/>
      <c r="L22" s="12"/>
      <c r="M22" s="12"/>
      <c r="N22" s="14" t="s">
        <v>61</v>
      </c>
    </row>
    <row r="23" spans="2:14" x14ac:dyDescent="0.25">
      <c r="B23" s="9">
        <v>14</v>
      </c>
      <c r="C23" s="10" t="s">
        <v>22</v>
      </c>
      <c r="D23" s="11"/>
      <c r="E23" s="11"/>
      <c r="F23" s="11"/>
      <c r="G23" s="12" t="s">
        <v>38</v>
      </c>
      <c r="H23" s="13" t="s">
        <v>62</v>
      </c>
      <c r="I23" s="12"/>
      <c r="J23" s="12"/>
      <c r="K23" s="12"/>
      <c r="L23" s="12"/>
      <c r="M23" s="12"/>
      <c r="N23" s="14" t="s">
        <v>61</v>
      </c>
    </row>
    <row r="24" spans="2:14" x14ac:dyDescent="0.25">
      <c r="B24" s="9">
        <v>15</v>
      </c>
      <c r="C24" s="10" t="s">
        <v>22</v>
      </c>
      <c r="D24" s="11"/>
      <c r="E24" s="11"/>
      <c r="F24" s="11"/>
      <c r="G24" s="12" t="s">
        <v>63</v>
      </c>
      <c r="H24" s="13" t="s">
        <v>64</v>
      </c>
      <c r="I24" s="12"/>
      <c r="J24" s="12"/>
      <c r="K24" s="12"/>
      <c r="L24" s="12"/>
      <c r="M24" s="12"/>
      <c r="N24" s="14" t="s">
        <v>61</v>
      </c>
    </row>
    <row r="25" spans="2:14" x14ac:dyDescent="0.25">
      <c r="B25" s="9">
        <v>16</v>
      </c>
      <c r="C25" s="10" t="s">
        <v>22</v>
      </c>
      <c r="D25" s="11"/>
      <c r="E25" s="11"/>
      <c r="F25" s="11"/>
      <c r="G25" s="12" t="s">
        <v>65</v>
      </c>
      <c r="H25" s="13" t="s">
        <v>66</v>
      </c>
      <c r="I25" s="12"/>
      <c r="J25" s="12"/>
      <c r="K25" s="12"/>
      <c r="L25" s="12"/>
      <c r="M25" s="12"/>
      <c r="N25" s="14" t="s">
        <v>58</v>
      </c>
    </row>
    <row r="26" spans="2:14" x14ac:dyDescent="0.25">
      <c r="B26" s="9">
        <v>17</v>
      </c>
      <c r="C26" s="15" t="s">
        <v>40</v>
      </c>
      <c r="D26" s="11"/>
      <c r="E26" s="11"/>
      <c r="F26" s="11"/>
      <c r="G26" s="12" t="s">
        <v>67</v>
      </c>
      <c r="H26" s="13" t="s">
        <v>68</v>
      </c>
      <c r="I26" s="12"/>
      <c r="J26" s="12"/>
      <c r="K26" s="12"/>
      <c r="L26" s="12"/>
      <c r="M26" s="12"/>
      <c r="N26" s="14" t="s">
        <v>61</v>
      </c>
    </row>
    <row r="27" spans="2:14" x14ac:dyDescent="0.25">
      <c r="B27" s="9">
        <v>18</v>
      </c>
      <c r="C27" s="15" t="s">
        <v>40</v>
      </c>
      <c r="D27" s="11"/>
      <c r="E27" s="11"/>
      <c r="F27" s="11"/>
      <c r="G27" s="12" t="s">
        <v>69</v>
      </c>
      <c r="H27" s="13" t="s">
        <v>70</v>
      </c>
      <c r="I27" s="12"/>
      <c r="J27" s="12"/>
      <c r="K27" s="12"/>
      <c r="L27" s="12"/>
      <c r="M27" s="12"/>
      <c r="N27" s="14" t="s">
        <v>58</v>
      </c>
    </row>
    <row r="28" spans="2:14" x14ac:dyDescent="0.25">
      <c r="B28" s="9">
        <v>19</v>
      </c>
      <c r="C28" s="10" t="s">
        <v>22</v>
      </c>
      <c r="D28" s="11"/>
      <c r="E28" s="11"/>
      <c r="F28" s="11" t="s">
        <v>71</v>
      </c>
      <c r="G28" s="12" t="s">
        <v>72</v>
      </c>
      <c r="H28" s="13" t="s">
        <v>73</v>
      </c>
      <c r="I28" s="12"/>
      <c r="J28" s="12"/>
      <c r="K28" s="12"/>
      <c r="L28" s="12"/>
      <c r="M28" s="12"/>
      <c r="N28" s="14" t="s">
        <v>58</v>
      </c>
    </row>
    <row r="29" spans="2:14" x14ac:dyDescent="0.25">
      <c r="B29" s="9">
        <v>20</v>
      </c>
      <c r="C29" s="10" t="s">
        <v>22</v>
      </c>
      <c r="D29" s="11"/>
      <c r="E29" s="11"/>
      <c r="F29" s="11"/>
      <c r="G29" s="12" t="s">
        <v>74</v>
      </c>
      <c r="H29" s="13" t="s">
        <v>75</v>
      </c>
      <c r="I29" s="12"/>
      <c r="J29" s="12"/>
      <c r="K29" s="12"/>
      <c r="L29" s="12"/>
      <c r="M29" s="12"/>
      <c r="N29" s="14" t="s">
        <v>58</v>
      </c>
    </row>
    <row r="30" spans="2:14" x14ac:dyDescent="0.25">
      <c r="B30" s="9">
        <v>21</v>
      </c>
      <c r="C30" s="10" t="s">
        <v>22</v>
      </c>
      <c r="D30" s="11"/>
      <c r="E30" s="11"/>
      <c r="F30" s="11"/>
      <c r="G30" s="12" t="s">
        <v>76</v>
      </c>
      <c r="H30" s="13" t="s">
        <v>77</v>
      </c>
      <c r="I30" s="12"/>
      <c r="J30" s="12"/>
      <c r="K30" s="12"/>
      <c r="L30" s="12"/>
      <c r="M30" s="12"/>
      <c r="N30" s="14" t="s">
        <v>58</v>
      </c>
    </row>
    <row r="31" spans="2:14" x14ac:dyDescent="0.25">
      <c r="B31" s="9">
        <v>22</v>
      </c>
      <c r="C31" s="10" t="s">
        <v>22</v>
      </c>
      <c r="D31" s="11"/>
      <c r="E31" s="11"/>
      <c r="F31" s="11"/>
      <c r="G31" s="12" t="s">
        <v>78</v>
      </c>
      <c r="H31" s="13" t="s">
        <v>79</v>
      </c>
      <c r="I31" s="12"/>
      <c r="J31" s="12"/>
      <c r="K31" s="12"/>
      <c r="L31" s="12"/>
      <c r="M31" s="12"/>
      <c r="N31" s="14" t="s">
        <v>58</v>
      </c>
    </row>
    <row r="32" spans="2:14" x14ac:dyDescent="0.25">
      <c r="B32" s="9">
        <v>23</v>
      </c>
      <c r="C32" s="15" t="s">
        <v>40</v>
      </c>
      <c r="D32" s="11"/>
      <c r="E32" s="11"/>
      <c r="F32" s="11" t="s">
        <v>80</v>
      </c>
      <c r="G32" s="12" t="s">
        <v>81</v>
      </c>
      <c r="H32" s="13" t="s">
        <v>82</v>
      </c>
      <c r="I32" s="12"/>
      <c r="J32" s="12"/>
      <c r="K32" s="12"/>
      <c r="L32" s="12"/>
      <c r="M32" s="12"/>
      <c r="N32" s="14" t="s">
        <v>83</v>
      </c>
    </row>
    <row r="33" spans="2:14" x14ac:dyDescent="0.25">
      <c r="B33" s="9">
        <v>24</v>
      </c>
      <c r="C33" s="15" t="s">
        <v>40</v>
      </c>
      <c r="D33" s="11"/>
      <c r="E33" s="11"/>
      <c r="F33" s="11"/>
      <c r="G33" s="12" t="s">
        <v>84</v>
      </c>
      <c r="H33" s="13" t="s">
        <v>85</v>
      </c>
      <c r="I33" s="12"/>
      <c r="J33" s="12"/>
      <c r="K33" s="12"/>
      <c r="L33" s="12"/>
      <c r="M33" s="12"/>
      <c r="N33" s="14" t="s">
        <v>83</v>
      </c>
    </row>
    <row r="34" spans="2:14" x14ac:dyDescent="0.25">
      <c r="B34" s="9">
        <v>25</v>
      </c>
      <c r="C34" s="10" t="s">
        <v>22</v>
      </c>
      <c r="D34" s="11"/>
      <c r="E34" s="11" t="s">
        <v>86</v>
      </c>
      <c r="F34" s="11" t="s">
        <v>87</v>
      </c>
      <c r="G34" s="12" t="s">
        <v>88</v>
      </c>
      <c r="H34" s="13" t="s">
        <v>89</v>
      </c>
      <c r="I34" s="12"/>
      <c r="J34" s="12"/>
      <c r="K34" s="12"/>
      <c r="L34" s="12"/>
      <c r="M34" s="12"/>
      <c r="N34" s="14" t="s">
        <v>90</v>
      </c>
    </row>
    <row r="35" spans="2:14" x14ac:dyDescent="0.25">
      <c r="B35" s="9">
        <v>26</v>
      </c>
      <c r="C35" s="10" t="s">
        <v>22</v>
      </c>
      <c r="D35" s="11"/>
      <c r="E35" s="11"/>
      <c r="F35" s="11"/>
      <c r="G35" s="12" t="s">
        <v>91</v>
      </c>
      <c r="H35" s="13" t="s">
        <v>92</v>
      </c>
      <c r="I35" s="12"/>
      <c r="J35" s="12"/>
      <c r="K35" s="12"/>
      <c r="L35" s="12"/>
      <c r="M35" s="12"/>
      <c r="N35" s="14" t="s">
        <v>90</v>
      </c>
    </row>
    <row r="36" spans="2:14" x14ac:dyDescent="0.25">
      <c r="B36" s="9">
        <v>27</v>
      </c>
      <c r="C36" s="10" t="s">
        <v>22</v>
      </c>
      <c r="D36" s="11"/>
      <c r="E36" s="11"/>
      <c r="F36" s="11"/>
      <c r="G36" s="12" t="s">
        <v>93</v>
      </c>
      <c r="H36" s="13" t="s">
        <v>94</v>
      </c>
      <c r="I36" s="12"/>
      <c r="J36" s="12"/>
      <c r="K36" s="12"/>
      <c r="L36" s="12"/>
      <c r="M36" s="12"/>
      <c r="N36" s="14" t="s">
        <v>90</v>
      </c>
    </row>
    <row r="37" spans="2:14" x14ac:dyDescent="0.25">
      <c r="B37" s="9">
        <v>28</v>
      </c>
      <c r="C37" s="15" t="s">
        <v>40</v>
      </c>
      <c r="D37" s="11"/>
      <c r="E37" s="11"/>
      <c r="F37" s="11"/>
      <c r="G37" s="12" t="s">
        <v>95</v>
      </c>
      <c r="H37" s="13" t="s">
        <v>96</v>
      </c>
      <c r="I37" s="12"/>
      <c r="J37" s="12"/>
      <c r="K37" s="12"/>
      <c r="L37" s="12"/>
      <c r="M37" s="12"/>
      <c r="N37" s="14" t="s">
        <v>90</v>
      </c>
    </row>
    <row r="38" spans="2:14" x14ac:dyDescent="0.25">
      <c r="B38" s="9">
        <v>29</v>
      </c>
      <c r="C38" s="15" t="s">
        <v>40</v>
      </c>
      <c r="D38" s="11"/>
      <c r="E38" s="11"/>
      <c r="F38" s="11"/>
      <c r="G38" s="12" t="s">
        <v>97</v>
      </c>
      <c r="H38" s="13" t="s">
        <v>98</v>
      </c>
      <c r="I38" s="12"/>
      <c r="J38" s="12"/>
      <c r="K38" s="12"/>
      <c r="L38" s="12"/>
      <c r="M38" s="12"/>
      <c r="N38" s="14" t="s">
        <v>90</v>
      </c>
    </row>
    <row r="39" spans="2:14" x14ac:dyDescent="0.25">
      <c r="B39" s="9">
        <v>30</v>
      </c>
      <c r="C39" s="10" t="s">
        <v>22</v>
      </c>
      <c r="D39" s="11"/>
      <c r="E39" s="11"/>
      <c r="F39" s="11" t="s">
        <v>99</v>
      </c>
      <c r="G39" s="12" t="s">
        <v>100</v>
      </c>
      <c r="H39" s="13" t="s">
        <v>101</v>
      </c>
      <c r="I39" s="12"/>
      <c r="J39" s="12"/>
      <c r="K39" s="12"/>
      <c r="L39" s="12"/>
      <c r="M39" s="12"/>
      <c r="N39" s="14" t="s">
        <v>102</v>
      </c>
    </row>
    <row r="40" spans="2:14" x14ac:dyDescent="0.25">
      <c r="B40" s="9">
        <v>31</v>
      </c>
      <c r="C40" s="15" t="s">
        <v>40</v>
      </c>
      <c r="D40" s="11"/>
      <c r="E40" s="11"/>
      <c r="F40" s="11"/>
      <c r="G40" s="12" t="s">
        <v>103</v>
      </c>
      <c r="H40" s="13" t="s">
        <v>104</v>
      </c>
      <c r="I40" s="12"/>
      <c r="J40" s="12"/>
      <c r="K40" s="12"/>
      <c r="L40" s="12"/>
      <c r="M40" s="12"/>
      <c r="N40" s="14" t="s">
        <v>102</v>
      </c>
    </row>
    <row r="41" spans="2:14" x14ac:dyDescent="0.25">
      <c r="B41" s="9">
        <v>32</v>
      </c>
      <c r="C41" s="15" t="s">
        <v>40</v>
      </c>
      <c r="D41" s="11"/>
      <c r="E41" s="11"/>
      <c r="F41" s="11"/>
      <c r="G41" s="12" t="s">
        <v>105</v>
      </c>
      <c r="H41" s="13" t="s">
        <v>106</v>
      </c>
      <c r="I41" s="12"/>
      <c r="J41" s="12"/>
      <c r="K41" s="12"/>
      <c r="L41" s="12"/>
      <c r="M41" s="12"/>
      <c r="N41" s="14" t="s">
        <v>102</v>
      </c>
    </row>
    <row r="42" spans="2:14" x14ac:dyDescent="0.25">
      <c r="B42" s="9">
        <v>33</v>
      </c>
      <c r="C42" s="15" t="s">
        <v>40</v>
      </c>
      <c r="D42" s="11"/>
      <c r="E42" s="11"/>
      <c r="F42" s="11"/>
      <c r="G42" s="12" t="s">
        <v>107</v>
      </c>
      <c r="H42" s="13" t="s">
        <v>108</v>
      </c>
      <c r="I42" s="12"/>
      <c r="J42" s="12"/>
      <c r="K42" s="12"/>
      <c r="L42" s="12"/>
      <c r="M42" s="12"/>
      <c r="N42" s="14" t="s">
        <v>102</v>
      </c>
    </row>
    <row r="43" spans="2:14" x14ac:dyDescent="0.25">
      <c r="B43" s="9">
        <v>34</v>
      </c>
      <c r="C43" s="10" t="s">
        <v>22</v>
      </c>
      <c r="D43" s="11"/>
      <c r="E43" s="11" t="s">
        <v>109</v>
      </c>
      <c r="F43" s="11" t="s">
        <v>110</v>
      </c>
      <c r="G43" s="12" t="s">
        <v>111</v>
      </c>
      <c r="H43" s="13" t="s">
        <v>112</v>
      </c>
      <c r="I43" s="12"/>
      <c r="J43" s="12"/>
      <c r="K43" s="12"/>
      <c r="L43" s="12"/>
      <c r="M43" s="12"/>
      <c r="N43" s="14" t="s">
        <v>113</v>
      </c>
    </row>
    <row r="44" spans="2:14" x14ac:dyDescent="0.25">
      <c r="B44" s="9">
        <v>35</v>
      </c>
      <c r="C44" s="10" t="s">
        <v>22</v>
      </c>
      <c r="D44" s="11"/>
      <c r="E44" s="11"/>
      <c r="F44" s="11"/>
      <c r="G44" s="12" t="s">
        <v>114</v>
      </c>
      <c r="H44" s="13" t="s">
        <v>115</v>
      </c>
      <c r="I44" s="12"/>
      <c r="J44" s="12"/>
      <c r="K44" s="12"/>
      <c r="L44" s="12"/>
      <c r="M44" s="12"/>
      <c r="N44" s="14" t="s">
        <v>113</v>
      </c>
    </row>
    <row r="45" spans="2:14" x14ac:dyDescent="0.25">
      <c r="B45" s="9">
        <v>36</v>
      </c>
      <c r="C45" s="10" t="s">
        <v>22</v>
      </c>
      <c r="D45" s="11"/>
      <c r="E45" s="11"/>
      <c r="F45" s="11" t="s">
        <v>116</v>
      </c>
      <c r="G45" s="12" t="s">
        <v>117</v>
      </c>
      <c r="H45" s="13" t="s">
        <v>118</v>
      </c>
      <c r="I45" s="12"/>
      <c r="J45" s="12"/>
      <c r="K45" s="12"/>
      <c r="L45" s="12"/>
      <c r="M45" s="12"/>
      <c r="N45" s="14" t="s">
        <v>119</v>
      </c>
    </row>
    <row r="46" spans="2:14" x14ac:dyDescent="0.25">
      <c r="B46" s="9">
        <v>37</v>
      </c>
      <c r="C46" s="10" t="s">
        <v>22</v>
      </c>
      <c r="D46" s="11"/>
      <c r="E46" s="11"/>
      <c r="F46" s="11"/>
      <c r="G46" s="12" t="s">
        <v>120</v>
      </c>
      <c r="H46" s="13" t="s">
        <v>121</v>
      </c>
      <c r="I46" s="12"/>
      <c r="J46" s="12"/>
      <c r="K46" s="12"/>
      <c r="L46" s="12"/>
      <c r="M46" s="12"/>
      <c r="N46" s="14" t="s">
        <v>119</v>
      </c>
    </row>
    <row r="47" spans="2:14" x14ac:dyDescent="0.25">
      <c r="B47" s="9">
        <v>38</v>
      </c>
      <c r="C47" s="10" t="s">
        <v>22</v>
      </c>
      <c r="D47" s="11"/>
      <c r="E47" s="11"/>
      <c r="F47" s="11"/>
      <c r="G47" s="12" t="s">
        <v>122</v>
      </c>
      <c r="H47" s="13" t="s">
        <v>123</v>
      </c>
      <c r="I47" s="12"/>
      <c r="J47" s="12"/>
      <c r="K47" s="12"/>
      <c r="L47" s="12"/>
      <c r="M47" s="12"/>
      <c r="N47" s="14" t="s">
        <v>119</v>
      </c>
    </row>
    <row r="48" spans="2:14" x14ac:dyDescent="0.25">
      <c r="B48" s="9">
        <v>39</v>
      </c>
      <c r="C48" s="10" t="s">
        <v>22</v>
      </c>
      <c r="D48" s="11"/>
      <c r="E48" s="11"/>
      <c r="F48" s="11"/>
      <c r="G48" s="12" t="s">
        <v>124</v>
      </c>
      <c r="H48" s="13" t="s">
        <v>125</v>
      </c>
      <c r="I48" s="12"/>
      <c r="J48" s="12"/>
      <c r="K48" s="12"/>
      <c r="L48" s="12"/>
      <c r="M48" s="12"/>
      <c r="N48" s="14" t="s">
        <v>119</v>
      </c>
    </row>
    <row r="49" spans="2:14" x14ac:dyDescent="0.25">
      <c r="B49" s="9">
        <v>40</v>
      </c>
      <c r="C49" s="16" t="s">
        <v>126</v>
      </c>
      <c r="D49" s="11"/>
      <c r="E49" s="11"/>
      <c r="F49" s="11"/>
      <c r="G49" s="12" t="s">
        <v>127</v>
      </c>
      <c r="H49" s="13" t="s">
        <v>128</v>
      </c>
      <c r="I49" s="12"/>
      <c r="J49" s="12"/>
      <c r="K49" s="12"/>
      <c r="L49" s="12"/>
      <c r="M49" s="12"/>
      <c r="N49" s="14" t="s">
        <v>119</v>
      </c>
    </row>
    <row r="50" spans="2:14" x14ac:dyDescent="0.25">
      <c r="B50" s="9">
        <v>41</v>
      </c>
      <c r="C50" s="16" t="s">
        <v>126</v>
      </c>
      <c r="D50" s="11"/>
      <c r="E50" s="11"/>
      <c r="F50" s="11" t="s">
        <v>129</v>
      </c>
      <c r="G50" s="12" t="s">
        <v>130</v>
      </c>
      <c r="H50" s="13" t="s">
        <v>131</v>
      </c>
      <c r="I50" s="12"/>
      <c r="J50" s="12"/>
      <c r="K50" s="12"/>
      <c r="L50" s="12"/>
      <c r="M50" s="12"/>
      <c r="N50" s="14" t="s">
        <v>132</v>
      </c>
    </row>
    <row r="51" spans="2:14" x14ac:dyDescent="0.25">
      <c r="B51" s="9">
        <v>42</v>
      </c>
      <c r="C51" s="16" t="s">
        <v>126</v>
      </c>
      <c r="D51" s="11"/>
      <c r="E51" s="11"/>
      <c r="F51" s="11"/>
      <c r="G51" s="12" t="s">
        <v>133</v>
      </c>
      <c r="H51" s="13" t="s">
        <v>134</v>
      </c>
      <c r="I51" s="12"/>
      <c r="J51" s="12"/>
      <c r="K51" s="12"/>
      <c r="L51" s="12"/>
      <c r="M51" s="12"/>
      <c r="N51" s="14" t="s">
        <v>132</v>
      </c>
    </row>
    <row r="52" spans="2:14" x14ac:dyDescent="0.25">
      <c r="B52" s="9">
        <v>43</v>
      </c>
      <c r="C52" s="10" t="s">
        <v>22</v>
      </c>
      <c r="D52" s="11"/>
      <c r="E52" s="11"/>
      <c r="F52" s="11"/>
      <c r="G52" s="12" t="s">
        <v>135</v>
      </c>
      <c r="H52" s="13" t="s">
        <v>136</v>
      </c>
      <c r="I52" s="12"/>
      <c r="J52" s="12"/>
      <c r="K52" s="12"/>
      <c r="L52" s="12"/>
      <c r="M52" s="12"/>
      <c r="N52" s="14" t="s">
        <v>132</v>
      </c>
    </row>
    <row r="53" spans="2:14" x14ac:dyDescent="0.25">
      <c r="B53" s="9">
        <v>44</v>
      </c>
      <c r="C53" s="10" t="s">
        <v>22</v>
      </c>
      <c r="D53" s="11"/>
      <c r="E53" s="11"/>
      <c r="F53" s="11"/>
      <c r="G53" s="12" t="s">
        <v>137</v>
      </c>
      <c r="H53" s="13" t="s">
        <v>138</v>
      </c>
      <c r="I53" s="12"/>
      <c r="J53" s="12"/>
      <c r="K53" s="12"/>
      <c r="L53" s="12"/>
      <c r="M53" s="12"/>
      <c r="N53" s="14" t="s">
        <v>132</v>
      </c>
    </row>
    <row r="54" spans="2:14" x14ac:dyDescent="0.25">
      <c r="B54" s="9">
        <v>45</v>
      </c>
      <c r="C54" s="15" t="s">
        <v>40</v>
      </c>
      <c r="D54" s="11"/>
      <c r="E54" s="11"/>
      <c r="F54" s="11"/>
      <c r="G54" s="12" t="s">
        <v>139</v>
      </c>
      <c r="H54" s="13" t="s">
        <v>140</v>
      </c>
      <c r="I54" s="12"/>
      <c r="J54" s="12"/>
      <c r="K54" s="12"/>
      <c r="L54" s="12"/>
      <c r="M54" s="12"/>
      <c r="N54" s="14" t="s">
        <v>132</v>
      </c>
    </row>
    <row r="55" spans="2:14" x14ac:dyDescent="0.25">
      <c r="B55" s="9">
        <v>46</v>
      </c>
      <c r="C55" s="15" t="s">
        <v>40</v>
      </c>
      <c r="D55" s="11"/>
      <c r="E55" s="11"/>
      <c r="F55" s="11"/>
      <c r="G55" s="12" t="s">
        <v>141</v>
      </c>
      <c r="H55" s="13" t="s">
        <v>142</v>
      </c>
      <c r="I55" s="12"/>
      <c r="J55" s="12"/>
      <c r="K55" s="12"/>
      <c r="L55" s="12"/>
      <c r="M55" s="12"/>
      <c r="N55" s="14" t="s">
        <v>132</v>
      </c>
    </row>
    <row r="56" spans="2:14" x14ac:dyDescent="0.25">
      <c r="B56" s="9">
        <v>47</v>
      </c>
      <c r="C56" s="15" t="s">
        <v>40</v>
      </c>
      <c r="D56" s="11"/>
      <c r="E56" s="11"/>
      <c r="F56" s="11"/>
      <c r="G56" s="12" t="s">
        <v>143</v>
      </c>
      <c r="H56" s="13" t="s">
        <v>144</v>
      </c>
      <c r="I56" s="12"/>
      <c r="J56" s="12"/>
      <c r="K56" s="12"/>
      <c r="L56" s="12"/>
      <c r="M56" s="12"/>
      <c r="N56" s="14" t="s">
        <v>132</v>
      </c>
    </row>
    <row r="57" spans="2:14" x14ac:dyDescent="0.25">
      <c r="B57" s="9">
        <v>48</v>
      </c>
      <c r="C57" s="10" t="s">
        <v>22</v>
      </c>
      <c r="D57" s="11"/>
      <c r="E57" s="11"/>
      <c r="F57" s="11"/>
      <c r="G57" s="12" t="s">
        <v>145</v>
      </c>
      <c r="H57" s="13" t="s">
        <v>146</v>
      </c>
      <c r="I57" s="12"/>
      <c r="J57" s="12"/>
      <c r="K57" s="12"/>
      <c r="L57" s="12"/>
      <c r="M57" s="12"/>
      <c r="N57" s="14" t="s">
        <v>83</v>
      </c>
    </row>
    <row r="58" spans="2:14" x14ac:dyDescent="0.25">
      <c r="B58" s="9">
        <v>49</v>
      </c>
      <c r="C58" s="10" t="s">
        <v>22</v>
      </c>
      <c r="D58" s="11"/>
      <c r="E58" s="11" t="s">
        <v>147</v>
      </c>
      <c r="F58" s="11" t="s">
        <v>148</v>
      </c>
      <c r="G58" s="12" t="s">
        <v>149</v>
      </c>
      <c r="H58" s="13" t="s">
        <v>150</v>
      </c>
      <c r="I58" s="12"/>
      <c r="J58" s="12"/>
      <c r="K58" s="12"/>
      <c r="L58" s="12"/>
      <c r="M58" s="12"/>
      <c r="N58" s="14" t="s">
        <v>151</v>
      </c>
    </row>
    <row r="59" spans="2:14" x14ac:dyDescent="0.25">
      <c r="B59" s="9">
        <v>50</v>
      </c>
      <c r="C59" s="10" t="s">
        <v>22</v>
      </c>
      <c r="D59" s="11"/>
      <c r="E59" s="11"/>
      <c r="F59" s="11"/>
      <c r="G59" s="12" t="s">
        <v>152</v>
      </c>
      <c r="H59" s="13" t="s">
        <v>153</v>
      </c>
      <c r="I59" s="12"/>
      <c r="J59" s="12"/>
      <c r="K59" s="12"/>
      <c r="L59" s="12"/>
      <c r="M59" s="12"/>
      <c r="N59" s="14" t="s">
        <v>151</v>
      </c>
    </row>
    <row r="60" spans="2:14" x14ac:dyDescent="0.25">
      <c r="B60" s="9">
        <v>51</v>
      </c>
      <c r="C60" s="15" t="s">
        <v>40</v>
      </c>
      <c r="D60" s="11"/>
      <c r="E60" s="11"/>
      <c r="F60" s="11"/>
      <c r="G60" s="12" t="s">
        <v>154</v>
      </c>
      <c r="H60" s="13" t="s">
        <v>155</v>
      </c>
      <c r="I60" s="12"/>
      <c r="J60" s="12"/>
      <c r="K60" s="12"/>
      <c r="L60" s="12"/>
      <c r="M60" s="12"/>
      <c r="N60" s="14" t="s">
        <v>151</v>
      </c>
    </row>
  </sheetData>
  <mergeCells count="18">
    <mergeCell ref="D10:D60"/>
    <mergeCell ref="E10:E19"/>
    <mergeCell ref="F10:F12"/>
    <mergeCell ref="F13:F16"/>
    <mergeCell ref="F17:F19"/>
    <mergeCell ref="E20:E33"/>
    <mergeCell ref="F20:F27"/>
    <mergeCell ref="F28:F31"/>
    <mergeCell ref="F32:F33"/>
    <mergeCell ref="E34:E42"/>
    <mergeCell ref="F34:F38"/>
    <mergeCell ref="F39:F42"/>
    <mergeCell ref="E43:E57"/>
    <mergeCell ref="F43:F44"/>
    <mergeCell ref="F45:F49"/>
    <mergeCell ref="F50:F57"/>
    <mergeCell ref="E58:E60"/>
    <mergeCell ref="F58:F60"/>
  </mergeCells>
  <dataValidations count="1">
    <dataValidation type="list" allowBlank="1" showErrorMessage="1" errorTitle="잘못된 값" error="Pass, Fail, N/T, Block 중 하나를 선택하세요." sqref="I10:J60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테스트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2026-05-12T10:57:00Z</dcterms:created>
  <dcterms:modified xsi:type="dcterms:W3CDTF">2026-05-12T10:57:00Z</dcterms:modified>
</cp:coreProperties>
</file>