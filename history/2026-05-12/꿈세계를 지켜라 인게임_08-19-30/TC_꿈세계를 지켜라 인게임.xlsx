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꿈세계를 지켜라 인게임" state="visible" r:id="rId4"/>
  </sheets>
  <calcPr calcId="171027"/>
</workbook>
</file>

<file path=xl/sharedStrings.xml><?xml version="1.0" encoding="utf-8"?>
<sst xmlns="http://schemas.openxmlformats.org/spreadsheetml/2006/main" count="660" uniqueCount="424">
  <si>
    <t>(C)꿈세계를 지켜라 인게임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</si>
  <si>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</si>
  <si>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</si>
  <si>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</si>
  <si>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</si>
  <si>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</si>
  <si>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</si>
  <si>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</si>
  <si>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</si>
  <si>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</si>
  <si>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</si>
  <si>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</si>
  <si>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</si>
  <si>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</si>
  <si>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</si>
  <si>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</si>
  <si>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</si>
  <si>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</si>
  <si>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</si>
  <si>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</si>
  <si>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</si>
  <si>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</si>
  <si>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</si>
  <si>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인게임</t>
  </si>
  <si>
    <t>인게임 진입</t>
  </si>
  <si>
    <t>라운드 시작 투표 UI</t>
  </si>
  <si>
    <t>본인/타플레이어 카운트 출력</t>
  </si>
  <si>
    <t>라운드 시작 투표 UI 진입 시, 본인과 타플레이어의 준비 상태 카운트가 출력된다.</t>
  </si>
  <si>
    <t>기획서: 라운드 시작 투표 UI</t>
  </si>
  <si>
    <t>준비 완료 노출</t>
  </si>
  <si>
    <t>라운드 시작 투표 UI에서 준비 완료 버튼 터치 시, 본인의 준비 완료 상태가 노출된다.</t>
  </si>
  <si>
    <t>Normal</t>
  </si>
  <si>
    <t>준비 완료 취소</t>
  </si>
  <si>
    <t>준비 완료 상태에서 재터치 시, 준비 완료 상태가 취소된다.</t>
  </si>
  <si>
    <t>Critical</t>
  </si>
  <si>
    <t>전원 동의 시 라운드 시작</t>
  </si>
  <si>
    <t>모든 플레이어가 준비 완료 상태 도달 시, 라운드가 시작된다.</t>
  </si>
  <si>
    <t>라운드 진입</t>
  </si>
  <si>
    <t>인게임 화면 출력</t>
  </si>
  <si>
    <t>라운드 진입 시, 플레이어 쿠키/열차/맵/HUD가 포함된 인게임 화면이 출력된다.</t>
  </si>
  <si>
    <t>기획서: 인게임 진입</t>
  </si>
  <si>
    <t>드래프트 선택 화면 진입</t>
  </si>
  <si>
    <t>라운드 진입 직후, 메인 드래프트 카드 선택 화면으로 진입된다.</t>
  </si>
  <si>
    <t>기획서: 드래프트 진입</t>
  </si>
  <si>
    <t>라운드 진입 연출</t>
  </si>
  <si>
    <t>라운드 진입 시, 라운드 시작 연출이 재생된다.</t>
  </si>
  <si>
    <t>인게임 HUD</t>
  </si>
  <si>
    <t>별가루 카운터</t>
  </si>
  <si>
    <t>카운터 출력</t>
  </si>
  <si>
    <t>인게임 화면 우상단에 별가루 카운터가 출력된다.</t>
  </si>
  <si>
    <t>기획서: 인게임 HUD</t>
  </si>
  <si>
    <t>별가루 획득 시 카운트 증가</t>
  </si>
  <si>
    <t>별가루 획득 시, 별가루 카운터의 수치가 획득량만큼 증가된다.</t>
  </si>
  <si>
    <t>기획서: 별가루 카운터</t>
  </si>
  <si>
    <t>연료 게이지</t>
  </si>
  <si>
    <t>연료 게이지 출력</t>
  </si>
  <si>
    <t>인게임 화면 내 열차 잔여 연료를 시각화하는 연료 게이지가 출력된다.</t>
  </si>
  <si>
    <t>기획서: 연료 게이지</t>
  </si>
  <si>
    <t>1초당 1 소진</t>
  </si>
  <si>
    <t>라운드 진행 중, 연료 게이지가 1초당 1씩 소진된다.</t>
  </si>
  <si>
    <t>50% 색상 변경</t>
  </si>
  <si>
    <t>연료 게이지가 50%에 도달 시, 게이지 색상이 노란색으로 변경된다.</t>
  </si>
  <si>
    <t>20% 색상 변경</t>
  </si>
  <si>
    <t>연료 게이지가 20%에 도달 시, 게이지 색상이 빨간색으로 변경된다.</t>
  </si>
  <si>
    <t>별가루 사용 시 연료 채워짐</t>
  </si>
  <si>
    <t>별가루로 열차 연료 충전 시, 연료 게이지가 충전량만큼 증가된다.</t>
  </si>
  <si>
    <t>기획서: 별가루로 연료 충전</t>
  </si>
  <si>
    <t>경험치 프로그레스 바</t>
  </si>
  <si>
    <t>경험치 게이지 출력</t>
  </si>
  <si>
    <t>인게임 화면 내 열차 레벨업 경험치 프로그레스 바가 출력된다.</t>
  </si>
  <si>
    <t>기획서: 경험치 프로그레스 바</t>
  </si>
  <si>
    <t>경험치 증가</t>
  </si>
  <si>
    <t>몬스터 처치 시, 경험치 프로그레스 바가 처치 시 획득한 경험치만큼 증가된다.</t>
  </si>
  <si>
    <t>기획서: 레벨업</t>
  </si>
  <si>
    <t>미니맵</t>
  </si>
  <si>
    <t>인게임 화면에 현재 위치/주변 상황을 표시하는 미니맵이 출력된다.</t>
  </si>
  <si>
    <t>캐릭터 아이콘</t>
  </si>
  <si>
    <t>인게임 화면에 현재 플레이 중인 쿠키의 캐릭터 아이콘이 출력된다.</t>
  </si>
  <si>
    <t>카운트다운 타이머</t>
  </si>
  <si>
    <t>라운드 진행 중, 카운트다운 타이머가 출력된다.</t>
  </si>
  <si>
    <t>타이머 감소</t>
  </si>
  <si>
    <t>라운드 진행 중, 카운트다운 타이머가 시간 흐름에 따라 감소된다.</t>
  </si>
  <si>
    <t>잔여 연료 텍스트 표시</t>
  </si>
  <si>
    <t>연료 게이지 위에 현재 잔여 연료 수치가 텍스트로 표시된다.</t>
  </si>
  <si>
    <t>플레이어 - 쿠키</t>
  </si>
  <si>
    <t>이동 조작</t>
  </si>
  <si>
    <t>조이스틱 조작 시, 쿠키가 입력 방향으로 이동된다.</t>
  </si>
  <si>
    <t>기획서: 플레이어 쿠키</t>
  </si>
  <si>
    <t>일반 공격</t>
  </si>
  <si>
    <t>공격 발동</t>
  </si>
  <si>
    <t>공격 입력 시, 쿠키의 일반 공격이 발동되어 주변 적에게 피해가 적용된다.</t>
  </si>
  <si>
    <t>기획서: 쿠키 스킬</t>
  </si>
  <si>
    <t>차지 게이지 축적</t>
  </si>
  <si>
    <t>일반 공격 발동 시, 차지 게이지가 축적된다.</t>
  </si>
  <si>
    <t>차지 공격</t>
  </si>
  <si>
    <t>차지 완료 시 차지 공격 발동</t>
  </si>
  <si>
    <t>차지 게이지가 가득 찬 상태에서 차지 공격 입력 시, 차지 공격이 발동된다.</t>
  </si>
  <si>
    <t>차지 공격 효과 적용</t>
  </si>
  <si>
    <t>차지 공격 발동 시, 발동 대상에게 차지 공격 피해 효과가 적용된다.</t>
  </si>
  <si>
    <t>차지 게이지 표시</t>
  </si>
  <si>
    <t>차지 게이지 축적 시, 현재 차지 게이지 상태가 시각적으로 표시된다.</t>
  </si>
  <si>
    <t>기획서: 차지 게이지</t>
  </si>
  <si>
    <t>쿠키 사망 처리</t>
  </si>
  <si>
    <t>쿠키 체력이 0 도달 시, 쿠키가 사망 처리되며 게임 실패 조건이 발생된다.</t>
  </si>
  <si>
    <t>기획서: 실패 조건</t>
  </si>
  <si>
    <t>사망 연출</t>
  </si>
  <si>
    <t>쿠키 사망 시, 사망 연출이 재생된다.</t>
  </si>
  <si>
    <t>기획서: 쿠키 사망</t>
  </si>
  <si>
    <t>조작 입력 미입력 시 정지</t>
  </si>
  <si>
    <t>이동 입력 미입력 시, 쿠키가 현재 위치에서 정지된다.</t>
  </si>
  <si>
    <t>열차 호위</t>
  </si>
  <si>
    <t>열차 자동 이동</t>
  </si>
  <si>
    <t>열차 이동 동작</t>
  </si>
  <si>
    <t>라운드 진행 중, 열차가 자체적으로 정해진 경로를 따라 이동된다.</t>
  </si>
  <si>
    <t>기획서: 열차 호위 플레이</t>
  </si>
  <si>
    <t>쿠키가 열차를 호위/동행</t>
  </si>
  <si>
    <t>쿠키는 열차에 탑승하지 않고 열차 주변에서 동행/호위하는 형태로 플레이된다.</t>
  </si>
  <si>
    <t>열차 연료</t>
  </si>
  <si>
    <t>연료 소진 동작</t>
  </si>
  <si>
    <t>라운드 진행 중, 열차 연료가 시간이 흐름에 따라 소진된다.</t>
  </si>
  <si>
    <t>기획서: 열차 연료</t>
  </si>
  <si>
    <t>연료 소진 시 열차 정지</t>
  </si>
  <si>
    <t>열차 연료가 0 도달 시, 열차가 이동을 멈추고 정지된다.</t>
  </si>
  <si>
    <t>기획서: 열차 연료 소진 동작</t>
  </si>
  <si>
    <t>열차 피격 처리</t>
  </si>
  <si>
    <t>몬스터의 열차 공격</t>
  </si>
  <si>
    <t>몬스터가 열차에 접근 시, 몬스터가 열차를 공격하는 동작이 수행된다.</t>
  </si>
  <si>
    <t>기획서: 몬스터의 열차 공격</t>
  </si>
  <si>
    <t>열차 체력 감소</t>
  </si>
  <si>
    <t>열차가 몬스터에게 피격 시, 열차 체력이 피격량만큼 감소된다.</t>
  </si>
  <si>
    <t>기획서: 열차 피격</t>
  </si>
  <si>
    <t>열차 파괴 처리</t>
  </si>
  <si>
    <t>열차 체력이 0 도달 시, 열차가 파괴되며 게임 실패 처리된다.</t>
  </si>
  <si>
    <t>파괴 연출</t>
  </si>
  <si>
    <t>열차 파괴 시, 파괴 연출이 재생된다.</t>
  </si>
  <si>
    <t>기획서: 열차 파괴</t>
  </si>
  <si>
    <t>피격 이펙트</t>
  </si>
  <si>
    <t>열차 피격 시, 피격 이펙트가 출력된다.</t>
  </si>
  <si>
    <t>인게임 기믹 - 별석탄 광석</t>
  </si>
  <si>
    <t>기본 상태</t>
  </si>
  <si>
    <t>별석탄 광석 출력</t>
  </si>
  <si>
    <t>인게임 필드 내 별석탄 광석이 출력된다.</t>
  </si>
  <si>
    <t>기획서: 별석탄 광석</t>
  </si>
  <si>
    <t>반짝거리는 이펙트</t>
  </si>
  <si>
    <t>별석탄 광석 출력 시, 반짝거리는 이펙트가 함께 표시된다.</t>
  </si>
  <si>
    <t>기획서: 별석탄 광석 기본 상태</t>
  </si>
  <si>
    <t>그림자 표시</t>
  </si>
  <si>
    <t>별석탄 광석 하단에 그림자가 표시된다.</t>
  </si>
  <si>
    <t>채굴</t>
  </si>
  <si>
    <t>다가가서 상호작용 시 채굴 발동</t>
  </si>
  <si>
    <t>쿠키가 별석탄 광석 근처에서 상호작용 시, 채굴이 발동된다.</t>
  </si>
  <si>
    <t>기획서: 별석탄 채굴</t>
  </si>
  <si>
    <t>단기 공격으로도 채굴</t>
  </si>
  <si>
    <t>쿠키의 일반 공격이 별석탄 광석에 적중 시, 채굴이 발동된다.</t>
  </si>
  <si>
    <t>점프 공격 시 별가루 채굴</t>
  </si>
  <si>
    <t>쿠키의 점프 공격이 별석탄 광석에 적중 시, 별가루가 채굴된다.</t>
  </si>
  <si>
    <t>기획서: 점프공격 채굴</t>
  </si>
  <si>
    <t>사이즈 단계별 변화</t>
  </si>
  <si>
    <t>별석탄 광석 채굴 진행 시, 광석 사이즈가 큰 → 중간 → 작은 단계로 변화된다.</t>
  </si>
  <si>
    <t>기획서: 별석탄 사이즈 단계 변화</t>
  </si>
  <si>
    <t>파괴</t>
  </si>
  <si>
    <t>N회 채굴 시 광석 파괴</t>
  </si>
  <si>
    <t>별석탄 광석을 N회 채굴 도달 시, 광석이 파괴된다.</t>
  </si>
  <si>
    <t>기획서: 별석탄 광석 파괴</t>
  </si>
  <si>
    <t>파괴 시 별석탄 영역 사라짐</t>
  </si>
  <si>
    <t>별석탄 광석 파괴 시, 해당 별석탄 영역이 필드에서 제거된다.</t>
  </si>
  <si>
    <t>드랍</t>
  </si>
  <si>
    <t>별석탄 아이템 드랍</t>
  </si>
  <si>
    <t>별석탄 광석 파괴 시, 별석탄 아이템이 드랍된다.</t>
  </si>
  <si>
    <t>기획서: 별석탄 드랍</t>
  </si>
  <si>
    <t>별가루 모션 출력</t>
  </si>
  <si>
    <t>별석탄 광석 채굴 시, 별가루 획득 모션이 출력된다.</t>
  </si>
  <si>
    <t>기획서: 별가루 모션</t>
  </si>
  <si>
    <t>채굴 이펙트</t>
  </si>
  <si>
    <t>별석탄 광석 채굴 발동 시, 채굴 이펙트가 출력된다.</t>
  </si>
  <si>
    <t>인게임 기믹 - 약초 더미</t>
  </si>
  <si>
    <t>인게임 필드 내 약초 더미가 출력된다.</t>
  </si>
  <si>
    <t>기획서: 약초 더미</t>
  </si>
  <si>
    <t>채집</t>
  </si>
  <si>
    <t>일정 횟수 채집 후 약초 드랍</t>
  </si>
  <si>
    <t>약초 더미를 3회 채집 도달 시, 약초 1개가 드랍된다.</t>
  </si>
  <si>
    <t>기획서: 약초 채집</t>
  </si>
  <si>
    <t>채집 발동</t>
  </si>
  <si>
    <t>쿠키 공격이 약초 더미에 적중 시, 약초 채집이 발동된다.</t>
  </si>
  <si>
    <t>약초 더미 파괴</t>
  </si>
  <si>
    <t>약초 더미를 일정 횟수 채집 도달 시, 약초 더미가 파괴되어 필드에서 제거된다.</t>
  </si>
  <si>
    <t>기획서: 약초 더미 파괴</t>
  </si>
  <si>
    <t>약초 드랍</t>
  </si>
  <si>
    <t>약초 채집 조건 충족 시, 약초 아이템이 필드에 드랍된다.</t>
  </si>
  <si>
    <t>기획서: 약초 드랍</t>
  </si>
  <si>
    <t>채집 이펙트</t>
  </si>
  <si>
    <t>약초 더미 채집 시, 채집 이펙트가 출력된다.</t>
  </si>
  <si>
    <t>인게임 기믹 - 약초</t>
  </si>
  <si>
    <t>약초 획득</t>
  </si>
  <si>
    <t>쿠키가 드랍된 약초에 접촉 시, 약초가 획득된다.</t>
  </si>
  <si>
    <t>기획서: 약초 획득</t>
  </si>
  <si>
    <t>쿠키 체력 회복</t>
  </si>
  <si>
    <t>약초 획득 시, 쿠키의 체력이 회복된다.</t>
  </si>
  <si>
    <t>기획서: 약초 효과</t>
  </si>
  <si>
    <t>획득 연출</t>
  </si>
  <si>
    <t>약초 획득 시, 획득 연출이 재생된다.</t>
  </si>
  <si>
    <t>보상 상자 &amp; 달빛 포션</t>
  </si>
  <si>
    <t>몬스터 처치 시 드랍</t>
  </si>
  <si>
    <t>빛 구체 포물선 드랍 애니</t>
  </si>
  <si>
    <t>몬스터 처치 시, 빛 구체가 포물선을 그리며 드랍되는 애니메이션이 재생된다.</t>
  </si>
  <si>
    <t>기획서: 보상 상자 드랍</t>
  </si>
  <si>
    <t>꼬리 궤적 이펙트</t>
  </si>
  <si>
    <t>빛 구체 드랍 시, 꼬리 궤적 이펙트가 출력된다.</t>
  </si>
  <si>
    <t>기획서: 빛 구체 이펙트</t>
  </si>
  <si>
    <t>아이템 스폰</t>
  </si>
  <si>
    <t>아이템 등장</t>
  </si>
  <si>
    <t>빛 구체가 떨어진 지점에 보상 상자 또는 달빛 포션 아이템이 등장된다.</t>
  </si>
  <si>
    <t>기획서: 아이템 스폰</t>
  </si>
  <si>
    <t>둥둥 떠있는 애니</t>
  </si>
  <si>
    <t>필드에 등장한 아이템이 바닥에서 둥둥 떠있는 애니메이션이 재생된다.</t>
  </si>
  <si>
    <t>기획서: 아이템 애니</t>
  </si>
  <si>
    <t>빛 기둥 이펙트</t>
  </si>
  <si>
    <t>필드에 등장한 아이템 위치에 빛 기둥 이펙트가 출력된다.</t>
  </si>
  <si>
    <t>기획서: 빛 기둥 이펙트</t>
  </si>
  <si>
    <t>보상 상자 획득</t>
  </si>
  <si>
    <t>쿠키가 보상 상자에 접촉 시, 보상 상자가 획득된다.</t>
  </si>
  <si>
    <t>기획서: 보상 상자 획득</t>
  </si>
  <si>
    <t>달빛 포션 획득</t>
  </si>
  <si>
    <t>쿠키가 달빛 포션에 접촉 시, 달빛 포션이 획득된다.</t>
  </si>
  <si>
    <t>기획서: 달빛 포션 획득</t>
  </si>
  <si>
    <t>몬스터</t>
  </si>
  <si>
    <t>일반 몬스터</t>
  </si>
  <si>
    <t>웨이브 출현</t>
  </si>
  <si>
    <t>라운드 진행 중, 일반 몬스터가 웨이브 단위로 필드에 출현된다.</t>
  </si>
  <si>
    <t>기획서: 몬스터 웨이브</t>
  </si>
  <si>
    <t>적들이 몰려옵니다 알림</t>
  </si>
  <si>
    <t>몬스터 웨이브 시작 시, "적들이 몰려옵니다!" 알림이 출력된다.</t>
  </si>
  <si>
    <t>기획서: 웨이브 알림</t>
  </si>
  <si>
    <t>열차 공격 행동</t>
  </si>
  <si>
    <t>일반 몬스터 출현 시, 열차를 향해 이동 후 공격 행동을 수행한다.</t>
  </si>
  <si>
    <t>기획서: 몬스터 행동</t>
  </si>
  <si>
    <t>처치 시 경험치 지급</t>
  </si>
  <si>
    <t>일반 몬스터 처치 시, 경험치가 지급된다.</t>
  </si>
  <si>
    <t>기획서: 몬스터 처치 보상</t>
  </si>
  <si>
    <t>처치 시 드랍 아이템 지급</t>
  </si>
  <si>
    <t>일반 몬스터 처치 시, 드랍 아이템이 지급된다.</t>
  </si>
  <si>
    <t>엘리트 몬스터</t>
  </si>
  <si>
    <t>출현</t>
  </si>
  <si>
    <t>라운드 진행 중, 엘리트 몬스터가 출현된다.</t>
  </si>
  <si>
    <t>기획서: 엘리트 몬스터</t>
  </si>
  <si>
    <t>처치</t>
  </si>
  <si>
    <t>엘리트 몬스터의 체력 0 도달 시, 엘리트 몬스터가 처치된다.</t>
  </si>
  <si>
    <t>기획서: 엘리트 몬스터 처치</t>
  </si>
  <si>
    <t>상급 몬스터</t>
  </si>
  <si>
    <t>출현/처치</t>
  </si>
  <si>
    <t>상급 몬스터 출현 후 체력 0 도달 시, 상급 몬스터가 처치된다.</t>
  </si>
  <si>
    <t>기획서: 상급 몬스터</t>
  </si>
  <si>
    <t>보스 몬스터</t>
  </si>
  <si>
    <t>보스 출현</t>
  </si>
  <si>
    <t>라운드 3 진입 시, 보스 몬스터가 필드에 출현된다.</t>
  </si>
  <si>
    <t>기획서: 라운드 3 보스</t>
  </si>
  <si>
    <t>보스 처치 시 라운드 종료</t>
  </si>
  <si>
    <t>보스 몬스터 처치 시, 라운드 3이 클리어 처리되며 종료된다.</t>
  </si>
  <si>
    <t>기획서: 클리어 조건</t>
  </si>
  <si>
    <t>보스 등장 연출</t>
  </si>
  <si>
    <t>보스 몬스터 출현 시, 보스 등장 연출이 재생된다.</t>
  </si>
  <si>
    <t>기획서: 보스 등장</t>
  </si>
  <si>
    <t>레벨업</t>
  </si>
  <si>
    <t>경험치 게이지 증가</t>
  </si>
  <si>
    <t>몬스터 처치로 경험치 획득 시, 경험치 게이지가 획득량만큼 증가된다.</t>
  </si>
  <si>
    <t>기획서: 경험치 게이지</t>
  </si>
  <si>
    <t>레벨업 발동</t>
  </si>
  <si>
    <t>Level Up 텍스트 출력</t>
  </si>
  <si>
    <t>경험치 게이지가 가득 차 레벨업 도달 시, 화면에 Level Up 텍스트가 출력된다.</t>
  </si>
  <si>
    <t>서브 드래프트 선택 창 등장</t>
  </si>
  <si>
    <t>열차 레벨업 발동 시, 서브 드래프트 선택 창이 등장된다.</t>
  </si>
  <si>
    <t>기획서: 서브 드래프트 진입</t>
  </si>
  <si>
    <t>레벨업 연출</t>
  </si>
  <si>
    <t>열차 레벨업 발동 시, 레벨업 연출이 재생된다.</t>
  </si>
  <si>
    <t>레벨업 후 게이지 초기화</t>
  </si>
  <si>
    <t>레벨업 발동 시, 경험치 게이지가 0으로 초기화된 후 다시 증가된다.</t>
  </si>
  <si>
    <t>드래프트</t>
  </si>
  <si>
    <t>메인 드래프트</t>
  </si>
  <si>
    <t>3개 카드 출력</t>
  </si>
  <si>
    <t>메인 드래프트 진입 시, 3개의 카드가 출력된다.</t>
  </si>
  <si>
    <t>기획서: 메인 드래프트</t>
  </si>
  <si>
    <t>카드 일러스트/이름/효과 출력</t>
  </si>
  <si>
    <t>메인 드래프트 카드 출력 시, 각 카드의 일러스트/이름/효과 설명이 출력된다.</t>
  </si>
  <si>
    <t>기획서: 메인 드래프트 카드</t>
  </si>
  <si>
    <t>NEW 표기</t>
  </si>
  <si>
    <t>처음 등장하는 카드 출력 시, 카드 상단에 NEW 표기가 노출된다.</t>
  </si>
  <si>
    <t>기획서: NEW 표기</t>
  </si>
  <si>
    <t>카드 선택 동작</t>
  </si>
  <si>
    <t>메인 드래프트 카드 터치 시, 해당 카드가 선택된다.</t>
  </si>
  <si>
    <t>선택 후 효과 적용</t>
  </si>
  <si>
    <t>메인 드래프트 카드 선택 시, 해당 카드의 효과가 쿠키/열차에 적용된다.</t>
  </si>
  <si>
    <t>기획서: 드래프트 효과 적용</t>
  </si>
  <si>
    <t>서브 드래프트</t>
  </si>
  <si>
    <t>레벨업 시 3개 카드 출력</t>
  </si>
  <si>
    <t>레벨업 발동 시, 서브 드래프트 화면에 3개의 카드가 출력된다.</t>
  </si>
  <si>
    <t>기획서: 서브 드래프트</t>
  </si>
  <si>
    <t>리스트형 표기</t>
  </si>
  <si>
    <t>서브 드래프트 카드는 일러스트 없이 리스트형으로 표기된다.</t>
  </si>
  <si>
    <t>카드 선택 후 효과 적용</t>
  </si>
  <si>
    <t>서브 드래프트 카드 선택 시, 해당 카드의 효과가 적용된다.</t>
  </si>
  <si>
    <t>기획서: 서브 드래프트 효과</t>
  </si>
  <si>
    <t>드래프트 카드 종류</t>
  </si>
  <si>
    <t>발화 이언 효과</t>
  </si>
  <si>
    <t>발화 이언 카드 선택 시, 해당 카드의 효과가 쿠키에게 적용된다.</t>
  </si>
  <si>
    <t>기획서: 카드 종류</t>
  </si>
  <si>
    <t>직격폭화 효과</t>
  </si>
  <si>
    <t>직격폭화 카드 선택 시, 해당 카드의 효과가 적용된다.</t>
  </si>
  <si>
    <t>들끓는 의지 효과</t>
  </si>
  <si>
    <t>들끓는 의지 카드 선택 시, 해당 카드의 효과가 적용된다.</t>
  </si>
  <si>
    <t>처치 의지 효과</t>
  </si>
  <si>
    <t>처치 의지 카드 선택 시, 해당 카드의 효과가 적용된다.</t>
  </si>
  <si>
    <t>관통벽 효과</t>
  </si>
  <si>
    <t>관통벽 카드 선택 시, 해당 카드의 효과가 적용된다.</t>
  </si>
  <si>
    <t>발경 부서 효과</t>
  </si>
  <si>
    <t>발경 부서 카드 선택 시, 해당 카드의 효과가 적용된다.</t>
  </si>
  <si>
    <t>헌신의 가족 효과</t>
  </si>
  <si>
    <t>헌신의 가족 카드 선택 시, 해당 카드의 효과가 적용된다.</t>
  </si>
  <si>
    <t>레이저 팁 효과</t>
  </si>
  <si>
    <t>레이저 팁 카드 선택 시, 해당 카드의 효과가 적용된다.</t>
  </si>
  <si>
    <t>고속격공 효과</t>
  </si>
  <si>
    <t>고속격공 카드 선택 시, 해당 카드의 효과가 적용된다.</t>
  </si>
  <si>
    <t>인게임 카메라</t>
  </si>
  <si>
    <t>열차 중심 카메라 추적</t>
  </si>
  <si>
    <t>인게임 카메라는 열차(영역)를 중심으로 추적된다.</t>
  </si>
  <si>
    <t>기획서: 인게임 카메라</t>
  </si>
  <si>
    <t>카메라 경계 도달 시 정지</t>
  </si>
  <si>
    <t>카메라가 영역 경계에 도달 시, 카메라 이동이 정지된다.</t>
  </si>
  <si>
    <t>기획서: 카메라 정지</t>
  </si>
  <si>
    <t>쿠키 영역 이탈 방지</t>
  </si>
  <si>
    <t>쿠키가 카메라(영역) 밖으로 빠져나가지 못하도록 외곽이 막힌다.</t>
  </si>
  <si>
    <t>기획서: 영역 이탈 방지</t>
  </si>
  <si>
    <t>쿠키 이격 시 카메라 이동</t>
  </si>
  <si>
    <t>쿠키가 열차로부터 멀어질 시, 카메라가 쿠키 방향으로 이동된다.</t>
  </si>
  <si>
    <t>기획서: 카메라 이동</t>
  </si>
  <si>
    <t>멀티플레이 카메라 분리</t>
  </si>
  <si>
    <t>멀티플레이어 진행 시, 각 쿠키별 영역(카메라)가 분리되어 표시된다.</t>
  </si>
  <si>
    <t>기획서: 멀티플레이 카메라</t>
  </si>
  <si>
    <t>카메라 부드러운 이동</t>
  </si>
  <si>
    <t>열차 이동 시, 카메라가 부드럽게 추적 이동된다.</t>
  </si>
  <si>
    <t>기획서: 카메라 추적</t>
  </si>
  <si>
    <t>라운드 진행</t>
  </si>
  <si>
    <t>라운드 1 진행</t>
  </si>
  <si>
    <t>라운드 1 진입 시, 일반 스테이지로 라운드가 진행된다.</t>
  </si>
  <si>
    <t>기획서: 라운드 진행</t>
  </si>
  <si>
    <t>라운드 2 진행</t>
  </si>
  <si>
    <t>라운드 2 진입 시, 일반 스테이지로 라운드가 진행된다.</t>
  </si>
  <si>
    <t>라운드 3 진행 (보스)</t>
  </si>
  <si>
    <t>라운드 3 진입 시, 보스 스테이지로 라운드가 진행된다.</t>
  </si>
  <si>
    <t>기획서: 라운드 3</t>
  </si>
  <si>
    <t>라운드 종료 처리</t>
  </si>
  <si>
    <t>COMPLETED 표시</t>
  </si>
  <si>
    <t>라운드 클리어 조건 충족 시, 화면에 COMPLETED 표시가 출력된다.</t>
  </si>
  <si>
    <t>기획서: 라운드 종료</t>
  </si>
  <si>
    <t>점수 표시</t>
  </si>
  <si>
    <t>라운드 종료 시, 해당 라운드의 점수가 표시된다.</t>
  </si>
  <si>
    <t>기획서: 라운드 종료 점수</t>
  </si>
  <si>
    <t>다음 라운드 진입</t>
  </si>
  <si>
    <t>라운드 종료 후, 다음 라운드로 진입된다.</t>
  </si>
  <si>
    <t>서브 드래프트 등장</t>
  </si>
  <si>
    <t>다음 라운드 진입 시, 서브 드래프트 선택 창이 등장된다.</t>
  </si>
  <si>
    <t>종료 연출</t>
  </si>
  <si>
    <t>라운드 종료 시, 종료 연출이 재생된다.</t>
  </si>
  <si>
    <t>난이도별 변경점</t>
  </si>
  <si>
    <t>쉬움</t>
  </si>
  <si>
    <t>몬스터 출현 수 적음</t>
  </si>
  <si>
    <t>쉬움 난이도 선택 후 라운드 진행 시, 몬스터 출현 수가 보통/어려움 대비 적게 출현된다.</t>
  </si>
  <si>
    <t>기획서: 난이도 - 쉬움</t>
  </si>
  <si>
    <t>메인 드래프트 1개 카드</t>
  </si>
  <si>
    <t>쉬움 난이도 선택 시, 메인 드래프트 카드가 1개로 출력된다.</t>
  </si>
  <si>
    <t>위협 요소 없음</t>
  </si>
  <si>
    <t>쉬움 난이도 진행 시, 위협 요소(설계 가지)가 출현되지 않는다.</t>
  </si>
  <si>
    <t>보통</t>
  </si>
  <si>
    <t>몬스터 출현 수 증가</t>
  </si>
  <si>
    <t>보통 난이도 선택 시, 쉬움 대비 몬스터 출현 수가 증가된다.</t>
  </si>
  <si>
    <t>기획서: 난이도 - 보통</t>
  </si>
  <si>
    <t>위협 요소 등장</t>
  </si>
  <si>
    <t>보통 난이도 진행 시, 위협 요소가 +1 등장된다.</t>
  </si>
  <si>
    <t>레벨업 +1</t>
  </si>
  <si>
    <t>보통 난이도 진행 시, 쉬움 대비 레벨업 +1이 적용된다.</t>
  </si>
  <si>
    <t>어려움</t>
  </si>
  <si>
    <t>몬스터 출현 수 최다</t>
  </si>
  <si>
    <t>어려움 난이도 선택 시, 보통 대비 몬스터 출현 수가 추가로 증가된다.</t>
  </si>
  <si>
    <t>기획서: 난이도 - 어려움</t>
  </si>
  <si>
    <t>위협 요소 다수 등장</t>
  </si>
  <si>
    <t>어려움 난이도 진행 시, 위협 요소가 +2 등장된다.</t>
  </si>
  <si>
    <t>레벨업 +2</t>
  </si>
  <si>
    <t>어려움 난이도 진행 시, 쉬움 대비 레벨업 +2가 적용된다.</t>
  </si>
  <si>
    <t>일시정지</t>
  </si>
  <si>
    <t>일시정지 진입</t>
  </si>
  <si>
    <t>인게임 화면 내 일시정지 버튼 터치 시, 일시정지 상태로 진입된다.</t>
  </si>
  <si>
    <t>기획서: 일시정지</t>
  </si>
  <si>
    <t>본인/타플레이어 카운트 표시</t>
  </si>
  <si>
    <t>일시정지 진입 시, 본인 및 타플레이어의 일시정지 동의 카운트가 표시된다.</t>
  </si>
  <si>
    <t>종료 버튼</t>
  </si>
  <si>
    <t>일시정지 화면 내 종료 버튼 터치 시, 게임이 종료된다.</t>
  </si>
  <si>
    <t>기획서: 일시정지 종료</t>
  </si>
  <si>
    <t>게임 진행 정지</t>
  </si>
  <si>
    <t>일시정지 진입 시, 인게임 진행이 정지된다.</t>
  </si>
  <si>
    <t>랭킹 / 점수 집계</t>
  </si>
  <si>
    <t>점수 환산</t>
  </si>
  <si>
    <t>클리어 시간 점수 환산</t>
  </si>
  <si>
    <t>라운드 클리어 시, 클리어 시간 기준(180,000ms 기준 1ms당 약 1.67점)으로 점수가 환산된다.</t>
  </si>
  <si>
    <t>기획서: 점수 환산</t>
  </si>
  <si>
    <t>난이도 가중치 - 쉬움</t>
  </si>
  <si>
    <t>쉬움 난이도 클리어 시, 점수에 +0% 가중치가 적용된다.</t>
  </si>
  <si>
    <t>기획서: 난이도 가중치</t>
  </si>
  <si>
    <t>난이도 가중치 - 보통</t>
  </si>
  <si>
    <t>보통 난이도 클리어 시, 점수에 +30% 가중치가 적용된다.</t>
  </si>
  <si>
    <t>난이도 가중치 - 어려움</t>
  </si>
  <si>
    <t>어려움 난이도 클리어 시, 점수에 +50% 가중치가 적용된다.</t>
  </si>
  <si>
    <t>라운드별 점수 합산</t>
  </si>
  <si>
    <t>모든 라운드 종료 후, 라운드별 점수가 합산되어 최대 1,200,000점까지 산정된다.</t>
  </si>
  <si>
    <t>기획서: 점수 합산</t>
  </si>
  <si>
    <t>최종 점수 출력</t>
  </si>
  <si>
    <t>라운드 종료 후, 최종 점수가 화면에 출력된다.</t>
  </si>
  <si>
    <t>기획서: 최종 점수</t>
  </si>
  <si>
    <t>예외 처리</t>
  </si>
  <si>
    <t>게임 도중 종료</t>
  </si>
  <si>
    <t>인게임 진행 중 앱 종료 후 재실행 시, 해당 게임이 종료된 상태로 처리된다.</t>
  </si>
  <si>
    <t>기획서: 예외 처리</t>
  </si>
  <si>
    <t>열차 파괴 시 게임 실패</t>
  </si>
  <si>
    <t>열차 파괴 시, 게임 실패 처리되며 결과 화면으로 전환된다.</t>
  </si>
  <si>
    <t>네트워크 단절</t>
  </si>
  <si>
    <t>인게임 진행 중 네트워크 단절 시, 네트워크 연결 안내 팝업이 출력된다.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</si>
</sst>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4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COUNTIF(I10:I145,"Pass")</f>
      </c>
      <c r="K3" t="s">
        <v>4</v>
      </c>
      <c r="L3">
        <f>COUNTIF(I10:I145,"")</f>
      </c>
      <c r="M3" s="3" t="s">
        <v>3</v>
      </c>
      <c r="N3">
        <f>COUNTIF(J10:J145,"Pass")</f>
      </c>
    </row>
    <row r="4" spans="9:14" x14ac:dyDescent="0.25">
      <c r="I4" s="4" t="s">
        <v>5</v>
      </c>
      <c r="J4">
        <f>COUNTIF(I10:I145,"N/T")</f>
      </c>
      <c r="K4" t="s">
        <v>6</v>
      </c>
      <c r="L4">
        <f>COUNTA(I10:I145)-COUNTIF(I10:I145,"")</f>
      </c>
      <c r="M4" s="4" t="s">
        <v>5</v>
      </c>
      <c r="N4">
        <f>COUNTIF(J10:J145,"N/T")</f>
      </c>
    </row>
    <row r="5" spans="9:14" x14ac:dyDescent="0.25">
      <c r="I5" s="5" t="s">
        <v>7</v>
      </c>
      <c r="J5">
        <f>COUNTIF(I10:I145,"Fail")</f>
      </c>
      <c r="K5" t="s">
        <v>8</v>
      </c>
      <c r="L5">
        <v>136</v>
      </c>
      <c r="M5" s="5" t="s">
        <v>7</v>
      </c>
      <c r="N5">
        <f>COUNTIF(J10:J145,"Fail")</f>
      </c>
    </row>
    <row r="6" spans="9:14" x14ac:dyDescent="0.25">
      <c r="I6" s="6" t="s">
        <v>9</v>
      </c>
      <c r="J6">
        <f>COUNTIF(I10:I145,"Block")</f>
      </c>
      <c r="K6" t="s">
        <v>10</v>
      </c>
      <c r="L6" s="7">
        <f>IF(L5=0,0,L4/L5)</f>
      </c>
      <c r="M6" s="6" t="s">
        <v>9</v>
      </c>
      <c r="N6">
        <f>COUNTIF(J10:J145,"Block")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5" t="s">
        <v>31</v>
      </c>
      <c r="D12" s="11"/>
      <c r="E12" s="11"/>
      <c r="F12" s="11"/>
      <c r="G12" s="12" t="s">
        <v>32</v>
      </c>
      <c r="H12" s="13" t="s">
        <v>33</v>
      </c>
      <c r="I12" s="12"/>
      <c r="J12" s="12"/>
      <c r="K12" s="12"/>
      <c r="L12" s="12"/>
      <c r="M12" s="12"/>
      <c r="N12" s="14" t="s">
        <v>28</v>
      </c>
    </row>
    <row r="13" spans="2:14" x14ac:dyDescent="0.25">
      <c r="B13" s="9">
        <v>4</v>
      </c>
      <c r="C13" s="16" t="s">
        <v>34</v>
      </c>
      <c r="D13" s="11"/>
      <c r="E13" s="11"/>
      <c r="F13" s="11"/>
      <c r="G13" s="12" t="s">
        <v>35</v>
      </c>
      <c r="H13" s="13" t="s">
        <v>36</v>
      </c>
      <c r="I13" s="12"/>
      <c r="J13" s="12"/>
      <c r="K13" s="12"/>
      <c r="L13" s="12"/>
      <c r="M13" s="12"/>
      <c r="N13" s="14" t="s">
        <v>28</v>
      </c>
    </row>
    <row r="14" spans="2:14" x14ac:dyDescent="0.25">
      <c r="B14" s="9">
        <v>5</v>
      </c>
      <c r="C14" s="10" t="s">
        <v>22</v>
      </c>
      <c r="D14" s="11"/>
      <c r="E14" s="11"/>
      <c r="F14" s="11" t="s">
        <v>37</v>
      </c>
      <c r="G14" s="12" t="s">
        <v>38</v>
      </c>
      <c r="H14" s="13" t="s">
        <v>39</v>
      </c>
      <c r="I14" s="12"/>
      <c r="J14" s="12"/>
      <c r="K14" s="12"/>
      <c r="L14" s="12"/>
      <c r="M14" s="12"/>
      <c r="N14" s="14" t="s">
        <v>40</v>
      </c>
    </row>
    <row r="15" spans="2:14" x14ac:dyDescent="0.25">
      <c r="B15" s="9">
        <v>6</v>
      </c>
      <c r="C15" s="10" t="s">
        <v>22</v>
      </c>
      <c r="D15" s="11"/>
      <c r="E15" s="11"/>
      <c r="F15" s="11"/>
      <c r="G15" s="12" t="s">
        <v>41</v>
      </c>
      <c r="H15" s="13" t="s">
        <v>42</v>
      </c>
      <c r="I15" s="12"/>
      <c r="J15" s="12"/>
      <c r="K15" s="12"/>
      <c r="L15" s="12"/>
      <c r="M15" s="12"/>
      <c r="N15" s="14" t="s">
        <v>43</v>
      </c>
    </row>
    <row r="16" spans="2:14" x14ac:dyDescent="0.25">
      <c r="B16" s="9">
        <v>7</v>
      </c>
      <c r="C16" s="15" t="s">
        <v>31</v>
      </c>
      <c r="D16" s="11"/>
      <c r="E16" s="11"/>
      <c r="F16" s="11"/>
      <c r="G16" s="12" t="s">
        <v>44</v>
      </c>
      <c r="H16" s="13" t="s">
        <v>45</v>
      </c>
      <c r="I16" s="12"/>
      <c r="J16" s="12"/>
      <c r="K16" s="12"/>
      <c r="L16" s="12"/>
      <c r="M16" s="12"/>
      <c r="N16" s="14" t="s">
        <v>40</v>
      </c>
    </row>
    <row r="17" spans="2:14" x14ac:dyDescent="0.25">
      <c r="B17" s="9">
        <v>8</v>
      </c>
      <c r="C17" s="10" t="s">
        <v>22</v>
      </c>
      <c r="D17" s="11"/>
      <c r="E17" s="11" t="s">
        <v>46</v>
      </c>
      <c r="F17" s="11" t="s">
        <v>47</v>
      </c>
      <c r="G17" s="12" t="s">
        <v>48</v>
      </c>
      <c r="H17" s="13" t="s">
        <v>49</v>
      </c>
      <c r="I17" s="12"/>
      <c r="J17" s="12"/>
      <c r="K17" s="12"/>
      <c r="L17" s="12"/>
      <c r="M17" s="12"/>
      <c r="N17" s="14" t="s">
        <v>50</v>
      </c>
    </row>
    <row r="18" spans="2:14" x14ac:dyDescent="0.25">
      <c r="B18" s="9">
        <v>9</v>
      </c>
      <c r="C18" s="10" t="s">
        <v>22</v>
      </c>
      <c r="D18" s="11"/>
      <c r="E18" s="11"/>
      <c r="F18" s="11"/>
      <c r="G18" s="12" t="s">
        <v>51</v>
      </c>
      <c r="H18" s="13" t="s">
        <v>52</v>
      </c>
      <c r="I18" s="12"/>
      <c r="J18" s="12"/>
      <c r="K18" s="12"/>
      <c r="L18" s="12"/>
      <c r="M18" s="12"/>
      <c r="N18" s="14" t="s">
        <v>53</v>
      </c>
    </row>
    <row r="19" spans="2:14" x14ac:dyDescent="0.25">
      <c r="B19" s="9">
        <v>10</v>
      </c>
      <c r="C19" s="10" t="s">
        <v>22</v>
      </c>
      <c r="D19" s="11"/>
      <c r="E19" s="11"/>
      <c r="F19" s="11" t="s">
        <v>54</v>
      </c>
      <c r="G19" s="12" t="s">
        <v>55</v>
      </c>
      <c r="H19" s="13" t="s">
        <v>56</v>
      </c>
      <c r="I19" s="12"/>
      <c r="J19" s="12"/>
      <c r="K19" s="12"/>
      <c r="L19" s="12"/>
      <c r="M19" s="12"/>
      <c r="N19" s="14" t="s">
        <v>57</v>
      </c>
    </row>
    <row r="20" spans="2:14" x14ac:dyDescent="0.25">
      <c r="B20" s="9">
        <v>11</v>
      </c>
      <c r="C20" s="16" t="s">
        <v>34</v>
      </c>
      <c r="D20" s="11"/>
      <c r="E20" s="11"/>
      <c r="F20" s="11"/>
      <c r="G20" s="12" t="s">
        <v>58</v>
      </c>
      <c r="H20" s="13" t="s">
        <v>59</v>
      </c>
      <c r="I20" s="12"/>
      <c r="J20" s="12"/>
      <c r="K20" s="12"/>
      <c r="L20" s="12"/>
      <c r="M20" s="12"/>
      <c r="N20" s="14" t="s">
        <v>57</v>
      </c>
    </row>
    <row r="21" spans="2:14" x14ac:dyDescent="0.25">
      <c r="B21" s="9">
        <v>12</v>
      </c>
      <c r="C21" s="10" t="s">
        <v>22</v>
      </c>
      <c r="D21" s="11"/>
      <c r="E21" s="11"/>
      <c r="F21" s="11"/>
      <c r="G21" s="12" t="s">
        <v>60</v>
      </c>
      <c r="H21" s="13" t="s">
        <v>61</v>
      </c>
      <c r="I21" s="12"/>
      <c r="J21" s="12"/>
      <c r="K21" s="12"/>
      <c r="L21" s="12"/>
      <c r="M21" s="12"/>
      <c r="N21" s="14" t="s">
        <v>57</v>
      </c>
    </row>
    <row r="22" spans="2:14" x14ac:dyDescent="0.25">
      <c r="B22" s="9">
        <v>13</v>
      </c>
      <c r="C22" s="10" t="s">
        <v>22</v>
      </c>
      <c r="D22" s="11"/>
      <c r="E22" s="11"/>
      <c r="F22" s="11"/>
      <c r="G22" s="12" t="s">
        <v>62</v>
      </c>
      <c r="H22" s="13" t="s">
        <v>63</v>
      </c>
      <c r="I22" s="12"/>
      <c r="J22" s="12"/>
      <c r="K22" s="12"/>
      <c r="L22" s="12"/>
      <c r="M22" s="12"/>
      <c r="N22" s="14" t="s">
        <v>57</v>
      </c>
    </row>
    <row r="23" spans="2:14" x14ac:dyDescent="0.25">
      <c r="B23" s="9">
        <v>14</v>
      </c>
      <c r="C23" s="10" t="s">
        <v>22</v>
      </c>
      <c r="D23" s="11"/>
      <c r="E23" s="11"/>
      <c r="F23" s="11"/>
      <c r="G23" s="12" t="s">
        <v>64</v>
      </c>
      <c r="H23" s="13" t="s">
        <v>65</v>
      </c>
      <c r="I23" s="12"/>
      <c r="J23" s="12"/>
      <c r="K23" s="12"/>
      <c r="L23" s="12"/>
      <c r="M23" s="12"/>
      <c r="N23" s="14" t="s">
        <v>66</v>
      </c>
    </row>
    <row r="24" spans="2:14" x14ac:dyDescent="0.25">
      <c r="B24" s="9">
        <v>15</v>
      </c>
      <c r="C24" s="10" t="s">
        <v>22</v>
      </c>
      <c r="D24" s="11"/>
      <c r="E24" s="11"/>
      <c r="F24" s="11" t="s">
        <v>67</v>
      </c>
      <c r="G24" s="12" t="s">
        <v>68</v>
      </c>
      <c r="H24" s="13" t="s">
        <v>69</v>
      </c>
      <c r="I24" s="12"/>
      <c r="J24" s="12"/>
      <c r="K24" s="12"/>
      <c r="L24" s="12"/>
      <c r="M24" s="12"/>
      <c r="N24" s="14" t="s">
        <v>70</v>
      </c>
    </row>
    <row r="25" spans="2:14" x14ac:dyDescent="0.25">
      <c r="B25" s="9">
        <v>16</v>
      </c>
      <c r="C25" s="10" t="s">
        <v>22</v>
      </c>
      <c r="D25" s="11"/>
      <c r="E25" s="11"/>
      <c r="F25" s="11"/>
      <c r="G25" s="12" t="s">
        <v>71</v>
      </c>
      <c r="H25" s="13" t="s">
        <v>72</v>
      </c>
      <c r="I25" s="12"/>
      <c r="J25" s="12"/>
      <c r="K25" s="12"/>
      <c r="L25" s="12"/>
      <c r="M25" s="12"/>
      <c r="N25" s="14" t="s">
        <v>73</v>
      </c>
    </row>
    <row r="26" spans="2:14" x14ac:dyDescent="0.25">
      <c r="B26" s="9">
        <v>17</v>
      </c>
      <c r="C26" s="10" t="s">
        <v>22</v>
      </c>
      <c r="D26" s="11"/>
      <c r="E26" s="11"/>
      <c r="F26" s="12" t="s">
        <v>74</v>
      </c>
      <c r="G26" s="12" t="s">
        <v>11</v>
      </c>
      <c r="H26" s="13" t="s">
        <v>75</v>
      </c>
      <c r="I26" s="12"/>
      <c r="J26" s="12"/>
      <c r="K26" s="12"/>
      <c r="L26" s="12"/>
      <c r="M26" s="12"/>
      <c r="N26" s="14" t="s">
        <v>50</v>
      </c>
    </row>
    <row r="27" spans="2:14" x14ac:dyDescent="0.25">
      <c r="B27" s="9">
        <v>18</v>
      </c>
      <c r="C27" s="15" t="s">
        <v>31</v>
      </c>
      <c r="D27" s="11"/>
      <c r="E27" s="11"/>
      <c r="F27" s="12" t="s">
        <v>76</v>
      </c>
      <c r="G27" s="12" t="s">
        <v>11</v>
      </c>
      <c r="H27" s="13" t="s">
        <v>77</v>
      </c>
      <c r="I27" s="12"/>
      <c r="J27" s="12"/>
      <c r="K27" s="12"/>
      <c r="L27" s="12"/>
      <c r="M27" s="12"/>
      <c r="N27" s="14" t="s">
        <v>50</v>
      </c>
    </row>
    <row r="28" spans="2:14" x14ac:dyDescent="0.25">
      <c r="B28" s="9">
        <v>19</v>
      </c>
      <c r="C28" s="15" t="s">
        <v>31</v>
      </c>
      <c r="D28" s="11"/>
      <c r="E28" s="11"/>
      <c r="F28" s="11" t="s">
        <v>78</v>
      </c>
      <c r="G28" s="12" t="s">
        <v>11</v>
      </c>
      <c r="H28" s="13" t="s">
        <v>79</v>
      </c>
      <c r="I28" s="12"/>
      <c r="J28" s="12"/>
      <c r="K28" s="12"/>
      <c r="L28" s="12"/>
      <c r="M28" s="12"/>
      <c r="N28" s="14" t="s">
        <v>50</v>
      </c>
    </row>
    <row r="29" spans="2:14" x14ac:dyDescent="0.25">
      <c r="B29" s="9">
        <v>20</v>
      </c>
      <c r="C29" s="15" t="s">
        <v>31</v>
      </c>
      <c r="D29" s="11"/>
      <c r="E29" s="11"/>
      <c r="F29" s="11"/>
      <c r="G29" s="12" t="s">
        <v>80</v>
      </c>
      <c r="H29" s="13" t="s">
        <v>81</v>
      </c>
      <c r="I29" s="12"/>
      <c r="J29" s="12"/>
      <c r="K29" s="12"/>
      <c r="L29" s="12"/>
      <c r="M29" s="12"/>
      <c r="N29" s="14" t="s">
        <v>50</v>
      </c>
    </row>
    <row r="30" spans="2:14" x14ac:dyDescent="0.25">
      <c r="B30" s="9">
        <v>21</v>
      </c>
      <c r="C30" s="15" t="s">
        <v>31</v>
      </c>
      <c r="D30" s="11"/>
      <c r="E30" s="11"/>
      <c r="F30" s="12" t="s">
        <v>54</v>
      </c>
      <c r="G30" s="12" t="s">
        <v>82</v>
      </c>
      <c r="H30" s="13" t="s">
        <v>83</v>
      </c>
      <c r="I30" s="12"/>
      <c r="J30" s="12"/>
      <c r="K30" s="12"/>
      <c r="L30" s="12"/>
      <c r="M30" s="12"/>
      <c r="N30" s="14" t="s">
        <v>57</v>
      </c>
    </row>
    <row r="31" spans="2:14" x14ac:dyDescent="0.25">
      <c r="B31" s="9">
        <v>22</v>
      </c>
      <c r="C31" s="10" t="s">
        <v>22</v>
      </c>
      <c r="D31" s="11"/>
      <c r="E31" s="11" t="s">
        <v>84</v>
      </c>
      <c r="F31" s="12" t="s">
        <v>85</v>
      </c>
      <c r="G31" s="12" t="s">
        <v>11</v>
      </c>
      <c r="H31" s="13" t="s">
        <v>86</v>
      </c>
      <c r="I31" s="12"/>
      <c r="J31" s="12"/>
      <c r="K31" s="12"/>
      <c r="L31" s="12"/>
      <c r="M31" s="12"/>
      <c r="N31" s="14" t="s">
        <v>87</v>
      </c>
    </row>
    <row r="32" spans="2:14" x14ac:dyDescent="0.25">
      <c r="B32" s="9">
        <v>23</v>
      </c>
      <c r="C32" s="10" t="s">
        <v>22</v>
      </c>
      <c r="D32" s="11"/>
      <c r="E32" s="11"/>
      <c r="F32" s="11" t="s">
        <v>88</v>
      </c>
      <c r="G32" s="12" t="s">
        <v>89</v>
      </c>
      <c r="H32" s="13" t="s">
        <v>90</v>
      </c>
      <c r="I32" s="12"/>
      <c r="J32" s="12"/>
      <c r="K32" s="12"/>
      <c r="L32" s="12"/>
      <c r="M32" s="12"/>
      <c r="N32" s="14" t="s">
        <v>91</v>
      </c>
    </row>
    <row r="33" spans="2:14" x14ac:dyDescent="0.25">
      <c r="B33" s="9">
        <v>24</v>
      </c>
      <c r="C33" s="10" t="s">
        <v>22</v>
      </c>
      <c r="D33" s="11"/>
      <c r="E33" s="11"/>
      <c r="F33" s="11"/>
      <c r="G33" s="12" t="s">
        <v>92</v>
      </c>
      <c r="H33" s="13" t="s">
        <v>93</v>
      </c>
      <c r="I33" s="12"/>
      <c r="J33" s="12"/>
      <c r="K33" s="12"/>
      <c r="L33" s="12"/>
      <c r="M33" s="12"/>
      <c r="N33" s="14" t="s">
        <v>91</v>
      </c>
    </row>
    <row r="34" spans="2:14" x14ac:dyDescent="0.25">
      <c r="B34" s="9">
        <v>25</v>
      </c>
      <c r="C34" s="16" t="s">
        <v>34</v>
      </c>
      <c r="D34" s="11"/>
      <c r="E34" s="11"/>
      <c r="F34" s="11" t="s">
        <v>94</v>
      </c>
      <c r="G34" s="12" t="s">
        <v>95</v>
      </c>
      <c r="H34" s="13" t="s">
        <v>96</v>
      </c>
      <c r="I34" s="12"/>
      <c r="J34" s="12"/>
      <c r="K34" s="12"/>
      <c r="L34" s="12"/>
      <c r="M34" s="12"/>
      <c r="N34" s="14" t="s">
        <v>91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97</v>
      </c>
      <c r="H35" s="13" t="s">
        <v>98</v>
      </c>
      <c r="I35" s="12"/>
      <c r="J35" s="12"/>
      <c r="K35" s="12"/>
      <c r="L35" s="12"/>
      <c r="M35" s="12"/>
      <c r="N35" s="14" t="s">
        <v>91</v>
      </c>
    </row>
    <row r="36" spans="2:14" x14ac:dyDescent="0.25">
      <c r="B36" s="9">
        <v>27</v>
      </c>
      <c r="C36" s="15" t="s">
        <v>31</v>
      </c>
      <c r="D36" s="11"/>
      <c r="E36" s="11"/>
      <c r="F36" s="11"/>
      <c r="G36" s="12" t="s">
        <v>99</v>
      </c>
      <c r="H36" s="13" t="s">
        <v>100</v>
      </c>
      <c r="I36" s="12"/>
      <c r="J36" s="12"/>
      <c r="K36" s="12"/>
      <c r="L36" s="12"/>
      <c r="M36" s="12"/>
      <c r="N36" s="14" t="s">
        <v>101</v>
      </c>
    </row>
    <row r="37" spans="2:14" x14ac:dyDescent="0.25">
      <c r="B37" s="9">
        <v>28</v>
      </c>
      <c r="C37" s="16" t="s">
        <v>34</v>
      </c>
      <c r="D37" s="11"/>
      <c r="E37" s="11"/>
      <c r="F37" s="11" t="s">
        <v>102</v>
      </c>
      <c r="G37" s="12" t="s">
        <v>11</v>
      </c>
      <c r="H37" s="13" t="s">
        <v>103</v>
      </c>
      <c r="I37" s="12"/>
      <c r="J37" s="12"/>
      <c r="K37" s="12"/>
      <c r="L37" s="12"/>
      <c r="M37" s="12"/>
      <c r="N37" s="14" t="s">
        <v>104</v>
      </c>
    </row>
    <row r="38" spans="2:14" x14ac:dyDescent="0.25">
      <c r="B38" s="9">
        <v>29</v>
      </c>
      <c r="C38" s="15" t="s">
        <v>31</v>
      </c>
      <c r="D38" s="11"/>
      <c r="E38" s="11"/>
      <c r="F38" s="11"/>
      <c r="G38" s="12" t="s">
        <v>105</v>
      </c>
      <c r="H38" s="13" t="s">
        <v>106</v>
      </c>
      <c r="I38" s="12"/>
      <c r="J38" s="12"/>
      <c r="K38" s="12"/>
      <c r="L38" s="12"/>
      <c r="M38" s="12"/>
      <c r="N38" s="14" t="s">
        <v>107</v>
      </c>
    </row>
    <row r="39" spans="2:14" x14ac:dyDescent="0.25">
      <c r="B39" s="9">
        <v>30</v>
      </c>
      <c r="C39" s="10" t="s">
        <v>22</v>
      </c>
      <c r="D39" s="11"/>
      <c r="E39" s="11"/>
      <c r="F39" s="12" t="s">
        <v>85</v>
      </c>
      <c r="G39" s="12" t="s">
        <v>108</v>
      </c>
      <c r="H39" s="13" t="s">
        <v>109</v>
      </c>
      <c r="I39" s="12"/>
      <c r="J39" s="12"/>
      <c r="K39" s="12"/>
      <c r="L39" s="12"/>
      <c r="M39" s="12"/>
      <c r="N39" s="14" t="s">
        <v>87</v>
      </c>
    </row>
    <row r="40" spans="2:14" x14ac:dyDescent="0.25">
      <c r="B40" s="9">
        <v>31</v>
      </c>
      <c r="C40" s="10" t="s">
        <v>22</v>
      </c>
      <c r="D40" s="11"/>
      <c r="E40" s="11" t="s">
        <v>110</v>
      </c>
      <c r="F40" s="11" t="s">
        <v>111</v>
      </c>
      <c r="G40" s="12" t="s">
        <v>112</v>
      </c>
      <c r="H40" s="13" t="s">
        <v>113</v>
      </c>
      <c r="I40" s="12"/>
      <c r="J40" s="12"/>
      <c r="K40" s="12"/>
      <c r="L40" s="12"/>
      <c r="M40" s="12"/>
      <c r="N40" s="14" t="s">
        <v>114</v>
      </c>
    </row>
    <row r="41" spans="2:14" x14ac:dyDescent="0.25">
      <c r="B41" s="9">
        <v>32</v>
      </c>
      <c r="C41" s="10" t="s">
        <v>22</v>
      </c>
      <c r="D41" s="11"/>
      <c r="E41" s="11"/>
      <c r="F41" s="11"/>
      <c r="G41" s="12" t="s">
        <v>115</v>
      </c>
      <c r="H41" s="13" t="s">
        <v>116</v>
      </c>
      <c r="I41" s="12"/>
      <c r="J41" s="12"/>
      <c r="K41" s="12"/>
      <c r="L41" s="12"/>
      <c r="M41" s="12"/>
      <c r="N41" s="14" t="s">
        <v>114</v>
      </c>
    </row>
    <row r="42" spans="2:14" x14ac:dyDescent="0.25">
      <c r="B42" s="9">
        <v>33</v>
      </c>
      <c r="C42" s="10" t="s">
        <v>22</v>
      </c>
      <c r="D42" s="11"/>
      <c r="E42" s="11"/>
      <c r="F42" s="11" t="s">
        <v>117</v>
      </c>
      <c r="G42" s="12" t="s">
        <v>118</v>
      </c>
      <c r="H42" s="13" t="s">
        <v>119</v>
      </c>
      <c r="I42" s="12"/>
      <c r="J42" s="12"/>
      <c r="K42" s="12"/>
      <c r="L42" s="12"/>
      <c r="M42" s="12"/>
      <c r="N42" s="14" t="s">
        <v>120</v>
      </c>
    </row>
    <row r="43" spans="2:14" x14ac:dyDescent="0.25">
      <c r="B43" s="9">
        <v>34</v>
      </c>
      <c r="C43" s="16" t="s">
        <v>34</v>
      </c>
      <c r="D43" s="11"/>
      <c r="E43" s="11"/>
      <c r="F43" s="11"/>
      <c r="G43" s="12" t="s">
        <v>121</v>
      </c>
      <c r="H43" s="13" t="s">
        <v>122</v>
      </c>
      <c r="I43" s="12"/>
      <c r="J43" s="12"/>
      <c r="K43" s="12"/>
      <c r="L43" s="12"/>
      <c r="M43" s="12"/>
      <c r="N43" s="14" t="s">
        <v>123</v>
      </c>
    </row>
    <row r="44" spans="2:14" x14ac:dyDescent="0.25">
      <c r="B44" s="9">
        <v>35</v>
      </c>
      <c r="C44" s="10" t="s">
        <v>22</v>
      </c>
      <c r="D44" s="11"/>
      <c r="E44" s="11"/>
      <c r="F44" s="11" t="s">
        <v>124</v>
      </c>
      <c r="G44" s="12" t="s">
        <v>125</v>
      </c>
      <c r="H44" s="13" t="s">
        <v>126</v>
      </c>
      <c r="I44" s="12"/>
      <c r="J44" s="12"/>
      <c r="K44" s="12"/>
      <c r="L44" s="12"/>
      <c r="M44" s="12"/>
      <c r="N44" s="14" t="s">
        <v>127</v>
      </c>
    </row>
    <row r="45" spans="2:14" x14ac:dyDescent="0.25">
      <c r="B45" s="9">
        <v>36</v>
      </c>
      <c r="C45" s="10" t="s">
        <v>22</v>
      </c>
      <c r="D45" s="11"/>
      <c r="E45" s="11"/>
      <c r="F45" s="11"/>
      <c r="G45" s="12" t="s">
        <v>128</v>
      </c>
      <c r="H45" s="13" t="s">
        <v>129</v>
      </c>
      <c r="I45" s="12"/>
      <c r="J45" s="12"/>
      <c r="K45" s="12"/>
      <c r="L45" s="12"/>
      <c r="M45" s="12"/>
      <c r="N45" s="14" t="s">
        <v>130</v>
      </c>
    </row>
    <row r="46" spans="2:14" x14ac:dyDescent="0.25">
      <c r="B46" s="9">
        <v>37</v>
      </c>
      <c r="C46" s="16" t="s">
        <v>34</v>
      </c>
      <c r="D46" s="11"/>
      <c r="E46" s="11"/>
      <c r="F46" s="11" t="s">
        <v>131</v>
      </c>
      <c r="G46" s="12" t="s">
        <v>11</v>
      </c>
      <c r="H46" s="13" t="s">
        <v>132</v>
      </c>
      <c r="I46" s="12"/>
      <c r="J46" s="12"/>
      <c r="K46" s="12"/>
      <c r="L46" s="12"/>
      <c r="M46" s="12"/>
      <c r="N46" s="14" t="s">
        <v>104</v>
      </c>
    </row>
    <row r="47" spans="2:14" x14ac:dyDescent="0.25">
      <c r="B47" s="9">
        <v>38</v>
      </c>
      <c r="C47" s="15" t="s">
        <v>31</v>
      </c>
      <c r="D47" s="11"/>
      <c r="E47" s="11"/>
      <c r="F47" s="11"/>
      <c r="G47" s="12" t="s">
        <v>133</v>
      </c>
      <c r="H47" s="13" t="s">
        <v>134</v>
      </c>
      <c r="I47" s="12"/>
      <c r="J47" s="12"/>
      <c r="K47" s="12"/>
      <c r="L47" s="12"/>
      <c r="M47" s="12"/>
      <c r="N47" s="14" t="s">
        <v>135</v>
      </c>
    </row>
    <row r="48" spans="2:14" x14ac:dyDescent="0.25">
      <c r="B48" s="9">
        <v>39</v>
      </c>
      <c r="C48" s="15" t="s">
        <v>31</v>
      </c>
      <c r="D48" s="11"/>
      <c r="E48" s="11"/>
      <c r="F48" s="12" t="s">
        <v>124</v>
      </c>
      <c r="G48" s="12" t="s">
        <v>136</v>
      </c>
      <c r="H48" s="13" t="s">
        <v>137</v>
      </c>
      <c r="I48" s="12"/>
      <c r="J48" s="12"/>
      <c r="K48" s="12"/>
      <c r="L48" s="12"/>
      <c r="M48" s="12"/>
      <c r="N48" s="14" t="s">
        <v>130</v>
      </c>
    </row>
    <row r="49" spans="2:14" x14ac:dyDescent="0.25">
      <c r="B49" s="9">
        <v>40</v>
      </c>
      <c r="C49" s="10" t="s">
        <v>22</v>
      </c>
      <c r="D49" s="11"/>
      <c r="E49" s="11" t="s">
        <v>138</v>
      </c>
      <c r="F49" s="11" t="s">
        <v>139</v>
      </c>
      <c r="G49" s="12" t="s">
        <v>140</v>
      </c>
      <c r="H49" s="13" t="s">
        <v>141</v>
      </c>
      <c r="I49" s="12"/>
      <c r="J49" s="12"/>
      <c r="K49" s="12"/>
      <c r="L49" s="12"/>
      <c r="M49" s="12"/>
      <c r="N49" s="14" t="s">
        <v>142</v>
      </c>
    </row>
    <row r="50" spans="2:14" x14ac:dyDescent="0.25">
      <c r="B50" s="9">
        <v>41</v>
      </c>
      <c r="C50" s="15" t="s">
        <v>31</v>
      </c>
      <c r="D50" s="11"/>
      <c r="E50" s="11"/>
      <c r="F50" s="11"/>
      <c r="G50" s="12" t="s">
        <v>143</v>
      </c>
      <c r="H50" s="13" t="s">
        <v>144</v>
      </c>
      <c r="I50" s="12"/>
      <c r="J50" s="12"/>
      <c r="K50" s="12"/>
      <c r="L50" s="12"/>
      <c r="M50" s="12"/>
      <c r="N50" s="14" t="s">
        <v>145</v>
      </c>
    </row>
    <row r="51" spans="2:14" x14ac:dyDescent="0.25">
      <c r="B51" s="9">
        <v>42</v>
      </c>
      <c r="C51" s="15" t="s">
        <v>31</v>
      </c>
      <c r="D51" s="11"/>
      <c r="E51" s="11"/>
      <c r="F51" s="11"/>
      <c r="G51" s="12" t="s">
        <v>146</v>
      </c>
      <c r="H51" s="13" t="s">
        <v>147</v>
      </c>
      <c r="I51" s="12"/>
      <c r="J51" s="12"/>
      <c r="K51" s="12"/>
      <c r="L51" s="12"/>
      <c r="M51" s="12"/>
      <c r="N51" s="14" t="s">
        <v>145</v>
      </c>
    </row>
    <row r="52" spans="2:14" x14ac:dyDescent="0.25">
      <c r="B52" s="9">
        <v>43</v>
      </c>
      <c r="C52" s="10" t="s">
        <v>22</v>
      </c>
      <c r="D52" s="11"/>
      <c r="E52" s="11"/>
      <c r="F52" s="11" t="s">
        <v>148</v>
      </c>
      <c r="G52" s="12" t="s">
        <v>149</v>
      </c>
      <c r="H52" s="13" t="s">
        <v>150</v>
      </c>
      <c r="I52" s="12"/>
      <c r="J52" s="12"/>
      <c r="K52" s="12"/>
      <c r="L52" s="12"/>
      <c r="M52" s="12"/>
      <c r="N52" s="14" t="s">
        <v>151</v>
      </c>
    </row>
    <row r="53" spans="2:14" x14ac:dyDescent="0.25">
      <c r="B53" s="9">
        <v>44</v>
      </c>
      <c r="C53" s="10" t="s">
        <v>22</v>
      </c>
      <c r="D53" s="11"/>
      <c r="E53" s="11"/>
      <c r="F53" s="11"/>
      <c r="G53" s="12" t="s">
        <v>152</v>
      </c>
      <c r="H53" s="13" t="s">
        <v>153</v>
      </c>
      <c r="I53" s="12"/>
      <c r="J53" s="12"/>
      <c r="K53" s="12"/>
      <c r="L53" s="12"/>
      <c r="M53" s="12"/>
      <c r="N53" s="14" t="s">
        <v>151</v>
      </c>
    </row>
    <row r="54" spans="2:14" x14ac:dyDescent="0.25">
      <c r="B54" s="9">
        <v>45</v>
      </c>
      <c r="C54" s="10" t="s">
        <v>22</v>
      </c>
      <c r="D54" s="11"/>
      <c r="E54" s="11"/>
      <c r="F54" s="11"/>
      <c r="G54" s="12" t="s">
        <v>154</v>
      </c>
      <c r="H54" s="13" t="s">
        <v>155</v>
      </c>
      <c r="I54" s="12"/>
      <c r="J54" s="12"/>
      <c r="K54" s="12"/>
      <c r="L54" s="12"/>
      <c r="M54" s="12"/>
      <c r="N54" s="14" t="s">
        <v>156</v>
      </c>
    </row>
    <row r="55" spans="2:14" x14ac:dyDescent="0.25">
      <c r="B55" s="9">
        <v>46</v>
      </c>
      <c r="C55" s="15" t="s">
        <v>31</v>
      </c>
      <c r="D55" s="11"/>
      <c r="E55" s="11"/>
      <c r="F55" s="11"/>
      <c r="G55" s="12" t="s">
        <v>157</v>
      </c>
      <c r="H55" s="13" t="s">
        <v>158</v>
      </c>
      <c r="I55" s="12"/>
      <c r="J55" s="12"/>
      <c r="K55" s="12"/>
      <c r="L55" s="12"/>
      <c r="M55" s="12"/>
      <c r="N55" s="14" t="s">
        <v>159</v>
      </c>
    </row>
    <row r="56" spans="2:14" x14ac:dyDescent="0.25">
      <c r="B56" s="9">
        <v>47</v>
      </c>
      <c r="C56" s="16" t="s">
        <v>34</v>
      </c>
      <c r="D56" s="11"/>
      <c r="E56" s="11"/>
      <c r="F56" s="11" t="s">
        <v>160</v>
      </c>
      <c r="G56" s="12" t="s">
        <v>161</v>
      </c>
      <c r="H56" s="13" t="s">
        <v>162</v>
      </c>
      <c r="I56" s="12"/>
      <c r="J56" s="12"/>
      <c r="K56" s="12"/>
      <c r="L56" s="12"/>
      <c r="M56" s="12"/>
      <c r="N56" s="14" t="s">
        <v>163</v>
      </c>
    </row>
    <row r="57" spans="2:14" x14ac:dyDescent="0.25">
      <c r="B57" s="9">
        <v>48</v>
      </c>
      <c r="C57" s="10" t="s">
        <v>22</v>
      </c>
      <c r="D57" s="11"/>
      <c r="E57" s="11"/>
      <c r="F57" s="11"/>
      <c r="G57" s="12" t="s">
        <v>164</v>
      </c>
      <c r="H57" s="13" t="s">
        <v>165</v>
      </c>
      <c r="I57" s="12"/>
      <c r="J57" s="12"/>
      <c r="K57" s="12"/>
      <c r="L57" s="12"/>
      <c r="M57" s="12"/>
      <c r="N57" s="14" t="s">
        <v>163</v>
      </c>
    </row>
    <row r="58" spans="2:14" x14ac:dyDescent="0.25">
      <c r="B58" s="9">
        <v>49</v>
      </c>
      <c r="C58" s="10" t="s">
        <v>22</v>
      </c>
      <c r="D58" s="11"/>
      <c r="E58" s="11"/>
      <c r="F58" s="11" t="s">
        <v>166</v>
      </c>
      <c r="G58" s="12" t="s">
        <v>167</v>
      </c>
      <c r="H58" s="13" t="s">
        <v>168</v>
      </c>
      <c r="I58" s="12"/>
      <c r="J58" s="12"/>
      <c r="K58" s="12"/>
      <c r="L58" s="12"/>
      <c r="M58" s="12"/>
      <c r="N58" s="14" t="s">
        <v>169</v>
      </c>
    </row>
    <row r="59" spans="2:14" x14ac:dyDescent="0.25">
      <c r="B59" s="9">
        <v>50</v>
      </c>
      <c r="C59" s="15" t="s">
        <v>31</v>
      </c>
      <c r="D59" s="11"/>
      <c r="E59" s="11"/>
      <c r="F59" s="11"/>
      <c r="G59" s="12" t="s">
        <v>170</v>
      </c>
      <c r="H59" s="13" t="s">
        <v>171</v>
      </c>
      <c r="I59" s="12"/>
      <c r="J59" s="12"/>
      <c r="K59" s="12"/>
      <c r="L59" s="12"/>
      <c r="M59" s="12"/>
      <c r="N59" s="14" t="s">
        <v>172</v>
      </c>
    </row>
    <row r="60" spans="2:14" x14ac:dyDescent="0.25">
      <c r="B60" s="9">
        <v>51</v>
      </c>
      <c r="C60" s="15" t="s">
        <v>31</v>
      </c>
      <c r="D60" s="11"/>
      <c r="E60" s="11"/>
      <c r="F60" s="12" t="s">
        <v>148</v>
      </c>
      <c r="G60" s="12" t="s">
        <v>173</v>
      </c>
      <c r="H60" s="13" t="s">
        <v>174</v>
      </c>
      <c r="I60" s="12"/>
      <c r="J60" s="12"/>
      <c r="K60" s="12"/>
      <c r="L60" s="12"/>
      <c r="M60" s="12"/>
      <c r="N60" s="14" t="s">
        <v>151</v>
      </c>
    </row>
    <row r="61" spans="2:14" x14ac:dyDescent="0.25">
      <c r="B61" s="9">
        <v>52</v>
      </c>
      <c r="C61" s="10" t="s">
        <v>22</v>
      </c>
      <c r="D61" s="11"/>
      <c r="E61" s="11" t="s">
        <v>175</v>
      </c>
      <c r="F61" s="12" t="s">
        <v>139</v>
      </c>
      <c r="G61" s="12" t="s">
        <v>11</v>
      </c>
      <c r="H61" s="13" t="s">
        <v>176</v>
      </c>
      <c r="I61" s="12"/>
      <c r="J61" s="12"/>
      <c r="K61" s="12"/>
      <c r="L61" s="12"/>
      <c r="M61" s="12"/>
      <c r="N61" s="14" t="s">
        <v>177</v>
      </c>
    </row>
    <row r="62" spans="2:14" x14ac:dyDescent="0.25">
      <c r="B62" s="9">
        <v>53</v>
      </c>
      <c r="C62" s="10" t="s">
        <v>22</v>
      </c>
      <c r="D62" s="11"/>
      <c r="E62" s="11"/>
      <c r="F62" s="11" t="s">
        <v>178</v>
      </c>
      <c r="G62" s="12" t="s">
        <v>179</v>
      </c>
      <c r="H62" s="13" t="s">
        <v>180</v>
      </c>
      <c r="I62" s="12"/>
      <c r="J62" s="12"/>
      <c r="K62" s="12"/>
      <c r="L62" s="12"/>
      <c r="M62" s="12"/>
      <c r="N62" s="14" t="s">
        <v>181</v>
      </c>
    </row>
    <row r="63" spans="2:14" x14ac:dyDescent="0.25">
      <c r="B63" s="9">
        <v>54</v>
      </c>
      <c r="C63" s="10" t="s">
        <v>22</v>
      </c>
      <c r="D63" s="11"/>
      <c r="E63" s="11"/>
      <c r="F63" s="11"/>
      <c r="G63" s="12" t="s">
        <v>182</v>
      </c>
      <c r="H63" s="13" t="s">
        <v>183</v>
      </c>
      <c r="I63" s="12"/>
      <c r="J63" s="12"/>
      <c r="K63" s="12"/>
      <c r="L63" s="12"/>
      <c r="M63" s="12"/>
      <c r="N63" s="14" t="s">
        <v>181</v>
      </c>
    </row>
    <row r="64" spans="2:14" x14ac:dyDescent="0.25">
      <c r="B64" s="9">
        <v>55</v>
      </c>
      <c r="C64" s="16" t="s">
        <v>34</v>
      </c>
      <c r="D64" s="11"/>
      <c r="E64" s="11"/>
      <c r="F64" s="12" t="s">
        <v>184</v>
      </c>
      <c r="G64" s="12" t="s">
        <v>11</v>
      </c>
      <c r="H64" s="13" t="s">
        <v>185</v>
      </c>
      <c r="I64" s="12"/>
      <c r="J64" s="12"/>
      <c r="K64" s="12"/>
      <c r="L64" s="12"/>
      <c r="M64" s="12"/>
      <c r="N64" s="14" t="s">
        <v>186</v>
      </c>
    </row>
    <row r="65" spans="2:14" x14ac:dyDescent="0.25">
      <c r="B65" s="9">
        <v>56</v>
      </c>
      <c r="C65" s="10" t="s">
        <v>22</v>
      </c>
      <c r="D65" s="11"/>
      <c r="E65" s="11"/>
      <c r="F65" s="12" t="s">
        <v>187</v>
      </c>
      <c r="G65" s="12" t="s">
        <v>11</v>
      </c>
      <c r="H65" s="13" t="s">
        <v>188</v>
      </c>
      <c r="I65" s="12"/>
      <c r="J65" s="12"/>
      <c r="K65" s="12"/>
      <c r="L65" s="12"/>
      <c r="M65" s="12"/>
      <c r="N65" s="14" t="s">
        <v>189</v>
      </c>
    </row>
    <row r="66" spans="2:14" x14ac:dyDescent="0.25">
      <c r="B66" s="9">
        <v>57</v>
      </c>
      <c r="C66" s="15" t="s">
        <v>31</v>
      </c>
      <c r="D66" s="11"/>
      <c r="E66" s="11"/>
      <c r="F66" s="12" t="s">
        <v>178</v>
      </c>
      <c r="G66" s="12" t="s">
        <v>190</v>
      </c>
      <c r="H66" s="13" t="s">
        <v>191</v>
      </c>
      <c r="I66" s="12"/>
      <c r="J66" s="12"/>
      <c r="K66" s="12"/>
      <c r="L66" s="12"/>
      <c r="M66" s="12"/>
      <c r="N66" s="14" t="s">
        <v>181</v>
      </c>
    </row>
    <row r="67" spans="2:14" x14ac:dyDescent="0.25">
      <c r="B67" s="9">
        <v>58</v>
      </c>
      <c r="C67" s="10" t="s">
        <v>22</v>
      </c>
      <c r="D67" s="11"/>
      <c r="E67" s="11" t="s">
        <v>192</v>
      </c>
      <c r="F67" s="12" t="s">
        <v>193</v>
      </c>
      <c r="G67" s="12" t="s">
        <v>11</v>
      </c>
      <c r="H67" s="13" t="s">
        <v>194</v>
      </c>
      <c r="I67" s="12"/>
      <c r="J67" s="12"/>
      <c r="K67" s="12"/>
      <c r="L67" s="12"/>
      <c r="M67" s="12"/>
      <c r="N67" s="14" t="s">
        <v>195</v>
      </c>
    </row>
    <row r="68" spans="2:14" x14ac:dyDescent="0.25">
      <c r="B68" s="9">
        <v>59</v>
      </c>
      <c r="C68" s="10" t="s">
        <v>22</v>
      </c>
      <c r="D68" s="11"/>
      <c r="E68" s="11"/>
      <c r="F68" s="12" t="s">
        <v>196</v>
      </c>
      <c r="G68" s="12" t="s">
        <v>11</v>
      </c>
      <c r="H68" s="13" t="s">
        <v>197</v>
      </c>
      <c r="I68" s="12"/>
      <c r="J68" s="12"/>
      <c r="K68" s="12"/>
      <c r="L68" s="12"/>
      <c r="M68" s="12"/>
      <c r="N68" s="14" t="s">
        <v>198</v>
      </c>
    </row>
    <row r="69" spans="2:14" x14ac:dyDescent="0.25">
      <c r="B69" s="9">
        <v>60</v>
      </c>
      <c r="C69" s="15" t="s">
        <v>31</v>
      </c>
      <c r="D69" s="11"/>
      <c r="E69" s="11"/>
      <c r="F69" s="12" t="s">
        <v>193</v>
      </c>
      <c r="G69" s="12" t="s">
        <v>199</v>
      </c>
      <c r="H69" s="13" t="s">
        <v>200</v>
      </c>
      <c r="I69" s="12"/>
      <c r="J69" s="12"/>
      <c r="K69" s="12"/>
      <c r="L69" s="12"/>
      <c r="M69" s="12"/>
      <c r="N69" s="14" t="s">
        <v>195</v>
      </c>
    </row>
    <row r="70" spans="2:14" x14ac:dyDescent="0.25">
      <c r="B70" s="9">
        <v>61</v>
      </c>
      <c r="C70" s="10" t="s">
        <v>22</v>
      </c>
      <c r="D70" s="11"/>
      <c r="E70" s="11" t="s">
        <v>201</v>
      </c>
      <c r="F70" s="11" t="s">
        <v>202</v>
      </c>
      <c r="G70" s="12" t="s">
        <v>203</v>
      </c>
      <c r="H70" s="13" t="s">
        <v>204</v>
      </c>
      <c r="I70" s="12"/>
      <c r="J70" s="12"/>
      <c r="K70" s="12"/>
      <c r="L70" s="12"/>
      <c r="M70" s="12"/>
      <c r="N70" s="14" t="s">
        <v>205</v>
      </c>
    </row>
    <row r="71" spans="2:14" x14ac:dyDescent="0.25">
      <c r="B71" s="9">
        <v>62</v>
      </c>
      <c r="C71" s="15" t="s">
        <v>31</v>
      </c>
      <c r="D71" s="11"/>
      <c r="E71" s="11"/>
      <c r="F71" s="11"/>
      <c r="G71" s="12" t="s">
        <v>206</v>
      </c>
      <c r="H71" s="13" t="s">
        <v>207</v>
      </c>
      <c r="I71" s="12"/>
      <c r="J71" s="12"/>
      <c r="K71" s="12"/>
      <c r="L71" s="12"/>
      <c r="M71" s="12"/>
      <c r="N71" s="14" t="s">
        <v>208</v>
      </c>
    </row>
    <row r="72" spans="2:14" x14ac:dyDescent="0.25">
      <c r="B72" s="9">
        <v>63</v>
      </c>
      <c r="C72" s="10" t="s">
        <v>22</v>
      </c>
      <c r="D72" s="11"/>
      <c r="E72" s="11"/>
      <c r="F72" s="11" t="s">
        <v>209</v>
      </c>
      <c r="G72" s="12" t="s">
        <v>210</v>
      </c>
      <c r="H72" s="13" t="s">
        <v>211</v>
      </c>
      <c r="I72" s="12"/>
      <c r="J72" s="12"/>
      <c r="K72" s="12"/>
      <c r="L72" s="12"/>
      <c r="M72" s="12"/>
      <c r="N72" s="14" t="s">
        <v>212</v>
      </c>
    </row>
    <row r="73" spans="2:14" x14ac:dyDescent="0.25">
      <c r="B73" s="9">
        <v>64</v>
      </c>
      <c r="C73" s="15" t="s">
        <v>31</v>
      </c>
      <c r="D73" s="11"/>
      <c r="E73" s="11"/>
      <c r="F73" s="11"/>
      <c r="G73" s="12" t="s">
        <v>213</v>
      </c>
      <c r="H73" s="13" t="s">
        <v>214</v>
      </c>
      <c r="I73" s="12"/>
      <c r="J73" s="12"/>
      <c r="K73" s="12"/>
      <c r="L73" s="12"/>
      <c r="M73" s="12"/>
      <c r="N73" s="14" t="s">
        <v>215</v>
      </c>
    </row>
    <row r="74" spans="2:14" x14ac:dyDescent="0.25">
      <c r="B74" s="9">
        <v>65</v>
      </c>
      <c r="C74" s="15" t="s">
        <v>31</v>
      </c>
      <c r="D74" s="11"/>
      <c r="E74" s="11"/>
      <c r="F74" s="11"/>
      <c r="G74" s="12" t="s">
        <v>216</v>
      </c>
      <c r="H74" s="13" t="s">
        <v>217</v>
      </c>
      <c r="I74" s="12"/>
      <c r="J74" s="12"/>
      <c r="K74" s="12"/>
      <c r="L74" s="12"/>
      <c r="M74" s="12"/>
      <c r="N74" s="14" t="s">
        <v>218</v>
      </c>
    </row>
    <row r="75" spans="2:14" x14ac:dyDescent="0.25">
      <c r="B75" s="9">
        <v>66</v>
      </c>
      <c r="C75" s="10" t="s">
        <v>22</v>
      </c>
      <c r="D75" s="11"/>
      <c r="E75" s="11"/>
      <c r="F75" s="11"/>
      <c r="G75" s="12" t="s">
        <v>219</v>
      </c>
      <c r="H75" s="13" t="s">
        <v>220</v>
      </c>
      <c r="I75" s="12"/>
      <c r="J75" s="12"/>
      <c r="K75" s="12"/>
      <c r="L75" s="12"/>
      <c r="M75" s="12"/>
      <c r="N75" s="14" t="s">
        <v>221</v>
      </c>
    </row>
    <row r="76" spans="2:14" x14ac:dyDescent="0.25">
      <c r="B76" s="9">
        <v>67</v>
      </c>
      <c r="C76" s="15" t="s">
        <v>31</v>
      </c>
      <c r="D76" s="11"/>
      <c r="E76" s="11"/>
      <c r="F76" s="11"/>
      <c r="G76" s="12" t="s">
        <v>222</v>
      </c>
      <c r="H76" s="13" t="s">
        <v>223</v>
      </c>
      <c r="I76" s="12"/>
      <c r="J76" s="12"/>
      <c r="K76" s="12"/>
      <c r="L76" s="12"/>
      <c r="M76" s="12"/>
      <c r="N76" s="14" t="s">
        <v>224</v>
      </c>
    </row>
    <row r="77" spans="2:14" x14ac:dyDescent="0.25">
      <c r="B77" s="9">
        <v>68</v>
      </c>
      <c r="C77" s="10" t="s">
        <v>22</v>
      </c>
      <c r="D77" s="11"/>
      <c r="E77" s="11" t="s">
        <v>225</v>
      </c>
      <c r="F77" s="11" t="s">
        <v>226</v>
      </c>
      <c r="G77" s="12" t="s">
        <v>227</v>
      </c>
      <c r="H77" s="13" t="s">
        <v>228</v>
      </c>
      <c r="I77" s="12"/>
      <c r="J77" s="12"/>
      <c r="K77" s="12"/>
      <c r="L77" s="12"/>
      <c r="M77" s="12"/>
      <c r="N77" s="14" t="s">
        <v>229</v>
      </c>
    </row>
    <row r="78" spans="2:14" x14ac:dyDescent="0.25">
      <c r="B78" s="9">
        <v>69</v>
      </c>
      <c r="C78" s="15" t="s">
        <v>31</v>
      </c>
      <c r="D78" s="11"/>
      <c r="E78" s="11"/>
      <c r="F78" s="11"/>
      <c r="G78" s="12" t="s">
        <v>230</v>
      </c>
      <c r="H78" s="13" t="s">
        <v>231</v>
      </c>
      <c r="I78" s="12"/>
      <c r="J78" s="12"/>
      <c r="K78" s="12"/>
      <c r="L78" s="12"/>
      <c r="M78" s="12"/>
      <c r="N78" s="14" t="s">
        <v>232</v>
      </c>
    </row>
    <row r="79" spans="2:14" x14ac:dyDescent="0.25">
      <c r="B79" s="9">
        <v>70</v>
      </c>
      <c r="C79" s="10" t="s">
        <v>22</v>
      </c>
      <c r="D79" s="11"/>
      <c r="E79" s="11"/>
      <c r="F79" s="11"/>
      <c r="G79" s="12" t="s">
        <v>233</v>
      </c>
      <c r="H79" s="13" t="s">
        <v>234</v>
      </c>
      <c r="I79" s="12"/>
      <c r="J79" s="12"/>
      <c r="K79" s="12"/>
      <c r="L79" s="12"/>
      <c r="M79" s="12"/>
      <c r="N79" s="14" t="s">
        <v>235</v>
      </c>
    </row>
    <row r="80" spans="2:14" x14ac:dyDescent="0.25">
      <c r="B80" s="9">
        <v>71</v>
      </c>
      <c r="C80" s="10" t="s">
        <v>22</v>
      </c>
      <c r="D80" s="11"/>
      <c r="E80" s="11"/>
      <c r="F80" s="11"/>
      <c r="G80" s="12" t="s">
        <v>236</v>
      </c>
      <c r="H80" s="13" t="s">
        <v>237</v>
      </c>
      <c r="I80" s="12"/>
      <c r="J80" s="12"/>
      <c r="K80" s="12"/>
      <c r="L80" s="12"/>
      <c r="M80" s="12"/>
      <c r="N80" s="14" t="s">
        <v>238</v>
      </c>
    </row>
    <row r="81" spans="2:14" x14ac:dyDescent="0.25">
      <c r="B81" s="9">
        <v>72</v>
      </c>
      <c r="C81" s="10" t="s">
        <v>22</v>
      </c>
      <c r="D81" s="11"/>
      <c r="E81" s="11"/>
      <c r="F81" s="11"/>
      <c r="G81" s="12" t="s">
        <v>239</v>
      </c>
      <c r="H81" s="13" t="s">
        <v>240</v>
      </c>
      <c r="I81" s="12"/>
      <c r="J81" s="12"/>
      <c r="K81" s="12"/>
      <c r="L81" s="12"/>
      <c r="M81" s="12"/>
      <c r="N81" s="14" t="s">
        <v>238</v>
      </c>
    </row>
    <row r="82" spans="2:14" x14ac:dyDescent="0.25">
      <c r="B82" s="9">
        <v>73</v>
      </c>
      <c r="C82" s="10" t="s">
        <v>22</v>
      </c>
      <c r="D82" s="11"/>
      <c r="E82" s="11"/>
      <c r="F82" s="11" t="s">
        <v>241</v>
      </c>
      <c r="G82" s="12" t="s">
        <v>242</v>
      </c>
      <c r="H82" s="13" t="s">
        <v>243</v>
      </c>
      <c r="I82" s="12"/>
      <c r="J82" s="12"/>
      <c r="K82" s="12"/>
      <c r="L82" s="12"/>
      <c r="M82" s="12"/>
      <c r="N82" s="14" t="s">
        <v>244</v>
      </c>
    </row>
    <row r="83" spans="2:14" x14ac:dyDescent="0.25">
      <c r="B83" s="9">
        <v>74</v>
      </c>
      <c r="C83" s="10" t="s">
        <v>22</v>
      </c>
      <c r="D83" s="11"/>
      <c r="E83" s="11"/>
      <c r="F83" s="11"/>
      <c r="G83" s="12" t="s">
        <v>245</v>
      </c>
      <c r="H83" s="13" t="s">
        <v>246</v>
      </c>
      <c r="I83" s="12"/>
      <c r="J83" s="12"/>
      <c r="K83" s="12"/>
      <c r="L83" s="12"/>
      <c r="M83" s="12"/>
      <c r="N83" s="14" t="s">
        <v>247</v>
      </c>
    </row>
    <row r="84" spans="2:14" x14ac:dyDescent="0.25">
      <c r="B84" s="9">
        <v>75</v>
      </c>
      <c r="C84" s="10" t="s">
        <v>22</v>
      </c>
      <c r="D84" s="11"/>
      <c r="E84" s="11"/>
      <c r="F84" s="12" t="s">
        <v>248</v>
      </c>
      <c r="G84" s="12" t="s">
        <v>249</v>
      </c>
      <c r="H84" s="13" t="s">
        <v>250</v>
      </c>
      <c r="I84" s="12"/>
      <c r="J84" s="12"/>
      <c r="K84" s="12"/>
      <c r="L84" s="12"/>
      <c r="M84" s="12"/>
      <c r="N84" s="14" t="s">
        <v>251</v>
      </c>
    </row>
    <row r="85" spans="2:14" x14ac:dyDescent="0.25">
      <c r="B85" s="9">
        <v>76</v>
      </c>
      <c r="C85" s="16" t="s">
        <v>34</v>
      </c>
      <c r="D85" s="11"/>
      <c r="E85" s="11"/>
      <c r="F85" s="11" t="s">
        <v>252</v>
      </c>
      <c r="G85" s="12" t="s">
        <v>253</v>
      </c>
      <c r="H85" s="13" t="s">
        <v>254</v>
      </c>
      <c r="I85" s="12"/>
      <c r="J85" s="12"/>
      <c r="K85" s="12"/>
      <c r="L85" s="12"/>
      <c r="M85" s="12"/>
      <c r="N85" s="14" t="s">
        <v>255</v>
      </c>
    </row>
    <row r="86" spans="2:14" x14ac:dyDescent="0.25">
      <c r="B86" s="9">
        <v>77</v>
      </c>
      <c r="C86" s="16" t="s">
        <v>34</v>
      </c>
      <c r="D86" s="11"/>
      <c r="E86" s="11"/>
      <c r="F86" s="11"/>
      <c r="G86" s="12" t="s">
        <v>256</v>
      </c>
      <c r="H86" s="13" t="s">
        <v>257</v>
      </c>
      <c r="I86" s="12"/>
      <c r="J86" s="12"/>
      <c r="K86" s="12"/>
      <c r="L86" s="12"/>
      <c r="M86" s="12"/>
      <c r="N86" s="14" t="s">
        <v>258</v>
      </c>
    </row>
    <row r="87" spans="2:14" x14ac:dyDescent="0.25">
      <c r="B87" s="9">
        <v>78</v>
      </c>
      <c r="C87" s="15" t="s">
        <v>31</v>
      </c>
      <c r="D87" s="11"/>
      <c r="E87" s="11"/>
      <c r="F87" s="11"/>
      <c r="G87" s="12" t="s">
        <v>259</v>
      </c>
      <c r="H87" s="13" t="s">
        <v>260</v>
      </c>
      <c r="I87" s="12"/>
      <c r="J87" s="12"/>
      <c r="K87" s="12"/>
      <c r="L87" s="12"/>
      <c r="M87" s="12"/>
      <c r="N87" s="14" t="s">
        <v>261</v>
      </c>
    </row>
    <row r="88" spans="2:14" x14ac:dyDescent="0.25">
      <c r="B88" s="9">
        <v>79</v>
      </c>
      <c r="C88" s="10" t="s">
        <v>22</v>
      </c>
      <c r="D88" s="11"/>
      <c r="E88" s="11" t="s">
        <v>262</v>
      </c>
      <c r="F88" s="12" t="s">
        <v>263</v>
      </c>
      <c r="G88" s="12" t="s">
        <v>11</v>
      </c>
      <c r="H88" s="13" t="s">
        <v>264</v>
      </c>
      <c r="I88" s="12"/>
      <c r="J88" s="12"/>
      <c r="K88" s="12"/>
      <c r="L88" s="12"/>
      <c r="M88" s="12"/>
      <c r="N88" s="14" t="s">
        <v>265</v>
      </c>
    </row>
    <row r="89" spans="2:14" x14ac:dyDescent="0.25">
      <c r="B89" s="9">
        <v>80</v>
      </c>
      <c r="C89" s="10" t="s">
        <v>22</v>
      </c>
      <c r="D89" s="11"/>
      <c r="E89" s="11"/>
      <c r="F89" s="11" t="s">
        <v>266</v>
      </c>
      <c r="G89" s="12" t="s">
        <v>267</v>
      </c>
      <c r="H89" s="13" t="s">
        <v>268</v>
      </c>
      <c r="I89" s="12"/>
      <c r="J89" s="12"/>
      <c r="K89" s="12"/>
      <c r="L89" s="12"/>
      <c r="M89" s="12"/>
      <c r="N89" s="14" t="s">
        <v>73</v>
      </c>
    </row>
    <row r="90" spans="2:14" x14ac:dyDescent="0.25">
      <c r="B90" s="9">
        <v>81</v>
      </c>
      <c r="C90" s="10" t="s">
        <v>22</v>
      </c>
      <c r="D90" s="11"/>
      <c r="E90" s="11"/>
      <c r="F90" s="11"/>
      <c r="G90" s="12" t="s">
        <v>269</v>
      </c>
      <c r="H90" s="13" t="s">
        <v>270</v>
      </c>
      <c r="I90" s="12"/>
      <c r="J90" s="12"/>
      <c r="K90" s="12"/>
      <c r="L90" s="12"/>
      <c r="M90" s="12"/>
      <c r="N90" s="14" t="s">
        <v>271</v>
      </c>
    </row>
    <row r="91" spans="2:14" x14ac:dyDescent="0.25">
      <c r="B91" s="9">
        <v>82</v>
      </c>
      <c r="C91" s="15" t="s">
        <v>31</v>
      </c>
      <c r="D91" s="11"/>
      <c r="E91" s="11"/>
      <c r="F91" s="11"/>
      <c r="G91" s="12" t="s">
        <v>272</v>
      </c>
      <c r="H91" s="13" t="s">
        <v>273</v>
      </c>
      <c r="I91" s="12"/>
      <c r="J91" s="12"/>
      <c r="K91" s="12"/>
      <c r="L91" s="12"/>
      <c r="M91" s="12"/>
      <c r="N91" s="14" t="s">
        <v>73</v>
      </c>
    </row>
    <row r="92" spans="2:14" x14ac:dyDescent="0.25">
      <c r="B92" s="9">
        <v>83</v>
      </c>
      <c r="C92" s="15" t="s">
        <v>31</v>
      </c>
      <c r="D92" s="11"/>
      <c r="E92" s="11"/>
      <c r="F92" s="12" t="s">
        <v>263</v>
      </c>
      <c r="G92" s="12" t="s">
        <v>274</v>
      </c>
      <c r="H92" s="13" t="s">
        <v>275</v>
      </c>
      <c r="I92" s="12"/>
      <c r="J92" s="12"/>
      <c r="K92" s="12"/>
      <c r="L92" s="12"/>
      <c r="M92" s="12"/>
      <c r="N92" s="14" t="s">
        <v>265</v>
      </c>
    </row>
    <row r="93" spans="2:14" x14ac:dyDescent="0.25">
      <c r="B93" s="9">
        <v>84</v>
      </c>
      <c r="C93" s="10" t="s">
        <v>22</v>
      </c>
      <c r="D93" s="11"/>
      <c r="E93" s="11" t="s">
        <v>276</v>
      </c>
      <c r="F93" s="11" t="s">
        <v>277</v>
      </c>
      <c r="G93" s="12" t="s">
        <v>278</v>
      </c>
      <c r="H93" s="13" t="s">
        <v>279</v>
      </c>
      <c r="I93" s="12"/>
      <c r="J93" s="12"/>
      <c r="K93" s="12"/>
      <c r="L93" s="12"/>
      <c r="M93" s="12"/>
      <c r="N93" s="14" t="s">
        <v>280</v>
      </c>
    </row>
    <row r="94" spans="2:14" x14ac:dyDescent="0.25">
      <c r="B94" s="9">
        <v>85</v>
      </c>
      <c r="C94" s="10" t="s">
        <v>22</v>
      </c>
      <c r="D94" s="11"/>
      <c r="E94" s="11"/>
      <c r="F94" s="11"/>
      <c r="G94" s="12" t="s">
        <v>281</v>
      </c>
      <c r="H94" s="13" t="s">
        <v>282</v>
      </c>
      <c r="I94" s="12"/>
      <c r="J94" s="12"/>
      <c r="K94" s="12"/>
      <c r="L94" s="12"/>
      <c r="M94" s="12"/>
      <c r="N94" s="14" t="s">
        <v>283</v>
      </c>
    </row>
    <row r="95" spans="2:14" x14ac:dyDescent="0.25">
      <c r="B95" s="9">
        <v>86</v>
      </c>
      <c r="C95" s="15" t="s">
        <v>31</v>
      </c>
      <c r="D95" s="11"/>
      <c r="E95" s="11"/>
      <c r="F95" s="11"/>
      <c r="G95" s="12" t="s">
        <v>284</v>
      </c>
      <c r="H95" s="13" t="s">
        <v>285</v>
      </c>
      <c r="I95" s="12"/>
      <c r="J95" s="12"/>
      <c r="K95" s="12"/>
      <c r="L95" s="12"/>
      <c r="M95" s="12"/>
      <c r="N95" s="14" t="s">
        <v>286</v>
      </c>
    </row>
    <row r="96" spans="2:14" x14ac:dyDescent="0.25">
      <c r="B96" s="9">
        <v>87</v>
      </c>
      <c r="C96" s="16" t="s">
        <v>34</v>
      </c>
      <c r="D96" s="11"/>
      <c r="E96" s="11"/>
      <c r="F96" s="11"/>
      <c r="G96" s="12" t="s">
        <v>287</v>
      </c>
      <c r="H96" s="13" t="s">
        <v>288</v>
      </c>
      <c r="I96" s="12"/>
      <c r="J96" s="12"/>
      <c r="K96" s="12"/>
      <c r="L96" s="12"/>
      <c r="M96" s="12"/>
      <c r="N96" s="14" t="s">
        <v>280</v>
      </c>
    </row>
    <row r="97" spans="2:14" x14ac:dyDescent="0.25">
      <c r="B97" s="9">
        <v>88</v>
      </c>
      <c r="C97" s="16" t="s">
        <v>34</v>
      </c>
      <c r="D97" s="11"/>
      <c r="E97" s="11"/>
      <c r="F97" s="11"/>
      <c r="G97" s="12" t="s">
        <v>289</v>
      </c>
      <c r="H97" s="13" t="s">
        <v>290</v>
      </c>
      <c r="I97" s="12"/>
      <c r="J97" s="12"/>
      <c r="K97" s="12"/>
      <c r="L97" s="12"/>
      <c r="M97" s="12"/>
      <c r="N97" s="14" t="s">
        <v>291</v>
      </c>
    </row>
    <row r="98" spans="2:14" x14ac:dyDescent="0.25">
      <c r="B98" s="9">
        <v>89</v>
      </c>
      <c r="C98" s="10" t="s">
        <v>22</v>
      </c>
      <c r="D98" s="11"/>
      <c r="E98" s="11"/>
      <c r="F98" s="11" t="s">
        <v>292</v>
      </c>
      <c r="G98" s="12" t="s">
        <v>293</v>
      </c>
      <c r="H98" s="13" t="s">
        <v>294</v>
      </c>
      <c r="I98" s="12"/>
      <c r="J98" s="12"/>
      <c r="K98" s="12"/>
      <c r="L98" s="12"/>
      <c r="M98" s="12"/>
      <c r="N98" s="14" t="s">
        <v>295</v>
      </c>
    </row>
    <row r="99" spans="2:14" x14ac:dyDescent="0.25">
      <c r="B99" s="9">
        <v>90</v>
      </c>
      <c r="C99" s="15" t="s">
        <v>31</v>
      </c>
      <c r="D99" s="11"/>
      <c r="E99" s="11"/>
      <c r="F99" s="11"/>
      <c r="G99" s="12" t="s">
        <v>296</v>
      </c>
      <c r="H99" s="13" t="s">
        <v>297</v>
      </c>
      <c r="I99" s="12"/>
      <c r="J99" s="12"/>
      <c r="K99" s="12"/>
      <c r="L99" s="12"/>
      <c r="M99" s="12"/>
      <c r="N99" s="14" t="s">
        <v>295</v>
      </c>
    </row>
    <row r="100" spans="2:14" x14ac:dyDescent="0.25">
      <c r="B100" s="9">
        <v>91</v>
      </c>
      <c r="C100" s="10" t="s">
        <v>22</v>
      </c>
      <c r="D100" s="11"/>
      <c r="E100" s="11"/>
      <c r="F100" s="11"/>
      <c r="G100" s="12" t="s">
        <v>298</v>
      </c>
      <c r="H100" s="13" t="s">
        <v>299</v>
      </c>
      <c r="I100" s="12"/>
      <c r="J100" s="12"/>
      <c r="K100" s="12"/>
      <c r="L100" s="12"/>
      <c r="M100" s="12"/>
      <c r="N100" s="14" t="s">
        <v>300</v>
      </c>
    </row>
    <row r="101" spans="2:14" x14ac:dyDescent="0.25">
      <c r="B101" s="9">
        <v>92</v>
      </c>
      <c r="C101" s="10" t="s">
        <v>22</v>
      </c>
      <c r="D101" s="11"/>
      <c r="E101" s="11"/>
      <c r="F101" s="11" t="s">
        <v>301</v>
      </c>
      <c r="G101" s="12" t="s">
        <v>302</v>
      </c>
      <c r="H101" s="13" t="s">
        <v>303</v>
      </c>
      <c r="I101" s="12"/>
      <c r="J101" s="12"/>
      <c r="K101" s="12"/>
      <c r="L101" s="12"/>
      <c r="M101" s="12"/>
      <c r="N101" s="14" t="s">
        <v>304</v>
      </c>
    </row>
    <row r="102" spans="2:14" x14ac:dyDescent="0.25">
      <c r="B102" s="9">
        <v>93</v>
      </c>
      <c r="C102" s="10" t="s">
        <v>22</v>
      </c>
      <c r="D102" s="11"/>
      <c r="E102" s="11"/>
      <c r="F102" s="11"/>
      <c r="G102" s="12" t="s">
        <v>305</v>
      </c>
      <c r="H102" s="13" t="s">
        <v>306</v>
      </c>
      <c r="I102" s="12"/>
      <c r="J102" s="12"/>
      <c r="K102" s="12"/>
      <c r="L102" s="12"/>
      <c r="M102" s="12"/>
      <c r="N102" s="14" t="s">
        <v>304</v>
      </c>
    </row>
    <row r="103" spans="2:14" x14ac:dyDescent="0.25">
      <c r="B103" s="9">
        <v>94</v>
      </c>
      <c r="C103" s="10" t="s">
        <v>22</v>
      </c>
      <c r="D103" s="11"/>
      <c r="E103" s="11"/>
      <c r="F103" s="11"/>
      <c r="G103" s="12" t="s">
        <v>307</v>
      </c>
      <c r="H103" s="13" t="s">
        <v>308</v>
      </c>
      <c r="I103" s="12"/>
      <c r="J103" s="12"/>
      <c r="K103" s="12"/>
      <c r="L103" s="12"/>
      <c r="M103" s="12"/>
      <c r="N103" s="14" t="s">
        <v>304</v>
      </c>
    </row>
    <row r="104" spans="2:14" x14ac:dyDescent="0.25">
      <c r="B104" s="9">
        <v>95</v>
      </c>
      <c r="C104" s="10" t="s">
        <v>22</v>
      </c>
      <c r="D104" s="11"/>
      <c r="E104" s="11"/>
      <c r="F104" s="11"/>
      <c r="G104" s="12" t="s">
        <v>309</v>
      </c>
      <c r="H104" s="13" t="s">
        <v>310</v>
      </c>
      <c r="I104" s="12"/>
      <c r="J104" s="12"/>
      <c r="K104" s="12"/>
      <c r="L104" s="12"/>
      <c r="M104" s="12"/>
      <c r="N104" s="14" t="s">
        <v>304</v>
      </c>
    </row>
    <row r="105" spans="2:14" x14ac:dyDescent="0.25">
      <c r="B105" s="9">
        <v>96</v>
      </c>
      <c r="C105" s="10" t="s">
        <v>22</v>
      </c>
      <c r="D105" s="11"/>
      <c r="E105" s="11"/>
      <c r="F105" s="11"/>
      <c r="G105" s="12" t="s">
        <v>311</v>
      </c>
      <c r="H105" s="13" t="s">
        <v>312</v>
      </c>
      <c r="I105" s="12"/>
      <c r="J105" s="12"/>
      <c r="K105" s="12"/>
      <c r="L105" s="12"/>
      <c r="M105" s="12"/>
      <c r="N105" s="14" t="s">
        <v>304</v>
      </c>
    </row>
    <row r="106" spans="2:14" x14ac:dyDescent="0.25">
      <c r="B106" s="9">
        <v>97</v>
      </c>
      <c r="C106" s="15" t="s">
        <v>31</v>
      </c>
      <c r="D106" s="11"/>
      <c r="E106" s="11"/>
      <c r="F106" s="11"/>
      <c r="G106" s="12" t="s">
        <v>313</v>
      </c>
      <c r="H106" s="13" t="s">
        <v>314</v>
      </c>
      <c r="I106" s="12"/>
      <c r="J106" s="12"/>
      <c r="K106" s="12"/>
      <c r="L106" s="12"/>
      <c r="M106" s="12"/>
      <c r="N106" s="14" t="s">
        <v>304</v>
      </c>
    </row>
    <row r="107" spans="2:14" x14ac:dyDescent="0.25">
      <c r="B107" s="9">
        <v>98</v>
      </c>
      <c r="C107" s="15" t="s">
        <v>31</v>
      </c>
      <c r="D107" s="11"/>
      <c r="E107" s="11"/>
      <c r="F107" s="11"/>
      <c r="G107" s="12" t="s">
        <v>315</v>
      </c>
      <c r="H107" s="13" t="s">
        <v>316</v>
      </c>
      <c r="I107" s="12"/>
      <c r="J107" s="12"/>
      <c r="K107" s="12"/>
      <c r="L107" s="12"/>
      <c r="M107" s="12"/>
      <c r="N107" s="14" t="s">
        <v>304</v>
      </c>
    </row>
    <row r="108" spans="2:14" x14ac:dyDescent="0.25">
      <c r="B108" s="9">
        <v>99</v>
      </c>
      <c r="C108" s="15" t="s">
        <v>31</v>
      </c>
      <c r="D108" s="11"/>
      <c r="E108" s="11"/>
      <c r="F108" s="11"/>
      <c r="G108" s="12" t="s">
        <v>317</v>
      </c>
      <c r="H108" s="13" t="s">
        <v>318</v>
      </c>
      <c r="I108" s="12"/>
      <c r="J108" s="12"/>
      <c r="K108" s="12"/>
      <c r="L108" s="12"/>
      <c r="M108" s="12"/>
      <c r="N108" s="14" t="s">
        <v>304</v>
      </c>
    </row>
    <row r="109" spans="2:14" x14ac:dyDescent="0.25">
      <c r="B109" s="9">
        <v>100</v>
      </c>
      <c r="C109" s="15" t="s">
        <v>31</v>
      </c>
      <c r="D109" s="11"/>
      <c r="E109" s="11"/>
      <c r="F109" s="11"/>
      <c r="G109" s="12" t="s">
        <v>319</v>
      </c>
      <c r="H109" s="13" t="s">
        <v>320</v>
      </c>
      <c r="I109" s="12"/>
      <c r="J109" s="12"/>
      <c r="K109" s="12"/>
      <c r="L109" s="12"/>
      <c r="M109" s="12"/>
      <c r="N109" s="14" t="s">
        <v>304</v>
      </c>
    </row>
    <row r="110" spans="2:14" x14ac:dyDescent="0.25">
      <c r="B110" s="9">
        <v>101</v>
      </c>
      <c r="C110" s="10" t="s">
        <v>22</v>
      </c>
      <c r="D110" s="11"/>
      <c r="E110" s="11" t="s">
        <v>321</v>
      </c>
      <c r="F110" s="12" t="s">
        <v>322</v>
      </c>
      <c r="G110" s="12" t="s">
        <v>11</v>
      </c>
      <c r="H110" s="13" t="s">
        <v>323</v>
      </c>
      <c r="I110" s="12"/>
      <c r="J110" s="12"/>
      <c r="K110" s="12"/>
      <c r="L110" s="12"/>
      <c r="M110" s="12"/>
      <c r="N110" s="14" t="s">
        <v>324</v>
      </c>
    </row>
    <row r="111" spans="2:14" x14ac:dyDescent="0.25">
      <c r="B111" s="9">
        <v>102</v>
      </c>
      <c r="C111" s="10" t="s">
        <v>22</v>
      </c>
      <c r="D111" s="11"/>
      <c r="E111" s="11"/>
      <c r="F111" s="12" t="s">
        <v>325</v>
      </c>
      <c r="G111" s="12" t="s">
        <v>11</v>
      </c>
      <c r="H111" s="13" t="s">
        <v>326</v>
      </c>
      <c r="I111" s="12"/>
      <c r="J111" s="12"/>
      <c r="K111" s="12"/>
      <c r="L111" s="12"/>
      <c r="M111" s="12"/>
      <c r="N111" s="14" t="s">
        <v>327</v>
      </c>
    </row>
    <row r="112" spans="2:14" x14ac:dyDescent="0.25">
      <c r="B112" s="9">
        <v>103</v>
      </c>
      <c r="C112" s="10" t="s">
        <v>22</v>
      </c>
      <c r="D112" s="11"/>
      <c r="E112" s="11"/>
      <c r="F112" s="12" t="s">
        <v>328</v>
      </c>
      <c r="G112" s="12" t="s">
        <v>11</v>
      </c>
      <c r="H112" s="13" t="s">
        <v>329</v>
      </c>
      <c r="I112" s="12"/>
      <c r="J112" s="12"/>
      <c r="K112" s="12"/>
      <c r="L112" s="12"/>
      <c r="M112" s="12"/>
      <c r="N112" s="14" t="s">
        <v>330</v>
      </c>
    </row>
    <row r="113" spans="2:14" x14ac:dyDescent="0.25">
      <c r="B113" s="9">
        <v>104</v>
      </c>
      <c r="C113" s="10" t="s">
        <v>22</v>
      </c>
      <c r="D113" s="11"/>
      <c r="E113" s="11"/>
      <c r="F113" s="12" t="s">
        <v>322</v>
      </c>
      <c r="G113" s="12" t="s">
        <v>331</v>
      </c>
      <c r="H113" s="13" t="s">
        <v>332</v>
      </c>
      <c r="I113" s="12"/>
      <c r="J113" s="12"/>
      <c r="K113" s="12"/>
      <c r="L113" s="12"/>
      <c r="M113" s="12"/>
      <c r="N113" s="14" t="s">
        <v>333</v>
      </c>
    </row>
    <row r="114" spans="2:14" x14ac:dyDescent="0.25">
      <c r="B114" s="9">
        <v>105</v>
      </c>
      <c r="C114" s="15" t="s">
        <v>31</v>
      </c>
      <c r="D114" s="11"/>
      <c r="E114" s="11"/>
      <c r="F114" s="12" t="s">
        <v>334</v>
      </c>
      <c r="G114" s="12" t="s">
        <v>11</v>
      </c>
      <c r="H114" s="13" t="s">
        <v>335</v>
      </c>
      <c r="I114" s="12"/>
      <c r="J114" s="12"/>
      <c r="K114" s="12"/>
      <c r="L114" s="12"/>
      <c r="M114" s="12"/>
      <c r="N114" s="14" t="s">
        <v>336</v>
      </c>
    </row>
    <row r="115" spans="2:14" x14ac:dyDescent="0.25">
      <c r="B115" s="9">
        <v>106</v>
      </c>
      <c r="C115" s="15" t="s">
        <v>31</v>
      </c>
      <c r="D115" s="11"/>
      <c r="E115" s="11"/>
      <c r="F115" s="12" t="s">
        <v>322</v>
      </c>
      <c r="G115" s="12" t="s">
        <v>337</v>
      </c>
      <c r="H115" s="13" t="s">
        <v>338</v>
      </c>
      <c r="I115" s="12"/>
      <c r="J115" s="12"/>
      <c r="K115" s="12"/>
      <c r="L115" s="12"/>
      <c r="M115" s="12"/>
      <c r="N115" s="14" t="s">
        <v>339</v>
      </c>
    </row>
    <row r="116" spans="2:14" x14ac:dyDescent="0.25">
      <c r="B116" s="9">
        <v>107</v>
      </c>
      <c r="C116" s="10" t="s">
        <v>22</v>
      </c>
      <c r="D116" s="11"/>
      <c r="E116" s="11" t="s">
        <v>340</v>
      </c>
      <c r="F116" s="12" t="s">
        <v>341</v>
      </c>
      <c r="G116" s="12" t="s">
        <v>11</v>
      </c>
      <c r="H116" s="13" t="s">
        <v>342</v>
      </c>
      <c r="I116" s="12"/>
      <c r="J116" s="12"/>
      <c r="K116" s="12"/>
      <c r="L116" s="12"/>
      <c r="M116" s="12"/>
      <c r="N116" s="14" t="s">
        <v>343</v>
      </c>
    </row>
    <row r="117" spans="2:14" x14ac:dyDescent="0.25">
      <c r="B117" s="9">
        <v>108</v>
      </c>
      <c r="C117" s="10" t="s">
        <v>22</v>
      </c>
      <c r="D117" s="11"/>
      <c r="E117" s="11"/>
      <c r="F117" s="12" t="s">
        <v>344</v>
      </c>
      <c r="G117" s="12" t="s">
        <v>11</v>
      </c>
      <c r="H117" s="13" t="s">
        <v>345</v>
      </c>
      <c r="I117" s="12"/>
      <c r="J117" s="12"/>
      <c r="K117" s="12"/>
      <c r="L117" s="12"/>
      <c r="M117" s="12"/>
      <c r="N117" s="14" t="s">
        <v>343</v>
      </c>
    </row>
    <row r="118" spans="2:14" x14ac:dyDescent="0.25">
      <c r="B118" s="9">
        <v>109</v>
      </c>
      <c r="C118" s="16" t="s">
        <v>34</v>
      </c>
      <c r="D118" s="11"/>
      <c r="E118" s="11"/>
      <c r="F118" s="12" t="s">
        <v>346</v>
      </c>
      <c r="G118" s="12" t="s">
        <v>11</v>
      </c>
      <c r="H118" s="13" t="s">
        <v>347</v>
      </c>
      <c r="I118" s="12"/>
      <c r="J118" s="12"/>
      <c r="K118" s="12"/>
      <c r="L118" s="12"/>
      <c r="M118" s="12"/>
      <c r="N118" s="14" t="s">
        <v>348</v>
      </c>
    </row>
    <row r="119" spans="2:14" x14ac:dyDescent="0.25">
      <c r="B119" s="9">
        <v>110</v>
      </c>
      <c r="C119" s="16" t="s">
        <v>34</v>
      </c>
      <c r="D119" s="11"/>
      <c r="E119" s="11"/>
      <c r="F119" s="11" t="s">
        <v>349</v>
      </c>
      <c r="G119" s="12" t="s">
        <v>350</v>
      </c>
      <c r="H119" s="13" t="s">
        <v>351</v>
      </c>
      <c r="I119" s="12"/>
      <c r="J119" s="12"/>
      <c r="K119" s="12"/>
      <c r="L119" s="12"/>
      <c r="M119" s="12"/>
      <c r="N119" s="14" t="s">
        <v>352</v>
      </c>
    </row>
    <row r="120" spans="2:14" x14ac:dyDescent="0.25">
      <c r="B120" s="9">
        <v>111</v>
      </c>
      <c r="C120" s="10" t="s">
        <v>22</v>
      </c>
      <c r="D120" s="11"/>
      <c r="E120" s="11"/>
      <c r="F120" s="11"/>
      <c r="G120" s="12" t="s">
        <v>353</v>
      </c>
      <c r="H120" s="13" t="s">
        <v>354</v>
      </c>
      <c r="I120" s="12"/>
      <c r="J120" s="12"/>
      <c r="K120" s="12"/>
      <c r="L120" s="12"/>
      <c r="M120" s="12"/>
      <c r="N120" s="14" t="s">
        <v>355</v>
      </c>
    </row>
    <row r="121" spans="2:14" x14ac:dyDescent="0.25">
      <c r="B121" s="9">
        <v>112</v>
      </c>
      <c r="C121" s="10" t="s">
        <v>22</v>
      </c>
      <c r="D121" s="11"/>
      <c r="E121" s="11"/>
      <c r="F121" s="11" t="s">
        <v>356</v>
      </c>
      <c r="G121" s="12" t="s">
        <v>11</v>
      </c>
      <c r="H121" s="13" t="s">
        <v>357</v>
      </c>
      <c r="I121" s="12"/>
      <c r="J121" s="12"/>
      <c r="K121" s="12"/>
      <c r="L121" s="12"/>
      <c r="M121" s="12"/>
      <c r="N121" s="14" t="s">
        <v>343</v>
      </c>
    </row>
    <row r="122" spans="2:14" x14ac:dyDescent="0.25">
      <c r="B122" s="9">
        <v>113</v>
      </c>
      <c r="C122" s="10" t="s">
        <v>22</v>
      </c>
      <c r="D122" s="11"/>
      <c r="E122" s="11"/>
      <c r="F122" s="11"/>
      <c r="G122" s="12" t="s">
        <v>358</v>
      </c>
      <c r="H122" s="13" t="s">
        <v>359</v>
      </c>
      <c r="I122" s="12"/>
      <c r="J122" s="12"/>
      <c r="K122" s="12"/>
      <c r="L122" s="12"/>
      <c r="M122" s="12"/>
      <c r="N122" s="14" t="s">
        <v>343</v>
      </c>
    </row>
    <row r="123" spans="2:14" x14ac:dyDescent="0.25">
      <c r="B123" s="9">
        <v>114</v>
      </c>
      <c r="C123" s="15" t="s">
        <v>31</v>
      </c>
      <c r="D123" s="11"/>
      <c r="E123" s="11"/>
      <c r="F123" s="12" t="s">
        <v>349</v>
      </c>
      <c r="G123" s="12" t="s">
        <v>360</v>
      </c>
      <c r="H123" s="13" t="s">
        <v>361</v>
      </c>
      <c r="I123" s="12"/>
      <c r="J123" s="12"/>
      <c r="K123" s="12"/>
      <c r="L123" s="12"/>
      <c r="M123" s="12"/>
      <c r="N123" s="14" t="s">
        <v>352</v>
      </c>
    </row>
    <row r="124" spans="2:14" x14ac:dyDescent="0.25">
      <c r="B124" s="9">
        <v>115</v>
      </c>
      <c r="C124" s="10" t="s">
        <v>22</v>
      </c>
      <c r="D124" s="11"/>
      <c r="E124" s="11" t="s">
        <v>362</v>
      </c>
      <c r="F124" s="11" t="s">
        <v>363</v>
      </c>
      <c r="G124" s="12" t="s">
        <v>364</v>
      </c>
      <c r="H124" s="13" t="s">
        <v>365</v>
      </c>
      <c r="I124" s="12"/>
      <c r="J124" s="12"/>
      <c r="K124" s="12"/>
      <c r="L124" s="12"/>
      <c r="M124" s="12"/>
      <c r="N124" s="14" t="s">
        <v>366</v>
      </c>
    </row>
    <row r="125" spans="2:14" x14ac:dyDescent="0.25">
      <c r="B125" s="9">
        <v>116</v>
      </c>
      <c r="C125" s="10" t="s">
        <v>22</v>
      </c>
      <c r="D125" s="11"/>
      <c r="E125" s="11"/>
      <c r="F125" s="11"/>
      <c r="G125" s="12" t="s">
        <v>367</v>
      </c>
      <c r="H125" s="13" t="s">
        <v>368</v>
      </c>
      <c r="I125" s="12"/>
      <c r="J125" s="12"/>
      <c r="K125" s="12"/>
      <c r="L125" s="12"/>
      <c r="M125" s="12"/>
      <c r="N125" s="14" t="s">
        <v>366</v>
      </c>
    </row>
    <row r="126" spans="2:14" x14ac:dyDescent="0.25">
      <c r="B126" s="9">
        <v>117</v>
      </c>
      <c r="C126" s="15" t="s">
        <v>31</v>
      </c>
      <c r="D126" s="11"/>
      <c r="E126" s="11"/>
      <c r="F126" s="11"/>
      <c r="G126" s="12" t="s">
        <v>369</v>
      </c>
      <c r="H126" s="13" t="s">
        <v>370</v>
      </c>
      <c r="I126" s="12"/>
      <c r="J126" s="12"/>
      <c r="K126" s="12"/>
      <c r="L126" s="12"/>
      <c r="M126" s="12"/>
      <c r="N126" s="14" t="s">
        <v>366</v>
      </c>
    </row>
    <row r="127" spans="2:14" x14ac:dyDescent="0.25">
      <c r="B127" s="9">
        <v>118</v>
      </c>
      <c r="C127" s="10" t="s">
        <v>22</v>
      </c>
      <c r="D127" s="11"/>
      <c r="E127" s="11"/>
      <c r="F127" s="11" t="s">
        <v>371</v>
      </c>
      <c r="G127" s="12" t="s">
        <v>372</v>
      </c>
      <c r="H127" s="13" t="s">
        <v>373</v>
      </c>
      <c r="I127" s="12"/>
      <c r="J127" s="12"/>
      <c r="K127" s="12"/>
      <c r="L127" s="12"/>
      <c r="M127" s="12"/>
      <c r="N127" s="14" t="s">
        <v>374</v>
      </c>
    </row>
    <row r="128" spans="2:14" x14ac:dyDescent="0.25">
      <c r="B128" s="9">
        <v>119</v>
      </c>
      <c r="C128" s="10" t="s">
        <v>22</v>
      </c>
      <c r="D128" s="11"/>
      <c r="E128" s="11"/>
      <c r="F128" s="11"/>
      <c r="G128" s="12" t="s">
        <v>375</v>
      </c>
      <c r="H128" s="13" t="s">
        <v>376</v>
      </c>
      <c r="I128" s="12"/>
      <c r="J128" s="12"/>
      <c r="K128" s="12"/>
      <c r="L128" s="12"/>
      <c r="M128" s="12"/>
      <c r="N128" s="14" t="s">
        <v>374</v>
      </c>
    </row>
    <row r="129" spans="2:14" x14ac:dyDescent="0.25">
      <c r="B129" s="9">
        <v>120</v>
      </c>
      <c r="C129" s="15" t="s">
        <v>31</v>
      </c>
      <c r="D129" s="11"/>
      <c r="E129" s="11"/>
      <c r="F129" s="11"/>
      <c r="G129" s="12" t="s">
        <v>377</v>
      </c>
      <c r="H129" s="13" t="s">
        <v>378</v>
      </c>
      <c r="I129" s="12"/>
      <c r="J129" s="12"/>
      <c r="K129" s="12"/>
      <c r="L129" s="12"/>
      <c r="M129" s="12"/>
      <c r="N129" s="14" t="s">
        <v>374</v>
      </c>
    </row>
    <row r="130" spans="2:14" x14ac:dyDescent="0.25">
      <c r="B130" s="9">
        <v>121</v>
      </c>
      <c r="C130" s="10" t="s">
        <v>22</v>
      </c>
      <c r="D130" s="11"/>
      <c r="E130" s="11"/>
      <c r="F130" s="11" t="s">
        <v>379</v>
      </c>
      <c r="G130" s="12" t="s">
        <v>380</v>
      </c>
      <c r="H130" s="13" t="s">
        <v>381</v>
      </c>
      <c r="I130" s="12"/>
      <c r="J130" s="12"/>
      <c r="K130" s="12"/>
      <c r="L130" s="12"/>
      <c r="M130" s="12"/>
      <c r="N130" s="14" t="s">
        <v>382</v>
      </c>
    </row>
    <row r="131" spans="2:14" x14ac:dyDescent="0.25">
      <c r="B131" s="9">
        <v>122</v>
      </c>
      <c r="C131" s="10" t="s">
        <v>22</v>
      </c>
      <c r="D131" s="11"/>
      <c r="E131" s="11"/>
      <c r="F131" s="11"/>
      <c r="G131" s="12" t="s">
        <v>383</v>
      </c>
      <c r="H131" s="13" t="s">
        <v>384</v>
      </c>
      <c r="I131" s="12"/>
      <c r="J131" s="12"/>
      <c r="K131" s="12"/>
      <c r="L131" s="12"/>
      <c r="M131" s="12"/>
      <c r="N131" s="14" t="s">
        <v>382</v>
      </c>
    </row>
    <row r="132" spans="2:14" x14ac:dyDescent="0.25">
      <c r="B132" s="9">
        <v>123</v>
      </c>
      <c r="C132" s="15" t="s">
        <v>31</v>
      </c>
      <c r="D132" s="11"/>
      <c r="E132" s="11"/>
      <c r="F132" s="11"/>
      <c r="G132" s="12" t="s">
        <v>385</v>
      </c>
      <c r="H132" s="13" t="s">
        <v>386</v>
      </c>
      <c r="I132" s="12"/>
      <c r="J132" s="12"/>
      <c r="K132" s="12"/>
      <c r="L132" s="12"/>
      <c r="M132" s="12"/>
      <c r="N132" s="14" t="s">
        <v>382</v>
      </c>
    </row>
    <row r="133" spans="2:14" x14ac:dyDescent="0.25">
      <c r="B133" s="9">
        <v>124</v>
      </c>
      <c r="C133" s="10" t="s">
        <v>22</v>
      </c>
      <c r="D133" s="11"/>
      <c r="E133" s="11" t="s">
        <v>387</v>
      </c>
      <c r="F133" s="12" t="s">
        <v>388</v>
      </c>
      <c r="G133" s="12" t="s">
        <v>11</v>
      </c>
      <c r="H133" s="13" t="s">
        <v>389</v>
      </c>
      <c r="I133" s="12"/>
      <c r="J133" s="12"/>
      <c r="K133" s="12"/>
      <c r="L133" s="12"/>
      <c r="M133" s="12"/>
      <c r="N133" s="14" t="s">
        <v>390</v>
      </c>
    </row>
    <row r="134" spans="2:14" x14ac:dyDescent="0.25">
      <c r="B134" s="9">
        <v>125</v>
      </c>
      <c r="C134" s="10" t="s">
        <v>22</v>
      </c>
      <c r="D134" s="11"/>
      <c r="E134" s="11"/>
      <c r="F134" s="12" t="s">
        <v>391</v>
      </c>
      <c r="G134" s="12" t="s">
        <v>11</v>
      </c>
      <c r="H134" s="13" t="s">
        <v>392</v>
      </c>
      <c r="I134" s="12"/>
      <c r="J134" s="12"/>
      <c r="K134" s="12"/>
      <c r="L134" s="12"/>
      <c r="M134" s="12"/>
      <c r="N134" s="14" t="s">
        <v>390</v>
      </c>
    </row>
    <row r="135" spans="2:14" x14ac:dyDescent="0.25">
      <c r="B135" s="9">
        <v>126</v>
      </c>
      <c r="C135" s="15" t="s">
        <v>31</v>
      </c>
      <c r="D135" s="11"/>
      <c r="E135" s="11"/>
      <c r="F135" s="12" t="s">
        <v>393</v>
      </c>
      <c r="G135" s="12" t="s">
        <v>11</v>
      </c>
      <c r="H135" s="13" t="s">
        <v>394</v>
      </c>
      <c r="I135" s="12"/>
      <c r="J135" s="12"/>
      <c r="K135" s="12"/>
      <c r="L135" s="12"/>
      <c r="M135" s="12"/>
      <c r="N135" s="14" t="s">
        <v>395</v>
      </c>
    </row>
    <row r="136" spans="2:14" x14ac:dyDescent="0.25">
      <c r="B136" s="9">
        <v>127</v>
      </c>
      <c r="C136" s="15" t="s">
        <v>31</v>
      </c>
      <c r="D136" s="11"/>
      <c r="E136" s="11"/>
      <c r="F136" s="12" t="s">
        <v>388</v>
      </c>
      <c r="G136" s="12" t="s">
        <v>396</v>
      </c>
      <c r="H136" s="13" t="s">
        <v>397</v>
      </c>
      <c r="I136" s="12"/>
      <c r="J136" s="12"/>
      <c r="K136" s="12"/>
      <c r="L136" s="12"/>
      <c r="M136" s="12"/>
      <c r="N136" s="14" t="s">
        <v>390</v>
      </c>
    </row>
    <row r="137" spans="2:14" x14ac:dyDescent="0.25">
      <c r="B137" s="9">
        <v>128</v>
      </c>
      <c r="C137" s="16" t="s">
        <v>34</v>
      </c>
      <c r="D137" s="11"/>
      <c r="E137" s="11" t="s">
        <v>398</v>
      </c>
      <c r="F137" s="11" t="s">
        <v>399</v>
      </c>
      <c r="G137" s="12" t="s">
        <v>400</v>
      </c>
      <c r="H137" s="13" t="s">
        <v>401</v>
      </c>
      <c r="I137" s="12"/>
      <c r="J137" s="12"/>
      <c r="K137" s="12"/>
      <c r="L137" s="12"/>
      <c r="M137" s="12"/>
      <c r="N137" s="14" t="s">
        <v>402</v>
      </c>
    </row>
    <row r="138" spans="2:14" x14ac:dyDescent="0.25">
      <c r="B138" s="9">
        <v>129</v>
      </c>
      <c r="C138" s="10" t="s">
        <v>22</v>
      </c>
      <c r="D138" s="11"/>
      <c r="E138" s="11"/>
      <c r="F138" s="11"/>
      <c r="G138" s="12" t="s">
        <v>403</v>
      </c>
      <c r="H138" s="13" t="s">
        <v>404</v>
      </c>
      <c r="I138" s="12"/>
      <c r="J138" s="12"/>
      <c r="K138" s="12"/>
      <c r="L138" s="12"/>
      <c r="M138" s="12"/>
      <c r="N138" s="14" t="s">
        <v>405</v>
      </c>
    </row>
    <row r="139" spans="2:14" x14ac:dyDescent="0.25">
      <c r="B139" s="9">
        <v>130</v>
      </c>
      <c r="C139" s="10" t="s">
        <v>22</v>
      </c>
      <c r="D139" s="11"/>
      <c r="E139" s="11"/>
      <c r="F139" s="11"/>
      <c r="G139" s="12" t="s">
        <v>406</v>
      </c>
      <c r="H139" s="13" t="s">
        <v>407</v>
      </c>
      <c r="I139" s="12"/>
      <c r="J139" s="12"/>
      <c r="K139" s="12"/>
      <c r="L139" s="12"/>
      <c r="M139" s="12"/>
      <c r="N139" s="14" t="s">
        <v>405</v>
      </c>
    </row>
    <row r="140" spans="2:14" x14ac:dyDescent="0.25">
      <c r="B140" s="9">
        <v>131</v>
      </c>
      <c r="C140" s="10" t="s">
        <v>22</v>
      </c>
      <c r="D140" s="11"/>
      <c r="E140" s="11"/>
      <c r="F140" s="11"/>
      <c r="G140" s="12" t="s">
        <v>408</v>
      </c>
      <c r="H140" s="13" t="s">
        <v>409</v>
      </c>
      <c r="I140" s="12"/>
      <c r="J140" s="12"/>
      <c r="K140" s="12"/>
      <c r="L140" s="12"/>
      <c r="M140" s="12"/>
      <c r="N140" s="14" t="s">
        <v>405</v>
      </c>
    </row>
    <row r="141" spans="2:14" x14ac:dyDescent="0.25">
      <c r="B141" s="9">
        <v>132</v>
      </c>
      <c r="C141" s="10" t="s">
        <v>22</v>
      </c>
      <c r="D141" s="11"/>
      <c r="E141" s="11"/>
      <c r="F141" s="12" t="s">
        <v>410</v>
      </c>
      <c r="G141" s="12" t="s">
        <v>11</v>
      </c>
      <c r="H141" s="13" t="s">
        <v>411</v>
      </c>
      <c r="I141" s="12"/>
      <c r="J141" s="12"/>
      <c r="K141" s="12"/>
      <c r="L141" s="12"/>
      <c r="M141" s="12"/>
      <c r="N141" s="14" t="s">
        <v>412</v>
      </c>
    </row>
    <row r="142" spans="2:14" x14ac:dyDescent="0.25">
      <c r="B142" s="9">
        <v>133</v>
      </c>
      <c r="C142" s="15" t="s">
        <v>31</v>
      </c>
      <c r="D142" s="11"/>
      <c r="E142" s="11"/>
      <c r="F142" s="12" t="s">
        <v>413</v>
      </c>
      <c r="G142" s="12" t="s">
        <v>11</v>
      </c>
      <c r="H142" s="13" t="s">
        <v>414</v>
      </c>
      <c r="I142" s="12"/>
      <c r="J142" s="12"/>
      <c r="K142" s="12"/>
      <c r="L142" s="12"/>
      <c r="M142" s="12"/>
      <c r="N142" s="14" t="s">
        <v>415</v>
      </c>
    </row>
    <row r="143" spans="2:14" x14ac:dyDescent="0.25">
      <c r="B143" s="9">
        <v>134</v>
      </c>
      <c r="C143" s="10" t="s">
        <v>22</v>
      </c>
      <c r="D143" s="11"/>
      <c r="E143" s="11" t="s">
        <v>416</v>
      </c>
      <c r="F143" s="12" t="s">
        <v>417</v>
      </c>
      <c r="G143" s="12" t="s">
        <v>11</v>
      </c>
      <c r="H143" s="13" t="s">
        <v>418</v>
      </c>
      <c r="I143" s="12"/>
      <c r="J143" s="12"/>
      <c r="K143" s="12"/>
      <c r="L143" s="12"/>
      <c r="M143" s="12"/>
      <c r="N143" s="14" t="s">
        <v>419</v>
      </c>
    </row>
    <row r="144" spans="2:14" x14ac:dyDescent="0.25">
      <c r="B144" s="9">
        <v>135</v>
      </c>
      <c r="C144" s="16" t="s">
        <v>34</v>
      </c>
      <c r="D144" s="11"/>
      <c r="E144" s="11"/>
      <c r="F144" s="12" t="s">
        <v>420</v>
      </c>
      <c r="G144" s="12" t="s">
        <v>11</v>
      </c>
      <c r="H144" s="13" t="s">
        <v>421</v>
      </c>
      <c r="I144" s="12"/>
      <c r="J144" s="12"/>
      <c r="K144" s="12"/>
      <c r="L144" s="12"/>
      <c r="M144" s="12"/>
      <c r="N144" s="14" t="s">
        <v>104</v>
      </c>
    </row>
    <row r="145" spans="2:14" x14ac:dyDescent="0.25">
      <c r="B145" s="9">
        <v>136</v>
      </c>
      <c r="C145" s="15" t="s">
        <v>31</v>
      </c>
      <c r="D145" s="11"/>
      <c r="E145" s="11"/>
      <c r="F145" s="12" t="s">
        <v>422</v>
      </c>
      <c r="G145" s="12" t="s">
        <v>11</v>
      </c>
      <c r="H145" s="13" t="s">
        <v>423</v>
      </c>
      <c r="I145" s="12"/>
      <c r="J145" s="12"/>
      <c r="K145" s="12"/>
      <c r="L145" s="12"/>
      <c r="M145" s="12"/>
      <c r="N145" s="14" t="s">
        <v>419</v>
      </c>
    </row>
  </sheetData>
  <mergeCells count="51">
    <mergeCell ref="D10:D145"/>
    <mergeCell ref="E10:E16"/>
    <mergeCell ref="F10:F13"/>
    <mergeCell ref="F14:F16"/>
    <mergeCell ref="E17:E30"/>
    <mergeCell ref="F17:F18"/>
    <mergeCell ref="F19:F23"/>
    <mergeCell ref="F24:F25"/>
    <mergeCell ref="F28:F29"/>
    <mergeCell ref="E31:E39"/>
    <mergeCell ref="F32:F33"/>
    <mergeCell ref="F34:F36"/>
    <mergeCell ref="F37:F38"/>
    <mergeCell ref="E40:E48"/>
    <mergeCell ref="F40:F41"/>
    <mergeCell ref="F42:F43"/>
    <mergeCell ref="F44:F45"/>
    <mergeCell ref="F46:F47"/>
    <mergeCell ref="E49:E60"/>
    <mergeCell ref="F49:F51"/>
    <mergeCell ref="F52:F55"/>
    <mergeCell ref="F56:F57"/>
    <mergeCell ref="F58:F59"/>
    <mergeCell ref="E61:E66"/>
    <mergeCell ref="F62:F63"/>
    <mergeCell ref="E67:E69"/>
    <mergeCell ref="E70:E76"/>
    <mergeCell ref="F70:F71"/>
    <mergeCell ref="F72:F76"/>
    <mergeCell ref="E77:E87"/>
    <mergeCell ref="F77:F81"/>
    <mergeCell ref="F82:F83"/>
    <mergeCell ref="F85:F87"/>
    <mergeCell ref="E88:E92"/>
    <mergeCell ref="F89:F91"/>
    <mergeCell ref="E93:E109"/>
    <mergeCell ref="F93:F97"/>
    <mergeCell ref="F98:F100"/>
    <mergeCell ref="F101:F109"/>
    <mergeCell ref="E110:E115"/>
    <mergeCell ref="E116:E123"/>
    <mergeCell ref="F119:F120"/>
    <mergeCell ref="F121:F122"/>
    <mergeCell ref="E124:E132"/>
    <mergeCell ref="F124:F126"/>
    <mergeCell ref="F127:F129"/>
    <mergeCell ref="F130:F132"/>
    <mergeCell ref="E133:E136"/>
    <mergeCell ref="E137:E142"/>
    <mergeCell ref="F137:F140"/>
    <mergeCell ref="E143:E145"/>
  </mergeCells>
  <dataValidations count="1">
    <dataValidation type="list" allowBlank="1" showErrorMessage="1" errorTitle="잘못된 값" error="Pass, Fail, N/T, Block 중 하나를 선택하세요." sqref="I10:J145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꿈세계를 지켜라 인게임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2026-05-12T08:19:35Z</dcterms:created>
  <dcterms:modified xsi:type="dcterms:W3CDTF">2026-05-12T08:19:35Z</dcterms:modified>
</cp:coreProperties>
</file>