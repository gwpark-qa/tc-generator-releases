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레이드모드 개선(1차)" state="visible" r:id="rId4"/>
  </sheets>
  <calcPr calcId="171027"/>
</workbook>
</file>

<file path=xl/sharedStrings.xml><?xml version="1.0" encoding="utf-8"?>
<sst xmlns="http://schemas.openxmlformats.org/spreadsheetml/2006/main" count="556" uniqueCount="198">
  <si>
    <t>(C)레이드모드 개선(1차)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</si>
  <si>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</si>
  <si>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</si>
  <si>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</si>
  <si>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</si>
  <si>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</si>
  <si>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</si>
  <si>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</si>
  <si>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</si>
  <si>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</si>
  <si>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</si>
  <si>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</si>
  <si>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</si>
  <si>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</si>
  <si>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</si>
  <si>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</si>
  <si>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</si>
  <si>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</si>
  <si>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</si>
  <si>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</si>
  <si>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</si>
  <si>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</si>
  <si>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</si>
  <si>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진입 경로</t>
  </si>
  <si>
    <t>탑 레벨 메뉴</t>
  </si>
  <si>
    <t>메인 화면에서 햄버거 버튼 터치 시, 탑 레벨 화면으로 이동된다.</t>
  </si>
  <si>
    <t>참고 화면: 탑 레벨 진입 화면</t>
  </si>
  <si>
    <t>탑 레벨 화면 진입 시, 좌측에 '탑 레벨', '성장', '도전' 카테고리 탭이 출력된다.</t>
  </si>
  <si>
    <t>성장 탭 선택 시, 성장 던전/레이드 모드/탑의 균열/어비스 던전 메뉴 리스트가 출력된다.</t>
  </si>
  <si>
    <t>각 콘텐츠 카드에 입장 횟수가 N/N 형식으로 출력된다. (성장 던전 300/300, 레이드 모드 5/5, 탑의 균열 2/2, 어비스 던전 1/1)</t>
  </si>
  <si>
    <t>Normal</t>
  </si>
  <si>
    <t>신규 콘텐츠 또는 미수령 보상이 존재할 경우, 해당 콘텐츠 카드에 알림 dot이 출력된다.</t>
  </si>
  <si>
    <t>현재 시즌의 추천 속성이 존재할 경우, 해당 콘텐츠 카드에 추천 속성 아이콘이 출력된다.</t>
  </si>
  <si>
    <t>Critical</t>
  </si>
  <si>
    <t>성장 탭에서 레이드 모드 카드 터치 시, 레이드 모드 메인 화면으로 이동된다.</t>
  </si>
  <si>
    <t>탑 레벨 화면 좌측 상단의 뒤로가기(&lt;) 버튼 터치 시, 메인 화면으로 이동된다.</t>
  </si>
  <si>
    <t>레이드 로비</t>
  </si>
  <si>
    <t>레이드 모드 메인 화면</t>
  </si>
  <si>
    <t>레이드 모드 메인 화면 진입 시, 상단에 '레이드 모드' 타이틀이 출력된다.</t>
  </si>
  <si>
    <t>참고 화면: 레이드 모드 메인 화면</t>
  </si>
  <si>
    <t>레이드 모드 메인 화면 좌측 상단의 뒤로가기(&lt;) 버튼 터치 시, 탑 레벨 화면으로 이동된다.</t>
  </si>
  <si>
    <t>싱글/멀티 전환 토글</t>
  </si>
  <si>
    <t>레이드 모드 메인 화면 상단에 싱글/멀티 전환 토글 버튼이 출력된다.</t>
  </si>
  <si>
    <t>레이드 모드 메인 화면 최초 진입 시, 토글의 기본값은 싱글로 활성화되어 출력된다.</t>
  </si>
  <si>
    <t>토글에서 멀티 선택 시, 멀티 모드의 화면으로 전환되어 출력된다.</t>
  </si>
  <si>
    <t>멀티 모드 활성화 상태에서 토글의 싱글 선택 시, 싱글 모드의 화면으로 전환되어 출력된다.</t>
  </si>
  <si>
    <t>보스 정보 표시</t>
  </si>
  <si>
    <t>현재 선택된 단계의 보스 포트레이트가 화면에 출력된다.</t>
  </si>
  <si>
    <t>현재 선택된 보스의 명칭과 이름이 화면에 출력된다.</t>
  </si>
  <si>
    <t>현재 선택된 보스의 등장 스테이지 배경 이미지가 화면에 출력된다.</t>
  </si>
  <si>
    <t>현재 선택된 보스의 주요 드랍 보상 정보로 최대 3종의 슈퍼에픽 장비 세트가 출력된다.</t>
  </si>
  <si>
    <t>데이터 테이블에서 '인기' 태그가 지정된 슈퍼에픽 장비는 아이템 우선 위치에 '인기' 태그와 함께 출력된다.</t>
  </si>
  <si>
    <t>주요 드랍 보상 영역의 장비 아이템 터치 시, 해당 장비의 세트 정보 툴팁이 출력된다.</t>
  </si>
  <si>
    <t>보스/난이도 변경</t>
  </si>
  <si>
    <t>보스 변경</t>
  </si>
  <si>
    <t>보스 정보 영역의 좌측 화살표 버튼 터치 시, 이전 순서의 보스로 변경되어 출력된다.</t>
  </si>
  <si>
    <t>참고 화면: 보스 변경 팝업</t>
  </si>
  <si>
    <t>보스 정보 영역의 우측 화살표 버튼 터치 시, 다음 순서의 보스로 변경되어 출력된다.</t>
  </si>
  <si>
    <t>보스 변경 시, 변경된 보스에 대응되는 6종 고정 보스 중 하나의 정보로 화면이 갱신되어 출력된다.</t>
  </si>
  <si>
    <t>난이도 단계 변경</t>
  </si>
  <si>
    <t>난이도 변경 버튼 터치 시, 보스/난이도 변경 팝업이 출력된다.</t>
  </si>
  <si>
    <t>보스/난이도 변경 팝업에 1단계부터 마지막 단계까지의 단계 버튼이 출력된다.</t>
  </si>
  <si>
    <t>각 단계 버튼에 해당 난이도의 입장 전투력이 출력된다.</t>
  </si>
  <si>
    <t>이전 단계를 클리어하지 않은 단계의 버튼에 자물쇠 아이콘이 출력된다.</t>
  </si>
  <si>
    <t>자물쇠 아이콘이 표시된 잠긴 단계 버튼은 터치되지 않는다.</t>
  </si>
  <si>
    <t>단계 버튼 터치 시, 해당 단계로 변경되어 화면 정보가 갱신되어 출력된다.</t>
  </si>
  <si>
    <t>특정 보스의 N단계를 클리어한 상태에서 다른 보스 진입 시, 해당 보스의 N단계까지의 잠금이 동일하게 해제된 상태로 출력된다.</t>
  </si>
  <si>
    <t>참고 화면: 보스 변경 팝업 (보스간 단계 클리어 정보 공유)</t>
  </si>
  <si>
    <t>해당 단계의 추천 속성 정보가 화면에 출력된다.</t>
  </si>
  <si>
    <t>해당 단계의 추천 속성에 맞는 캐릭터 보유 시, 추천 속성 버프 정보가 출력된다.</t>
  </si>
  <si>
    <t>해당 단계에 적용되는 제약 조건(규약) 정보가 화면에 출력된다.</t>
  </si>
  <si>
    <t>참고 화면: 보스 변경 팝업, map_info.regulations</t>
  </si>
  <si>
    <t>보스/난이도 변경 팝업이 출력된 상태에서 변경 버튼 재터치 또는 팝업 외부 영역 터치 시, 변경 팝업이 닫힌다.</t>
  </si>
  <si>
    <t>빠른 난이도 변경</t>
  </si>
  <si>
    <t>빠른 난이도 변경 버튼 터치 시, 다음 난이도로 즉시 변경되어 출력된다.</t>
  </si>
  <si>
    <t>이전 난이도를 클리어하지 않은 경우, 빠른 난이도 변경 버튼이 비활성화 상태로 출력된다.</t>
  </si>
  <si>
    <t>이전 난이도를 클리어하지 않은 상태에서 빠른 난이도 변경 버튼 터치 시, '이전 난이도를 클리어하여 도전할 수 있습니다.' Toast 메시지가 출력된다.</t>
  </si>
  <si>
    <t>참고 화면: 레이드 모드 메인 화면 (Sui.strings.single_boss_challenge.locked)</t>
  </si>
  <si>
    <t>마지막 난이도에 도달하여 다음 난이도가 존재하지 않는 경우, 빠른 난이도 변경 버튼 터치 시 '이후 난이도가 존재하지 않습니다.' Toast 메시지가 출력된다.</t>
  </si>
  <si>
    <t>참고 화면: 레이드 모드 메인 화면 (Sui.strings.last_difficulty.next)</t>
  </si>
  <si>
    <t>멀티 모드에서 호스트 유저가 아닌 상태로 빠른 난이도 변경 버튼 터치 시, '호스트 유저인 경우만 사용 가능합니다.' Toast 메시지가 출력된다.</t>
  </si>
  <si>
    <t>참고 화면: 레이드 모드 메인 화면 (Sui.strings.equipment.dungeon.host)</t>
  </si>
  <si>
    <t>보상 정보</t>
  </si>
  <si>
    <t>현재 선택된 보스 및 난이도에 등장하는 보상 정보가 보상 영역에 출력된다.</t>
  </si>
  <si>
    <t>보상 상세 팝업</t>
  </si>
  <si>
    <t>보상 정보 영역 터치 시, 보상 상세 팝업이 출력된다.</t>
  </si>
  <si>
    <t>보상 상세 팝업 진입 시, 기본값으로 현재 선택된 보스의 정보가 출력된다.</t>
  </si>
  <si>
    <t>참고 화면: 보상 상세 팝업</t>
  </si>
  <si>
    <t>보상 상세 팝업 상단의 보스 변경 버튼 터치 시, 보스가 변경되어 해당 보스의 보상 정보로 갱신된다.</t>
  </si>
  <si>
    <t>보상 상세 팝업의 좌우 난이도 탭 터치 시, 해당 난이도의 보상 정보로 갱신되어 출력된다.</t>
  </si>
  <si>
    <t>보상 상세 팝업에 클리어 시 지급되는 기본 보상 정보가 출력된다.</t>
  </si>
  <si>
    <t>보상 상세 팝업에 클리어 시 지정 확률로 드랍되는 변동 보상 정보가 출력된다.</t>
  </si>
  <si>
    <t>보상 상세 팝업의 닫기(X) 버튼 터치 시, 팝업이 닫힌다.</t>
  </si>
  <si>
    <t>PLAY 버튼</t>
  </si>
  <si>
    <t>PLAY 버튼 터치 시, 설정된 티켓이 차감되며 인게임 로딩 화면으로 이동된다.</t>
  </si>
  <si>
    <t>이전 난이도를 클리어하지 않은 단계에서 PLAY 버튼 터치 시, '이전 난이도를 클리어하여 도전할 수 있습니다.' Toast 메시지가 출력된다.</t>
  </si>
  <si>
    <t>입장 전투력이 부족한 상태에서 PLAY 버튼 터치 시, 해당 난이도의 진입이 차단된다.</t>
  </si>
  <si>
    <t>티켓 개수 설정 팝업</t>
  </si>
  <si>
    <t>PLAY 버튼 옆 설정 버튼 터치 시, 티켓 개수 설정 팝업이 출력된다.</t>
  </si>
  <si>
    <t>참고 화면: 티켓 개수 설정 팝업</t>
  </si>
  <si>
    <t>티켓 개수 설정 팝업 진입 시, 기본 설정값은 1장으로 출력된다.</t>
  </si>
  <si>
    <t>티켓 개수 설정 팝업의 +/- 버튼 터치 시, 티켓 사용 개수가 1장 단위로 증감되어 출력된다.</t>
  </si>
  <si>
    <t>패스 미구매 상태에서는 티켓 개수가 최대 3장까지 설정 가능하다.</t>
  </si>
  <si>
    <t>패스 구매 상태에서는 티켓 개수가 최대 6장까지 설정 가능하다.</t>
  </si>
  <si>
    <t>티켓 개수 설정 팝업에서 확인하기 버튼 터치 시, 설정한 티켓 개수가 적용되어 팝업이 닫힌다.</t>
  </si>
  <si>
    <t>제거 기능 검증</t>
  </si>
  <si>
    <t>레이드 모드 메인 화면에서 일반 레이드 랭킹 진입 버튼이 출력되지 않는다.</t>
  </si>
  <si>
    <t>참고 화면: 레이드 모드 메인 화면 (제거 기능)</t>
  </si>
  <si>
    <t>레이드 모드 메인 화���에서 시즌 변경 관련 UI(로테이션 보스 변경, 시즌 정산, 휴지기)가 출력되지 않는다.</t>
  </si>
  <si>
    <t>멀티 플레이 (2인 지인 초대)</t>
  </si>
  <si>
    <t>멀티 모드 활성화 시, 매칭 기능 없이 지인 초대 형태의 멀티 플레이 화면이 출력된다.</t>
  </si>
  <si>
    <t>참고 화면: 레이드 모드 메인 화면(멀티)</t>
  </si>
  <si>
    <t>멀티 플레이의 최대 인원이 2인으로 제한되어 출력된다.</t>
  </si>
  <si>
    <t>멀티 모드 화면 하단에 채팅창이 출력되며, '메시지를 입력하세요…' 안내 문구가 출력된다.</t>
  </si>
  <si>
    <t>멀티 모드에서 친구 초대 슬롯 터치 시, 지인 초대 화면이 출력된다.</t>
  </si>
  <si>
    <t>레이드 클리어 결과창</t>
  </si>
  <si>
    <t>인게임 보상 드랍 연출</t>
  </si>
  <si>
    <t>보스 처치 직후, 보스 위치에 보상이 드랍되는 연출이 약 3초간 재생된다.</t>
  </si>
  <si>
    <t>참고 화면: 인게임 드랍 연출 (4컷 시퀀스)</t>
  </si>
  <si>
    <t>보상 드랍 시, 드랍되는 아이템의 등급에 맞는 연출이 재생된다. (커먼/레어/에픽/슈퍼에픽/유니크)</t>
  </si>
  <si>
    <t>신규 아이템 type(설계도, 장비조각) 드랍 시, 해당 type 전용 연출이 재생된다.</t>
  </si>
  <si>
    <t>장비 조각 드랍 시, 등급별로 통합된 이펙트가 재생된다.</t>
  </si>
  <si>
    <t>참고 화면: 인게임 드랍 연출 (이펙트 요청)</t>
  </si>
  <si>
    <t>보상 드랍 연출 종료 후, COMPLETED! 텍스트와 클리어 연출이 출력된다.</t>
  </si>
  <si>
    <t>CLEAR 결과 화면</t>
  </si>
  <si>
    <t>결과 정보 표시</t>
  </si>
  <si>
    <t>보스 처치 후 결과 화면 진입 시, 'CLEAR' 타이틀이 화면 상단 중앙에 출력된다.</t>
  </si>
  <si>
    <t>참고 화면: CLEAR 결과 화면</t>
  </si>
  <si>
    <t>결과 화면에 해당 플레이의 클리어 소요 시간이 분:초.센티초 형식으로 출력된다. (예: 00:08.84)</t>
  </si>
  <si>
    <t>결과 화면 우측 상단에 라운드 진행 정보(예: 4/5)가 출력된다.</t>
  </si>
  <si>
    <t>결과 화면 중앙에 클리어 캐릭터의 일러스트가 출력된다.</t>
  </si>
  <si>
    <t>획득 아이템 패널</t>
  </si>
  <si>
    <t>결과 화면 우측 패널에 보스 처치 후 획득한 아이템 목록이 출력된다.</t>
  </si>
  <si>
    <t>획득 아이템 패널에 12종 이내의 아이템 표시 시, 스크롤 없이 한 화면에 출력된다.</t>
  </si>
  <si>
    <t>획득 아이템 12종 초과 시, 획득 아이템 패널이 스크롤 가능한 리스트로 출력된다.</t>
  </si>
  <si>
    <t>획득 아이템 패널에 장비, 잠재력 항아리, 설계도, 조각, 연금 항아리가 분류되어 출력된다.</t>
  </si>
  <si>
    <t>획득 아이템 패널의 아이템 셀 터치 시, 해당 아이템의 툴팁이 출력된다.</t>
  </si>
  <si>
    <t>참고 화면: CLEAR 결과 화면 (item_cell)</t>
  </si>
  <si>
    <t>하단 버튼</t>
  </si>
  <si>
    <t>CLEAR 결과 화면 하단에 나가기 버튼이 출력된다.</t>
  </si>
  <si>
    <t>나가기 버튼 터치 시, 레이드 모드 메인 화면으로 이동된다.</t>
  </si>
  <si>
    <t>CLEAR 결과 화면에 다시하기 버튼이 출력되지 않는다.</t>
  </si>
  <si>
    <t>참고 화면: CLEAR 결과 화면 (제거 기능, 티켓 배율로 대체)</t>
  </si>
  <si>
    <t>CLEAR 결과 화면에 트로피 포인트 및 트로피 시스템 관련 UI가 출력되지 않는다.</t>
  </si>
  <si>
    <t>참고 화면: CLEAR 결과 화면 (제거 기능)</t>
  </si>
  <si>
    <t>CLEAR 결과 화면에 트로피 상자 기능이 출력되지 않는다.</t>
  </si>
  <si>
    <t>CLEAR 결과 화면 및 인게임에서 코코방울의 축복 기능 및 포인트가 출력되지 않는다.</t>
  </si>
  <si>
    <t>인게임에서 코코방울 연출 및 코코 상자 연출이 재생되지 않는다.</t>
  </si>
  <si>
    <t>참고 화면: 인게임 드랍 연출 (제거 기능)</t>
  </si>
  <si>
    <t>CLEAR 결과 화면에 무지개 상자 지급 이벤트 관련 UI가 출력되지 않는다.</t>
  </si>
  <si>
    <t>제작소</t>
  </si>
  <si>
    <t>제작소 진입</t>
  </si>
  <si>
    <t>메인 화면에서 햄버거 버튼 터치 후 제작소 메뉴 선택 시, 제작소 화면으로 이동된다.</t>
  </si>
  <si>
    <t>참고 화면: 제작소 화면</t>
  </si>
  <si>
    <t>제작소 화면 진입 시, 좌측에 NPC 캐릭터가 출력된다.</t>
  </si>
  <si>
    <t>제작소 화면의 메뉴가 장비 제작 → 장비 연금 → 아티팩트 제작 → 아이템 제작 순서로 정렬되어 출력된다.</t>
  </si>
  <si>
    <t>제작소 화면에 신규로 추가된 장비 연금 진입 버튼이 출력된다.</t>
  </si>
  <si>
    <t>장비 연금 화면</t>
  </si>
  <si>
    <t>제작소 화면의 장비 연금 진입 버튼 터치 시, 장비 연금 화면으로 이동된다.</t>
  </si>
  <si>
    <t>참고 화면: 장비 연금 화면</t>
  </si>
  <si>
    <t>장비 연금 화면 진입 시, 좌측 상단에 '장비 연금' 타이틀이 출력된다.</t>
  </si>
  <si>
    <t>장비 연금 화면 진입 시, '연금술 아이템을 선택해주세요.' 안내 문구가 출력된다.</t>
  </si>
  <si>
    <t>장비 연금 화면 좌측 상단의 뒤로가기(&lt;) 버튼 터치 시, 제작소 화면으로 이동된다.</t>
  </si>
  <si>
    <t>연금술 아이템 선택 팝업</t>
  </si>
  <si>
    <t>장비 연금 화면 중앙의 (+) 버튼 터치 시, 연금술 아이템 선택 팝업이 출력된다.</t>
  </si>
  <si>
    <t>참고 화면: 연금술 아이템 선택 팝업</t>
  </si>
  <si>
    <t>연금술 아이템 선택 팝업 진입 시, 좌측에 카테고리 탭과 중앙에 아이템 그리드가 출력된다.</t>
  </si>
  <si>
    <t>연금술 아이템 선택 팝업의 아이템 터치 시, 우측 상세 패널에 해당 아이템의 정보(명칭, 등급, 효과)가 출력된다.</t>
  </si>
  <si>
    <t>연금술 아이템 선택 팝업에서 아이템 선택 후 선택 버튼 터치 시, 장비 연금 화면의 재료 슬롯에 해당 아이템이 등록된다.</t>
  </si>
  <si>
    <t>연금술 아이템 선택 팝업의 닫기(X) 버튼 터치 시, 팝업이 닫힌다.</t>
  </si>
  <si>
    <t>재료 슬롯/제작 버튼</t>
  </si>
  <si>
    <t>장비 연금 화면에 연금에 사용될 재료 슬롯이 출력된다.</t>
  </si>
  <si>
    <t>장비 연금 화면에 제작에 필요한 골드 비용 1,000,000G가 출력된다.</t>
  </si>
  <si>
    <t>재료 슬롯이 비어있거나 골드가 부족한 경우, 제작 버튼이 비활성화 상태(회색)로 출력된다.</t>
  </si>
  <si>
    <t>재료 슬롯이 모두 채워지고 골드가 충분한 경우, 제작 버튼이 활성화 상태(녹색)로 출력된다.</t>
  </si>
  <si>
    <t>제작 안내 팝업</t>
  </si>
  <si>
    <t>활성화된 제작 버튼 터치 시, 제작 안내 확인 팝업이 출력된다.</t>
  </si>
  <si>
    <t>참고 화면: 제작 안내 팝업</t>
  </si>
  <si>
    <t>제작 안내 팝업에 골드 환불 불가 경고 문구가 출력된다.</t>
  </si>
  <si>
    <t>제작 안내 팝업의 취소 버튼 터치 시, 팝업이 닫히고 장비 연금 화면으로 돌아간다.</t>
  </si>
  <si>
    <t>제작 안내 팝업의 제작 버튼 터치 시, 골드 1,000,000G가 차감되고 제작이 진행된다.</t>
  </si>
  <si>
    <t>제작 완료 결과</t>
  </si>
  <si>
    <t>제작 완료 시, 신비한 연금술 공방 결과 화면이 출력되며 제작된 장비가 표시된다.</t>
  </si>
  <si>
    <t>참고 화면: 제작 완료 결과 화면</t>
  </si>
  <si>
    <t>제작 완료 결과 화면에 '제작 완료!' 텍스트가 출력된다.</t>
  </si>
  <si>
    <t>제작 결과로 신규 장비가 없는 경우, 350G가 자동 환원되어 출력된다.</t>
  </si>
  <si>
    <t>제작 완료 결과 화면의 인벤토리 이동하기 버튼 터치 시, 인벤토리 화면으로 이동된다.</t>
  </si>
  <si>
    <t>탑 레벨 UI 변경</t>
  </si>
  <si>
    <t>6종 보스 정보 표시</t>
  </si>
  <si>
    <t>탑 레벨 화면의 레이드 모드 카드 영역에 6종의 고정 보스 정보가 출력된다.</t>
  </si>
  <si>
    <t>참고 화면: 탑 레벨 진입 화면 (변경 후)</t>
  </si>
  <si>
    <t>각 보스 행에 보스의 캐릭터 일러스트가 출력된다.</t>
  </si>
  <si>
    <t>각 보스 행에 보스 명칭이 출력된다.</t>
  </si>
  <si>
    <t>드랍 장비 정보 표시</t>
  </si>
  <si>
    <t>각 보스 행에 해당 보스가 드랍하는 장비 정보가 슬롯 형태로 출력된다.</t>
  </si>
  <si>
    <t>각 보스의 드랍 장비 슬롯에 해당 장비의 등급이 색상으로 구분되어 출력된다.</t>
  </si>
  <si>
    <t>각 보스 행의 우측에 해당 보스로 진입하는 화살표 버튼이 출력된다.</t>
  </si>
  <si>
    <t>보스 행의 화살표 버튼 터치 시, 해당 보스가 선택된 상태로 레이드 모드 메인 화면으로 이동된다.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</si>
</sst>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COUNTIF(I10:I125,"Pass")</f>
      </c>
      <c r="K3" t="s">
        <v>4</v>
      </c>
      <c r="L3">
        <f>COUNTIF(I10:I125,"")</f>
      </c>
      <c r="M3" s="3" t="s">
        <v>3</v>
      </c>
      <c r="N3">
        <f>COUNTIF(J10:J125,"Pass")</f>
      </c>
    </row>
    <row r="4" spans="9:14" x14ac:dyDescent="0.25">
      <c r="I4" s="4" t="s">
        <v>5</v>
      </c>
      <c r="J4">
        <f>COUNTIF(I10:I125,"N/T")</f>
      </c>
      <c r="K4" t="s">
        <v>6</v>
      </c>
      <c r="L4">
        <f>COUNTA(I10:I125)-COUNTIF(I10:I125,"")</f>
      </c>
      <c r="M4" s="4" t="s">
        <v>5</v>
      </c>
      <c r="N4">
        <f>COUNTIF(J10:J125,"N/T")</f>
      </c>
    </row>
    <row r="5" spans="9:14" x14ac:dyDescent="0.25">
      <c r="I5" s="5" t="s">
        <v>7</v>
      </c>
      <c r="J5">
        <f>COUNTIF(I10:I125,"Fail")</f>
      </c>
      <c r="K5" t="s">
        <v>8</v>
      </c>
      <c r="L5">
        <v>116</v>
      </c>
      <c r="M5" s="5" t="s">
        <v>7</v>
      </c>
      <c r="N5">
        <f>COUNTIF(J10:J125,"Fail")</f>
      </c>
    </row>
    <row r="6" spans="9:14" x14ac:dyDescent="0.25">
      <c r="I6" s="6" t="s">
        <v>9</v>
      </c>
      <c r="J6">
        <f>COUNTIF(I10:I125,"Block")</f>
      </c>
      <c r="K6" t="s">
        <v>10</v>
      </c>
      <c r="L6" s="7">
        <f>IF(L5=0,0,L4/L5)</f>
      </c>
      <c r="M6" s="6" t="s">
        <v>9</v>
      </c>
      <c r="N6">
        <f>COUNTIF(J10:J125,"Block")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11</v>
      </c>
      <c r="G10" s="12" t="s">
        <v>11</v>
      </c>
      <c r="H10" s="13" t="s">
        <v>25</v>
      </c>
      <c r="I10" s="12"/>
      <c r="J10" s="12"/>
      <c r="K10" s="12"/>
      <c r="L10" s="12"/>
      <c r="M10" s="12"/>
      <c r="N10" s="14" t="s">
        <v>26</v>
      </c>
    </row>
    <row r="11" spans="2:14" x14ac:dyDescent="0.25">
      <c r="B11" s="9">
        <v>2</v>
      </c>
      <c r="C11" s="10" t="s">
        <v>22</v>
      </c>
      <c r="D11" s="11"/>
      <c r="E11" s="11"/>
      <c r="F11" s="12" t="s">
        <v>11</v>
      </c>
      <c r="G11" s="12" t="s">
        <v>11</v>
      </c>
      <c r="H11" s="13" t="s">
        <v>27</v>
      </c>
      <c r="I11" s="12"/>
      <c r="J11" s="12"/>
      <c r="K11" s="12"/>
      <c r="L11" s="12"/>
      <c r="M11" s="12"/>
      <c r="N11" s="14" t="s">
        <v>26</v>
      </c>
    </row>
    <row r="12" spans="2:14" x14ac:dyDescent="0.25">
      <c r="B12" s="9">
        <v>3</v>
      </c>
      <c r="C12" s="10" t="s">
        <v>22</v>
      </c>
      <c r="D12" s="11"/>
      <c r="E12" s="11"/>
      <c r="F12" s="12" t="s">
        <v>11</v>
      </c>
      <c r="G12" s="12" t="s">
        <v>11</v>
      </c>
      <c r="H12" s="13" t="s">
        <v>28</v>
      </c>
      <c r="I12" s="12"/>
      <c r="J12" s="12"/>
      <c r="K12" s="12"/>
      <c r="L12" s="12"/>
      <c r="M12" s="12"/>
      <c r="N12" s="14" t="s">
        <v>26</v>
      </c>
    </row>
    <row r="13" spans="2:14" x14ac:dyDescent="0.25">
      <c r="B13" s="9">
        <v>4</v>
      </c>
      <c r="C13" s="10" t="s">
        <v>22</v>
      </c>
      <c r="D13" s="11"/>
      <c r="E13" s="11"/>
      <c r="F13" s="12" t="s">
        <v>11</v>
      </c>
      <c r="G13" s="12" t="s">
        <v>11</v>
      </c>
      <c r="H13" s="13" t="s">
        <v>29</v>
      </c>
      <c r="I13" s="12"/>
      <c r="J13" s="12"/>
      <c r="K13" s="12"/>
      <c r="L13" s="12"/>
      <c r="M13" s="12"/>
      <c r="N13" s="14" t="s">
        <v>26</v>
      </c>
    </row>
    <row r="14" spans="2:14" x14ac:dyDescent="0.25">
      <c r="B14" s="9">
        <v>5</v>
      </c>
      <c r="C14" s="15" t="s">
        <v>30</v>
      </c>
      <c r="D14" s="11"/>
      <c r="E14" s="11"/>
      <c r="F14" s="12" t="s">
        <v>11</v>
      </c>
      <c r="G14" s="12" t="s">
        <v>11</v>
      </c>
      <c r="H14" s="13" t="s">
        <v>31</v>
      </c>
      <c r="I14" s="12"/>
      <c r="J14" s="12"/>
      <c r="K14" s="12"/>
      <c r="L14" s="12"/>
      <c r="M14" s="12"/>
      <c r="N14" s="14" t="s">
        <v>26</v>
      </c>
    </row>
    <row r="15" spans="2:14" x14ac:dyDescent="0.25">
      <c r="B15" s="9">
        <v>6</v>
      </c>
      <c r="C15" s="15" t="s">
        <v>30</v>
      </c>
      <c r="D15" s="11"/>
      <c r="E15" s="11"/>
      <c r="F15" s="12" t="s">
        <v>11</v>
      </c>
      <c r="G15" s="12" t="s">
        <v>11</v>
      </c>
      <c r="H15" s="13" t="s">
        <v>32</v>
      </c>
      <c r="I15" s="12"/>
      <c r="J15" s="12"/>
      <c r="K15" s="12"/>
      <c r="L15" s="12"/>
      <c r="M15" s="12"/>
      <c r="N15" s="14" t="s">
        <v>26</v>
      </c>
    </row>
    <row r="16" spans="2:14" x14ac:dyDescent="0.25">
      <c r="B16" s="9">
        <v>7</v>
      </c>
      <c r="C16" s="16" t="s">
        <v>33</v>
      </c>
      <c r="D16" s="11"/>
      <c r="E16" s="11"/>
      <c r="F16" s="12" t="s">
        <v>11</v>
      </c>
      <c r="G16" s="12" t="s">
        <v>11</v>
      </c>
      <c r="H16" s="13" t="s">
        <v>34</v>
      </c>
      <c r="I16" s="12"/>
      <c r="J16" s="12"/>
      <c r="K16" s="12"/>
      <c r="L16" s="12"/>
      <c r="M16" s="12"/>
      <c r="N16" s="14" t="s">
        <v>26</v>
      </c>
    </row>
    <row r="17" spans="2:14" x14ac:dyDescent="0.25">
      <c r="B17" s="9">
        <v>8</v>
      </c>
      <c r="C17" s="15" t="s">
        <v>30</v>
      </c>
      <c r="D17" s="11"/>
      <c r="E17" s="11"/>
      <c r="F17" s="12" t="s">
        <v>11</v>
      </c>
      <c r="G17" s="12" t="s">
        <v>11</v>
      </c>
      <c r="H17" s="13" t="s">
        <v>35</v>
      </c>
      <c r="I17" s="12"/>
      <c r="J17" s="12"/>
      <c r="K17" s="12"/>
      <c r="L17" s="12"/>
      <c r="M17" s="12"/>
      <c r="N17" s="14" t="s">
        <v>26</v>
      </c>
    </row>
    <row r="18" spans="2:14" x14ac:dyDescent="0.25">
      <c r="B18" s="9">
        <v>9</v>
      </c>
      <c r="C18" s="10" t="s">
        <v>22</v>
      </c>
      <c r="D18" s="11" t="s">
        <v>36</v>
      </c>
      <c r="E18" s="11" t="s">
        <v>37</v>
      </c>
      <c r="F18" s="12" t="s">
        <v>11</v>
      </c>
      <c r="G18" s="12" t="s">
        <v>11</v>
      </c>
      <c r="H18" s="13" t="s">
        <v>38</v>
      </c>
      <c r="I18" s="12"/>
      <c r="J18" s="12"/>
      <c r="K18" s="12"/>
      <c r="L18" s="12"/>
      <c r="M18" s="12"/>
      <c r="N18" s="14" t="s">
        <v>39</v>
      </c>
    </row>
    <row r="19" spans="2:14" x14ac:dyDescent="0.25">
      <c r="B19" s="9">
        <v>10</v>
      </c>
      <c r="C19" s="10" t="s">
        <v>22</v>
      </c>
      <c r="D19" s="11"/>
      <c r="E19" s="11"/>
      <c r="F19" s="12" t="s">
        <v>11</v>
      </c>
      <c r="G19" s="12" t="s">
        <v>11</v>
      </c>
      <c r="H19" s="13" t="s">
        <v>40</v>
      </c>
      <c r="I19" s="12"/>
      <c r="J19" s="12"/>
      <c r="K19" s="12"/>
      <c r="L19" s="12"/>
      <c r="M19" s="12"/>
      <c r="N19" s="14" t="s">
        <v>39</v>
      </c>
    </row>
    <row r="20" spans="2:14" x14ac:dyDescent="0.25">
      <c r="B20" s="9">
        <v>11</v>
      </c>
      <c r="C20" s="10" t="s">
        <v>22</v>
      </c>
      <c r="D20" s="11"/>
      <c r="E20" s="11"/>
      <c r="F20" s="11" t="s">
        <v>41</v>
      </c>
      <c r="G20" s="12" t="s">
        <v>11</v>
      </c>
      <c r="H20" s="13" t="s">
        <v>42</v>
      </c>
      <c r="I20" s="12"/>
      <c r="J20" s="12"/>
      <c r="K20" s="12"/>
      <c r="L20" s="12"/>
      <c r="M20" s="12"/>
      <c r="N20" s="14" t="s">
        <v>39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11</v>
      </c>
      <c r="H21" s="13" t="s">
        <v>43</v>
      </c>
      <c r="I21" s="12"/>
      <c r="J21" s="12"/>
      <c r="K21" s="12"/>
      <c r="L21" s="12"/>
      <c r="M21" s="12"/>
      <c r="N21" s="14" t="s">
        <v>39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11</v>
      </c>
      <c r="H22" s="13" t="s">
        <v>44</v>
      </c>
      <c r="I22" s="12"/>
      <c r="J22" s="12"/>
      <c r="K22" s="12"/>
      <c r="L22" s="12"/>
      <c r="M22" s="12"/>
      <c r="N22" s="14" t="s">
        <v>39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11</v>
      </c>
      <c r="H23" s="13" t="s">
        <v>45</v>
      </c>
      <c r="I23" s="12"/>
      <c r="J23" s="12"/>
      <c r="K23" s="12"/>
      <c r="L23" s="12"/>
      <c r="M23" s="12"/>
      <c r="N23" s="14" t="s">
        <v>39</v>
      </c>
    </row>
    <row r="24" spans="2:14" x14ac:dyDescent="0.25">
      <c r="B24" s="9">
        <v>15</v>
      </c>
      <c r="C24" s="10" t="s">
        <v>22</v>
      </c>
      <c r="D24" s="11"/>
      <c r="E24" s="11"/>
      <c r="F24" s="11" t="s">
        <v>46</v>
      </c>
      <c r="G24" s="12" t="s">
        <v>11</v>
      </c>
      <c r="H24" s="13" t="s">
        <v>47</v>
      </c>
      <c r="I24" s="12"/>
      <c r="J24" s="12"/>
      <c r="K24" s="12"/>
      <c r="L24" s="12"/>
      <c r="M24" s="12"/>
      <c r="N24" s="14" t="s">
        <v>39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11</v>
      </c>
      <c r="H25" s="13" t="s">
        <v>48</v>
      </c>
      <c r="I25" s="12"/>
      <c r="J25" s="12"/>
      <c r="K25" s="12"/>
      <c r="L25" s="12"/>
      <c r="M25" s="12"/>
      <c r="N25" s="14" t="s">
        <v>39</v>
      </c>
    </row>
    <row r="26" spans="2:14" x14ac:dyDescent="0.25">
      <c r="B26" s="9">
        <v>17</v>
      </c>
      <c r="C26" s="15" t="s">
        <v>30</v>
      </c>
      <c r="D26" s="11"/>
      <c r="E26" s="11"/>
      <c r="F26" s="11"/>
      <c r="G26" s="12" t="s">
        <v>11</v>
      </c>
      <c r="H26" s="13" t="s">
        <v>49</v>
      </c>
      <c r="I26" s="12"/>
      <c r="J26" s="12"/>
      <c r="K26" s="12"/>
      <c r="L26" s="12"/>
      <c r="M26" s="12"/>
      <c r="N26" s="14" t="s">
        <v>39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11</v>
      </c>
      <c r="H27" s="13" t="s">
        <v>50</v>
      </c>
      <c r="I27" s="12"/>
      <c r="J27" s="12"/>
      <c r="K27" s="12"/>
      <c r="L27" s="12"/>
      <c r="M27" s="12"/>
      <c r="N27" s="14" t="s">
        <v>39</v>
      </c>
    </row>
    <row r="28" spans="2:14" x14ac:dyDescent="0.25">
      <c r="B28" s="9">
        <v>19</v>
      </c>
      <c r="C28" s="15" t="s">
        <v>30</v>
      </c>
      <c r="D28" s="11"/>
      <c r="E28" s="11"/>
      <c r="F28" s="11"/>
      <c r="G28" s="12" t="s">
        <v>11</v>
      </c>
      <c r="H28" s="13" t="s">
        <v>51</v>
      </c>
      <c r="I28" s="12"/>
      <c r="J28" s="12"/>
      <c r="K28" s="12"/>
      <c r="L28" s="12"/>
      <c r="M28" s="12"/>
      <c r="N28" s="14" t="s">
        <v>39</v>
      </c>
    </row>
    <row r="29" spans="2:14" x14ac:dyDescent="0.25">
      <c r="B29" s="9">
        <v>20</v>
      </c>
      <c r="C29" s="15" t="s">
        <v>30</v>
      </c>
      <c r="D29" s="11"/>
      <c r="E29" s="11"/>
      <c r="F29" s="11"/>
      <c r="G29" s="12" t="s">
        <v>11</v>
      </c>
      <c r="H29" s="13" t="s">
        <v>52</v>
      </c>
      <c r="I29" s="12"/>
      <c r="J29" s="12"/>
      <c r="K29" s="12"/>
      <c r="L29" s="12"/>
      <c r="M29" s="12"/>
      <c r="N29" s="14" t="s">
        <v>39</v>
      </c>
    </row>
    <row r="30" spans="2:14" x14ac:dyDescent="0.25">
      <c r="B30" s="9">
        <v>21</v>
      </c>
      <c r="C30" s="10" t="s">
        <v>22</v>
      </c>
      <c r="D30" s="11"/>
      <c r="E30" s="11"/>
      <c r="F30" s="11" t="s">
        <v>53</v>
      </c>
      <c r="G30" s="12" t="s">
        <v>54</v>
      </c>
      <c r="H30" s="13" t="s">
        <v>55</v>
      </c>
      <c r="I30" s="12"/>
      <c r="J30" s="12"/>
      <c r="K30" s="12"/>
      <c r="L30" s="12"/>
      <c r="M30" s="12"/>
      <c r="N30" s="14" t="s">
        <v>56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54</v>
      </c>
      <c r="H31" s="13" t="s">
        <v>57</v>
      </c>
      <c r="I31" s="12"/>
      <c r="J31" s="12"/>
      <c r="K31" s="12"/>
      <c r="L31" s="12"/>
      <c r="M31" s="12"/>
      <c r="N31" s="14" t="s">
        <v>56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54</v>
      </c>
      <c r="H32" s="13" t="s">
        <v>58</v>
      </c>
      <c r="I32" s="12"/>
      <c r="J32" s="12"/>
      <c r="K32" s="12"/>
      <c r="L32" s="12"/>
      <c r="M32" s="12"/>
      <c r="N32" s="14" t="s">
        <v>56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59</v>
      </c>
      <c r="H33" s="13" t="s">
        <v>60</v>
      </c>
      <c r="I33" s="12"/>
      <c r="J33" s="12"/>
      <c r="K33" s="12"/>
      <c r="L33" s="12"/>
      <c r="M33" s="12"/>
      <c r="N33" s="14" t="s">
        <v>56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59</v>
      </c>
      <c r="H34" s="13" t="s">
        <v>61</v>
      </c>
      <c r="I34" s="12"/>
      <c r="J34" s="12"/>
      <c r="K34" s="12"/>
      <c r="L34" s="12"/>
      <c r="M34" s="12"/>
      <c r="N34" s="14" t="s">
        <v>56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59</v>
      </c>
      <c r="H35" s="13" t="s">
        <v>62</v>
      </c>
      <c r="I35" s="12"/>
      <c r="J35" s="12"/>
      <c r="K35" s="12"/>
      <c r="L35" s="12"/>
      <c r="M35" s="12"/>
      <c r="N35" s="14" t="s">
        <v>56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59</v>
      </c>
      <c r="H36" s="13" t="s">
        <v>63</v>
      </c>
      <c r="I36" s="12"/>
      <c r="J36" s="12"/>
      <c r="K36" s="12"/>
      <c r="L36" s="12"/>
      <c r="M36" s="12"/>
      <c r="N36" s="14" t="s">
        <v>56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59</v>
      </c>
      <c r="H37" s="13" t="s">
        <v>64</v>
      </c>
      <c r="I37" s="12"/>
      <c r="J37" s="12"/>
      <c r="K37" s="12"/>
      <c r="L37" s="12"/>
      <c r="M37" s="12"/>
      <c r="N37" s="14" t="s">
        <v>56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59</v>
      </c>
      <c r="H38" s="13" t="s">
        <v>65</v>
      </c>
      <c r="I38" s="12"/>
      <c r="J38" s="12"/>
      <c r="K38" s="12"/>
      <c r="L38" s="12"/>
      <c r="M38" s="12"/>
      <c r="N38" s="14" t="s">
        <v>56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59</v>
      </c>
      <c r="H39" s="13" t="s">
        <v>66</v>
      </c>
      <c r="I39" s="12"/>
      <c r="J39" s="12"/>
      <c r="K39" s="12"/>
      <c r="L39" s="12"/>
      <c r="M39" s="12"/>
      <c r="N39" s="14" t="s">
        <v>67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59</v>
      </c>
      <c r="H40" s="13" t="s">
        <v>68</v>
      </c>
      <c r="I40" s="12"/>
      <c r="J40" s="12"/>
      <c r="K40" s="12"/>
      <c r="L40" s="12"/>
      <c r="M40" s="12"/>
      <c r="N40" s="14" t="s">
        <v>56</v>
      </c>
    </row>
    <row r="41" spans="2:14" x14ac:dyDescent="0.25">
      <c r="B41" s="9">
        <v>32</v>
      </c>
      <c r="C41" s="15" t="s">
        <v>30</v>
      </c>
      <c r="D41" s="11"/>
      <c r="E41" s="11"/>
      <c r="F41" s="11"/>
      <c r="G41" s="12" t="s">
        <v>59</v>
      </c>
      <c r="H41" s="13" t="s">
        <v>69</v>
      </c>
      <c r="I41" s="12"/>
      <c r="J41" s="12"/>
      <c r="K41" s="12"/>
      <c r="L41" s="12"/>
      <c r="M41" s="12"/>
      <c r="N41" s="14" t="s">
        <v>56</v>
      </c>
    </row>
    <row r="42" spans="2:14" x14ac:dyDescent="0.25">
      <c r="B42" s="9">
        <v>33</v>
      </c>
      <c r="C42" s="15" t="s">
        <v>30</v>
      </c>
      <c r="D42" s="11"/>
      <c r="E42" s="11"/>
      <c r="F42" s="11"/>
      <c r="G42" s="12" t="s">
        <v>59</v>
      </c>
      <c r="H42" s="13" t="s">
        <v>70</v>
      </c>
      <c r="I42" s="12"/>
      <c r="J42" s="12"/>
      <c r="K42" s="12"/>
      <c r="L42" s="12"/>
      <c r="M42" s="12"/>
      <c r="N42" s="14" t="s">
        <v>71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59</v>
      </c>
      <c r="H43" s="13" t="s">
        <v>72</v>
      </c>
      <c r="I43" s="12"/>
      <c r="J43" s="12"/>
      <c r="K43" s="12"/>
      <c r="L43" s="12"/>
      <c r="M43" s="12"/>
      <c r="N43" s="14" t="s">
        <v>56</v>
      </c>
    </row>
    <row r="44" spans="2:14" x14ac:dyDescent="0.25">
      <c r="B44" s="9">
        <v>35</v>
      </c>
      <c r="C44" s="10" t="s">
        <v>22</v>
      </c>
      <c r="D44" s="11"/>
      <c r="E44" s="11"/>
      <c r="F44" s="11" t="s">
        <v>73</v>
      </c>
      <c r="G44" s="12" t="s">
        <v>11</v>
      </c>
      <c r="H44" s="13" t="s">
        <v>74</v>
      </c>
      <c r="I44" s="12"/>
      <c r="J44" s="12"/>
      <c r="K44" s="12"/>
      <c r="L44" s="12"/>
      <c r="M44" s="12"/>
      <c r="N44" s="14" t="s">
        <v>39</v>
      </c>
    </row>
    <row r="45" spans="2:14" x14ac:dyDescent="0.25">
      <c r="B45" s="9">
        <v>36</v>
      </c>
      <c r="C45" s="10" t="s">
        <v>22</v>
      </c>
      <c r="D45" s="11"/>
      <c r="E45" s="11"/>
      <c r="F45" s="11"/>
      <c r="G45" s="12" t="s">
        <v>11</v>
      </c>
      <c r="H45" s="13" t="s">
        <v>75</v>
      </c>
      <c r="I45" s="12"/>
      <c r="J45" s="12"/>
      <c r="K45" s="12"/>
      <c r="L45" s="12"/>
      <c r="M45" s="12"/>
      <c r="N45" s="14" t="s">
        <v>39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11</v>
      </c>
      <c r="H46" s="13" t="s">
        <v>76</v>
      </c>
      <c r="I46" s="12"/>
      <c r="J46" s="12"/>
      <c r="K46" s="12"/>
      <c r="L46" s="12"/>
      <c r="M46" s="12"/>
      <c r="N46" s="14" t="s">
        <v>77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11</v>
      </c>
      <c r="H47" s="13" t="s">
        <v>78</v>
      </c>
      <c r="I47" s="12"/>
      <c r="J47" s="12"/>
      <c r="K47" s="12"/>
      <c r="L47" s="12"/>
      <c r="M47" s="12"/>
      <c r="N47" s="14" t="s">
        <v>79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11</v>
      </c>
      <c r="H48" s="13" t="s">
        <v>80</v>
      </c>
      <c r="I48" s="12"/>
      <c r="J48" s="12"/>
      <c r="K48" s="12"/>
      <c r="L48" s="12"/>
      <c r="M48" s="12"/>
      <c r="N48" s="14" t="s">
        <v>81</v>
      </c>
    </row>
    <row r="49" spans="2:14" x14ac:dyDescent="0.25">
      <c r="B49" s="9">
        <v>40</v>
      </c>
      <c r="C49" s="10" t="s">
        <v>22</v>
      </c>
      <c r="D49" s="11"/>
      <c r="E49" s="11"/>
      <c r="F49" s="11" t="s">
        <v>82</v>
      </c>
      <c r="G49" s="12" t="s">
        <v>11</v>
      </c>
      <c r="H49" s="13" t="s">
        <v>83</v>
      </c>
      <c r="I49" s="12"/>
      <c r="J49" s="12"/>
      <c r="K49" s="12"/>
      <c r="L49" s="12"/>
      <c r="M49" s="12"/>
      <c r="N49" s="14" t="s">
        <v>39</v>
      </c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84</v>
      </c>
      <c r="H50" s="13" t="s">
        <v>85</v>
      </c>
      <c r="I50" s="12"/>
      <c r="J50" s="12"/>
      <c r="K50" s="12"/>
      <c r="L50" s="12"/>
      <c r="M50" s="12"/>
      <c r="N50" s="14" t="s">
        <v>39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84</v>
      </c>
      <c r="H51" s="13" t="s">
        <v>86</v>
      </c>
      <c r="I51" s="12"/>
      <c r="J51" s="12"/>
      <c r="K51" s="12"/>
      <c r="L51" s="12"/>
      <c r="M51" s="12"/>
      <c r="N51" s="14" t="s">
        <v>87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84</v>
      </c>
      <c r="H52" s="13" t="s">
        <v>88</v>
      </c>
      <c r="I52" s="12"/>
      <c r="J52" s="12"/>
      <c r="K52" s="12"/>
      <c r="L52" s="12"/>
      <c r="M52" s="12"/>
      <c r="N52" s="14" t="s">
        <v>87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84</v>
      </c>
      <c r="H53" s="13" t="s">
        <v>89</v>
      </c>
      <c r="I53" s="12"/>
      <c r="J53" s="12"/>
      <c r="K53" s="12"/>
      <c r="L53" s="12"/>
      <c r="M53" s="12"/>
      <c r="N53" s="14" t="s">
        <v>87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84</v>
      </c>
      <c r="H54" s="13" t="s">
        <v>90</v>
      </c>
      <c r="I54" s="12"/>
      <c r="J54" s="12"/>
      <c r="K54" s="12"/>
      <c r="L54" s="12"/>
      <c r="M54" s="12"/>
      <c r="N54" s="14" t="s">
        <v>87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84</v>
      </c>
      <c r="H55" s="13" t="s">
        <v>91</v>
      </c>
      <c r="I55" s="12"/>
      <c r="J55" s="12"/>
      <c r="K55" s="12"/>
      <c r="L55" s="12"/>
      <c r="M55" s="12"/>
      <c r="N55" s="14" t="s">
        <v>87</v>
      </c>
    </row>
    <row r="56" spans="2:14" x14ac:dyDescent="0.25">
      <c r="B56" s="9">
        <v>47</v>
      </c>
      <c r="C56" s="15" t="s">
        <v>30</v>
      </c>
      <c r="D56" s="11"/>
      <c r="E56" s="11"/>
      <c r="F56" s="11"/>
      <c r="G56" s="12" t="s">
        <v>84</v>
      </c>
      <c r="H56" s="13" t="s">
        <v>92</v>
      </c>
      <c r="I56" s="12"/>
      <c r="J56" s="12"/>
      <c r="K56" s="12"/>
      <c r="L56" s="12"/>
      <c r="M56" s="12"/>
      <c r="N56" s="14" t="s">
        <v>87</v>
      </c>
    </row>
    <row r="57" spans="2:14" x14ac:dyDescent="0.25">
      <c r="B57" s="9">
        <v>48</v>
      </c>
      <c r="C57" s="16" t="s">
        <v>33</v>
      </c>
      <c r="D57" s="11"/>
      <c r="E57" s="11"/>
      <c r="F57" s="11" t="s">
        <v>93</v>
      </c>
      <c r="G57" s="12" t="s">
        <v>11</v>
      </c>
      <c r="H57" s="13" t="s">
        <v>94</v>
      </c>
      <c r="I57" s="12"/>
      <c r="J57" s="12"/>
      <c r="K57" s="12"/>
      <c r="L57" s="12"/>
      <c r="M57" s="12"/>
      <c r="N57" s="14" t="s">
        <v>39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11</v>
      </c>
      <c r="H58" s="13" t="s">
        <v>95</v>
      </c>
      <c r="I58" s="12"/>
      <c r="J58" s="12"/>
      <c r="K58" s="12"/>
      <c r="L58" s="12"/>
      <c r="M58" s="12"/>
      <c r="N58" s="14" t="s">
        <v>77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11</v>
      </c>
      <c r="H59" s="13" t="s">
        <v>96</v>
      </c>
      <c r="I59" s="12"/>
      <c r="J59" s="12"/>
      <c r="K59" s="12"/>
      <c r="L59" s="12"/>
      <c r="M59" s="12"/>
      <c r="N59" s="14" t="s">
        <v>39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97</v>
      </c>
      <c r="H60" s="13" t="s">
        <v>98</v>
      </c>
      <c r="I60" s="12"/>
      <c r="J60" s="12"/>
      <c r="K60" s="12"/>
      <c r="L60" s="12"/>
      <c r="M60" s="12"/>
      <c r="N60" s="14" t="s">
        <v>99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97</v>
      </c>
      <c r="H61" s="13" t="s">
        <v>100</v>
      </c>
      <c r="I61" s="12"/>
      <c r="J61" s="12"/>
      <c r="K61" s="12"/>
      <c r="L61" s="12"/>
      <c r="M61" s="12"/>
      <c r="N61" s="14" t="s">
        <v>99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97</v>
      </c>
      <c r="H62" s="13" t="s">
        <v>101</v>
      </c>
      <c r="I62" s="12"/>
      <c r="J62" s="12"/>
      <c r="K62" s="12"/>
      <c r="L62" s="12"/>
      <c r="M62" s="12"/>
      <c r="N62" s="14" t="s">
        <v>99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97</v>
      </c>
      <c r="H63" s="13" t="s">
        <v>102</v>
      </c>
      <c r="I63" s="12"/>
      <c r="J63" s="12"/>
      <c r="K63" s="12"/>
      <c r="L63" s="12"/>
      <c r="M63" s="12"/>
      <c r="N63" s="14" t="s">
        <v>99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97</v>
      </c>
      <c r="H64" s="13" t="s">
        <v>103</v>
      </c>
      <c r="I64" s="12"/>
      <c r="J64" s="12"/>
      <c r="K64" s="12"/>
      <c r="L64" s="12"/>
      <c r="M64" s="12"/>
      <c r="N64" s="14" t="s">
        <v>99</v>
      </c>
    </row>
    <row r="65" spans="2:14" x14ac:dyDescent="0.25">
      <c r="B65" s="9">
        <v>56</v>
      </c>
      <c r="C65" s="10" t="s">
        <v>22</v>
      </c>
      <c r="D65" s="11"/>
      <c r="E65" s="11"/>
      <c r="F65" s="11"/>
      <c r="G65" s="12" t="s">
        <v>97</v>
      </c>
      <c r="H65" s="13" t="s">
        <v>104</v>
      </c>
      <c r="I65" s="12"/>
      <c r="J65" s="12"/>
      <c r="K65" s="12"/>
      <c r="L65" s="12"/>
      <c r="M65" s="12"/>
      <c r="N65" s="14" t="s">
        <v>99</v>
      </c>
    </row>
    <row r="66" spans="2:14" x14ac:dyDescent="0.25">
      <c r="B66" s="9">
        <v>57</v>
      </c>
      <c r="C66" s="10" t="s">
        <v>22</v>
      </c>
      <c r="D66" s="11"/>
      <c r="E66" s="11"/>
      <c r="F66" s="11" t="s">
        <v>105</v>
      </c>
      <c r="G66" s="12" t="s">
        <v>11</v>
      </c>
      <c r="H66" s="13" t="s">
        <v>106</v>
      </c>
      <c r="I66" s="12"/>
      <c r="J66" s="12"/>
      <c r="K66" s="12"/>
      <c r="L66" s="12"/>
      <c r="M66" s="12"/>
      <c r="N66" s="14" t="s">
        <v>107</v>
      </c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11</v>
      </c>
      <c r="H67" s="13" t="s">
        <v>108</v>
      </c>
      <c r="I67" s="12"/>
      <c r="J67" s="12"/>
      <c r="K67" s="12"/>
      <c r="L67" s="12"/>
      <c r="M67" s="12"/>
      <c r="N67" s="14" t="s">
        <v>107</v>
      </c>
    </row>
    <row r="68" spans="2:14" x14ac:dyDescent="0.25">
      <c r="B68" s="9">
        <v>59</v>
      </c>
      <c r="C68" s="10" t="s">
        <v>22</v>
      </c>
      <c r="D68" s="11"/>
      <c r="E68" s="11" t="s">
        <v>109</v>
      </c>
      <c r="F68" s="12" t="s">
        <v>11</v>
      </c>
      <c r="G68" s="12" t="s">
        <v>11</v>
      </c>
      <c r="H68" s="13" t="s">
        <v>110</v>
      </c>
      <c r="I68" s="12"/>
      <c r="J68" s="12"/>
      <c r="K68" s="12"/>
      <c r="L68" s="12"/>
      <c r="M68" s="12"/>
      <c r="N68" s="14" t="s">
        <v>111</v>
      </c>
    </row>
    <row r="69" spans="2:14" x14ac:dyDescent="0.25">
      <c r="B69" s="9">
        <v>60</v>
      </c>
      <c r="C69" s="10" t="s">
        <v>22</v>
      </c>
      <c r="D69" s="11"/>
      <c r="E69" s="11"/>
      <c r="F69" s="12" t="s">
        <v>11</v>
      </c>
      <c r="G69" s="12" t="s">
        <v>11</v>
      </c>
      <c r="H69" s="13" t="s">
        <v>112</v>
      </c>
      <c r="I69" s="12"/>
      <c r="J69" s="12"/>
      <c r="K69" s="12"/>
      <c r="L69" s="12"/>
      <c r="M69" s="12"/>
      <c r="N69" s="14" t="s">
        <v>111</v>
      </c>
    </row>
    <row r="70" spans="2:14" x14ac:dyDescent="0.25">
      <c r="B70" s="9">
        <v>61</v>
      </c>
      <c r="C70" s="15" t="s">
        <v>30</v>
      </c>
      <c r="D70" s="11"/>
      <c r="E70" s="11"/>
      <c r="F70" s="12" t="s">
        <v>11</v>
      </c>
      <c r="G70" s="12" t="s">
        <v>11</v>
      </c>
      <c r="H70" s="13" t="s">
        <v>113</v>
      </c>
      <c r="I70" s="12"/>
      <c r="J70" s="12"/>
      <c r="K70" s="12"/>
      <c r="L70" s="12"/>
      <c r="M70" s="12"/>
      <c r="N70" s="14" t="s">
        <v>111</v>
      </c>
    </row>
    <row r="71" spans="2:14" x14ac:dyDescent="0.25">
      <c r="B71" s="9">
        <v>62</v>
      </c>
      <c r="C71" s="15" t="s">
        <v>30</v>
      </c>
      <c r="D71" s="11"/>
      <c r="E71" s="11"/>
      <c r="F71" s="12" t="s">
        <v>11</v>
      </c>
      <c r="G71" s="12" t="s">
        <v>11</v>
      </c>
      <c r="H71" s="13" t="s">
        <v>114</v>
      </c>
      <c r="I71" s="12"/>
      <c r="J71" s="12"/>
      <c r="K71" s="12"/>
      <c r="L71" s="12"/>
      <c r="M71" s="12"/>
      <c r="N71" s="14" t="s">
        <v>111</v>
      </c>
    </row>
    <row r="72" spans="2:14" x14ac:dyDescent="0.25">
      <c r="B72" s="9">
        <v>63</v>
      </c>
      <c r="C72" s="10" t="s">
        <v>22</v>
      </c>
      <c r="D72" s="11" t="s">
        <v>115</v>
      </c>
      <c r="E72" s="11" t="s">
        <v>116</v>
      </c>
      <c r="F72" s="12" t="s">
        <v>11</v>
      </c>
      <c r="G72" s="12" t="s">
        <v>11</v>
      </c>
      <c r="H72" s="13" t="s">
        <v>117</v>
      </c>
      <c r="I72" s="12"/>
      <c r="J72" s="12"/>
      <c r="K72" s="12"/>
      <c r="L72" s="12"/>
      <c r="M72" s="12"/>
      <c r="N72" s="14" t="s">
        <v>118</v>
      </c>
    </row>
    <row r="73" spans="2:14" x14ac:dyDescent="0.25">
      <c r="B73" s="9">
        <v>64</v>
      </c>
      <c r="C73" s="10" t="s">
        <v>22</v>
      </c>
      <c r="D73" s="11"/>
      <c r="E73" s="11"/>
      <c r="F73" s="12" t="s">
        <v>11</v>
      </c>
      <c r="G73" s="12" t="s">
        <v>11</v>
      </c>
      <c r="H73" s="13" t="s">
        <v>119</v>
      </c>
      <c r="I73" s="12"/>
      <c r="J73" s="12"/>
      <c r="K73" s="12"/>
      <c r="L73" s="12"/>
      <c r="M73" s="12"/>
      <c r="N73" s="14" t="s">
        <v>118</v>
      </c>
    </row>
    <row r="74" spans="2:14" x14ac:dyDescent="0.25">
      <c r="B74" s="9">
        <v>65</v>
      </c>
      <c r="C74" s="15" t="s">
        <v>30</v>
      </c>
      <c r="D74" s="11"/>
      <c r="E74" s="11"/>
      <c r="F74" s="12" t="s">
        <v>11</v>
      </c>
      <c r="G74" s="12" t="s">
        <v>11</v>
      </c>
      <c r="H74" s="13" t="s">
        <v>120</v>
      </c>
      <c r="I74" s="12"/>
      <c r="J74" s="12"/>
      <c r="K74" s="12"/>
      <c r="L74" s="12"/>
      <c r="M74" s="12"/>
      <c r="N74" s="14" t="s">
        <v>118</v>
      </c>
    </row>
    <row r="75" spans="2:14" x14ac:dyDescent="0.25">
      <c r="B75" s="9">
        <v>66</v>
      </c>
      <c r="C75" s="15" t="s">
        <v>30</v>
      </c>
      <c r="D75" s="11"/>
      <c r="E75" s="11"/>
      <c r="F75" s="12" t="s">
        <v>11</v>
      </c>
      <c r="G75" s="12" t="s">
        <v>11</v>
      </c>
      <c r="H75" s="13" t="s">
        <v>121</v>
      </c>
      <c r="I75" s="12"/>
      <c r="J75" s="12"/>
      <c r="K75" s="12"/>
      <c r="L75" s="12"/>
      <c r="M75" s="12"/>
      <c r="N75" s="14" t="s">
        <v>122</v>
      </c>
    </row>
    <row r="76" spans="2:14" x14ac:dyDescent="0.25">
      <c r="B76" s="9">
        <v>67</v>
      </c>
      <c r="C76" s="10" t="s">
        <v>22</v>
      </c>
      <c r="D76" s="11"/>
      <c r="E76" s="11"/>
      <c r="F76" s="12" t="s">
        <v>11</v>
      </c>
      <c r="G76" s="12" t="s">
        <v>11</v>
      </c>
      <c r="H76" s="13" t="s">
        <v>123</v>
      </c>
      <c r="I76" s="12"/>
      <c r="J76" s="12"/>
      <c r="K76" s="12"/>
      <c r="L76" s="12"/>
      <c r="M76" s="12"/>
      <c r="N76" s="14" t="s">
        <v>118</v>
      </c>
    </row>
    <row r="77" spans="2:14" x14ac:dyDescent="0.25">
      <c r="B77" s="9">
        <v>68</v>
      </c>
      <c r="C77" s="10" t="s">
        <v>22</v>
      </c>
      <c r="D77" s="11"/>
      <c r="E77" s="11" t="s">
        <v>124</v>
      </c>
      <c r="F77" s="11" t="s">
        <v>125</v>
      </c>
      <c r="G77" s="12" t="s">
        <v>11</v>
      </c>
      <c r="H77" s="13" t="s">
        <v>126</v>
      </c>
      <c r="I77" s="12"/>
      <c r="J77" s="12"/>
      <c r="K77" s="12"/>
      <c r="L77" s="12"/>
      <c r="M77" s="12"/>
      <c r="N77" s="14" t="s">
        <v>127</v>
      </c>
    </row>
    <row r="78" spans="2:14" x14ac:dyDescent="0.25">
      <c r="B78" s="9">
        <v>69</v>
      </c>
      <c r="C78" s="10" t="s">
        <v>22</v>
      </c>
      <c r="D78" s="11"/>
      <c r="E78" s="11"/>
      <c r="F78" s="11"/>
      <c r="G78" s="12" t="s">
        <v>11</v>
      </c>
      <c r="H78" s="13" t="s">
        <v>128</v>
      </c>
      <c r="I78" s="12"/>
      <c r="J78" s="12"/>
      <c r="K78" s="12"/>
      <c r="L78" s="12"/>
      <c r="M78" s="12"/>
      <c r="N78" s="14" t="s">
        <v>127</v>
      </c>
    </row>
    <row r="79" spans="2:14" x14ac:dyDescent="0.25">
      <c r="B79" s="9">
        <v>70</v>
      </c>
      <c r="C79" s="15" t="s">
        <v>30</v>
      </c>
      <c r="D79" s="11"/>
      <c r="E79" s="11"/>
      <c r="F79" s="11"/>
      <c r="G79" s="12" t="s">
        <v>11</v>
      </c>
      <c r="H79" s="13" t="s">
        <v>129</v>
      </c>
      <c r="I79" s="12"/>
      <c r="J79" s="12"/>
      <c r="K79" s="12"/>
      <c r="L79" s="12"/>
      <c r="M79" s="12"/>
      <c r="N79" s="14" t="s">
        <v>127</v>
      </c>
    </row>
    <row r="80" spans="2:14" x14ac:dyDescent="0.25">
      <c r="B80" s="9">
        <v>71</v>
      </c>
      <c r="C80" s="15" t="s">
        <v>30</v>
      </c>
      <c r="D80" s="11"/>
      <c r="E80" s="11"/>
      <c r="F80" s="11"/>
      <c r="G80" s="12" t="s">
        <v>11</v>
      </c>
      <c r="H80" s="13" t="s">
        <v>130</v>
      </c>
      <c r="I80" s="12"/>
      <c r="J80" s="12"/>
      <c r="K80" s="12"/>
      <c r="L80" s="12"/>
      <c r="M80" s="12"/>
      <c r="N80" s="14" t="s">
        <v>127</v>
      </c>
    </row>
    <row r="81" spans="2:14" x14ac:dyDescent="0.25">
      <c r="B81" s="9">
        <v>72</v>
      </c>
      <c r="C81" s="16" t="s">
        <v>33</v>
      </c>
      <c r="D81" s="11"/>
      <c r="E81" s="11"/>
      <c r="F81" s="11" t="s">
        <v>131</v>
      </c>
      <c r="G81" s="12" t="s">
        <v>11</v>
      </c>
      <c r="H81" s="13" t="s">
        <v>132</v>
      </c>
      <c r="I81" s="12"/>
      <c r="J81" s="12"/>
      <c r="K81" s="12"/>
      <c r="L81" s="12"/>
      <c r="M81" s="12"/>
      <c r="N81" s="14" t="s">
        <v>127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11</v>
      </c>
      <c r="H82" s="13" t="s">
        <v>133</v>
      </c>
      <c r="I82" s="12"/>
      <c r="J82" s="12"/>
      <c r="K82" s="12"/>
      <c r="L82" s="12"/>
      <c r="M82" s="12"/>
      <c r="N82" s="14" t="s">
        <v>127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11</v>
      </c>
      <c r="H83" s="13" t="s">
        <v>134</v>
      </c>
      <c r="I83" s="12"/>
      <c r="J83" s="12"/>
      <c r="K83" s="12"/>
      <c r="L83" s="12"/>
      <c r="M83" s="12"/>
      <c r="N83" s="14" t="s">
        <v>127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11</v>
      </c>
      <c r="H84" s="13" t="s">
        <v>135</v>
      </c>
      <c r="I84" s="12"/>
      <c r="J84" s="12"/>
      <c r="K84" s="12"/>
      <c r="L84" s="12"/>
      <c r="M84" s="12"/>
      <c r="N84" s="14" t="s">
        <v>127</v>
      </c>
    </row>
    <row r="85" spans="2:14" x14ac:dyDescent="0.25">
      <c r="B85" s="9">
        <v>76</v>
      </c>
      <c r="C85" s="15" t="s">
        <v>30</v>
      </c>
      <c r="D85" s="11"/>
      <c r="E85" s="11"/>
      <c r="F85" s="11"/>
      <c r="G85" s="12" t="s">
        <v>11</v>
      </c>
      <c r="H85" s="13" t="s">
        <v>136</v>
      </c>
      <c r="I85" s="12"/>
      <c r="J85" s="12"/>
      <c r="K85" s="12"/>
      <c r="L85" s="12"/>
      <c r="M85" s="12"/>
      <c r="N85" s="14" t="s">
        <v>137</v>
      </c>
    </row>
    <row r="86" spans="2:14" x14ac:dyDescent="0.25">
      <c r="B86" s="9">
        <v>77</v>
      </c>
      <c r="C86" s="10" t="s">
        <v>22</v>
      </c>
      <c r="D86" s="11"/>
      <c r="E86" s="11"/>
      <c r="F86" s="11" t="s">
        <v>138</v>
      </c>
      <c r="G86" s="12" t="s">
        <v>11</v>
      </c>
      <c r="H86" s="13" t="s">
        <v>139</v>
      </c>
      <c r="I86" s="12"/>
      <c r="J86" s="12"/>
      <c r="K86" s="12"/>
      <c r="L86" s="12"/>
      <c r="M86" s="12"/>
      <c r="N86" s="14" t="s">
        <v>127</v>
      </c>
    </row>
    <row r="87" spans="2:14" x14ac:dyDescent="0.25">
      <c r="B87" s="9">
        <v>78</v>
      </c>
      <c r="C87" s="10" t="s">
        <v>22</v>
      </c>
      <c r="D87" s="11"/>
      <c r="E87" s="11"/>
      <c r="F87" s="11"/>
      <c r="G87" s="12" t="s">
        <v>11</v>
      </c>
      <c r="H87" s="13" t="s">
        <v>140</v>
      </c>
      <c r="I87" s="12"/>
      <c r="J87" s="12"/>
      <c r="K87" s="12"/>
      <c r="L87" s="12"/>
      <c r="M87" s="12"/>
      <c r="N87" s="14" t="s">
        <v>127</v>
      </c>
    </row>
    <row r="88" spans="2:14" x14ac:dyDescent="0.25">
      <c r="B88" s="9">
        <v>79</v>
      </c>
      <c r="C88" s="10" t="s">
        <v>22</v>
      </c>
      <c r="D88" s="11"/>
      <c r="E88" s="11"/>
      <c r="F88" s="11" t="s">
        <v>105</v>
      </c>
      <c r="G88" s="12" t="s">
        <v>11</v>
      </c>
      <c r="H88" s="13" t="s">
        <v>141</v>
      </c>
      <c r="I88" s="12"/>
      <c r="J88" s="12"/>
      <c r="K88" s="12"/>
      <c r="L88" s="12"/>
      <c r="M88" s="12"/>
      <c r="N88" s="14" t="s">
        <v>142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11</v>
      </c>
      <c r="H89" s="13" t="s">
        <v>143</v>
      </c>
      <c r="I89" s="12"/>
      <c r="J89" s="12"/>
      <c r="K89" s="12"/>
      <c r="L89" s="12"/>
      <c r="M89" s="12"/>
      <c r="N89" s="14" t="s">
        <v>144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11</v>
      </c>
      <c r="H90" s="13" t="s">
        <v>145</v>
      </c>
      <c r="I90" s="12"/>
      <c r="J90" s="12"/>
      <c r="K90" s="12"/>
      <c r="L90" s="12"/>
      <c r="M90" s="12"/>
      <c r="N90" s="14" t="s">
        <v>144</v>
      </c>
    </row>
    <row r="91" spans="2:14" x14ac:dyDescent="0.25">
      <c r="B91" s="9">
        <v>82</v>
      </c>
      <c r="C91" s="10" t="s">
        <v>22</v>
      </c>
      <c r="D91" s="11"/>
      <c r="E91" s="11"/>
      <c r="F91" s="11"/>
      <c r="G91" s="12" t="s">
        <v>11</v>
      </c>
      <c r="H91" s="13" t="s">
        <v>146</v>
      </c>
      <c r="I91" s="12"/>
      <c r="J91" s="12"/>
      <c r="K91" s="12"/>
      <c r="L91" s="12"/>
      <c r="M91" s="12"/>
      <c r="N91" s="14" t="s">
        <v>144</v>
      </c>
    </row>
    <row r="92" spans="2:14" x14ac:dyDescent="0.25">
      <c r="B92" s="9">
        <v>83</v>
      </c>
      <c r="C92" s="15" t="s">
        <v>30</v>
      </c>
      <c r="D92" s="11"/>
      <c r="E92" s="11"/>
      <c r="F92" s="11"/>
      <c r="G92" s="12" t="s">
        <v>11</v>
      </c>
      <c r="H92" s="13" t="s">
        <v>147</v>
      </c>
      <c r="I92" s="12"/>
      <c r="J92" s="12"/>
      <c r="K92" s="12"/>
      <c r="L92" s="12"/>
      <c r="M92" s="12"/>
      <c r="N92" s="14" t="s">
        <v>148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11</v>
      </c>
      <c r="H93" s="13" t="s">
        <v>149</v>
      </c>
      <c r="I93" s="12"/>
      <c r="J93" s="12"/>
      <c r="K93" s="12"/>
      <c r="L93" s="12"/>
      <c r="M93" s="12"/>
      <c r="N93" s="14" t="s">
        <v>144</v>
      </c>
    </row>
    <row r="94" spans="2:14" x14ac:dyDescent="0.25">
      <c r="B94" s="9">
        <v>85</v>
      </c>
      <c r="C94" s="10" t="s">
        <v>22</v>
      </c>
      <c r="D94" s="11" t="s">
        <v>150</v>
      </c>
      <c r="E94" s="11" t="s">
        <v>151</v>
      </c>
      <c r="F94" s="12" t="s">
        <v>11</v>
      </c>
      <c r="G94" s="12" t="s">
        <v>11</v>
      </c>
      <c r="H94" s="13" t="s">
        <v>152</v>
      </c>
      <c r="I94" s="12"/>
      <c r="J94" s="12"/>
      <c r="K94" s="12"/>
      <c r="L94" s="12"/>
      <c r="M94" s="12"/>
      <c r="N94" s="14" t="s">
        <v>153</v>
      </c>
    </row>
    <row r="95" spans="2:14" x14ac:dyDescent="0.25">
      <c r="B95" s="9">
        <v>86</v>
      </c>
      <c r="C95" s="10" t="s">
        <v>22</v>
      </c>
      <c r="D95" s="11"/>
      <c r="E95" s="11"/>
      <c r="F95" s="12" t="s">
        <v>11</v>
      </c>
      <c r="G95" s="12" t="s">
        <v>11</v>
      </c>
      <c r="H95" s="13" t="s">
        <v>154</v>
      </c>
      <c r="I95" s="12"/>
      <c r="J95" s="12"/>
      <c r="K95" s="12"/>
      <c r="L95" s="12"/>
      <c r="M95" s="12"/>
      <c r="N95" s="14" t="s">
        <v>153</v>
      </c>
    </row>
    <row r="96" spans="2:14" x14ac:dyDescent="0.25">
      <c r="B96" s="9">
        <v>87</v>
      </c>
      <c r="C96" s="10" t="s">
        <v>22</v>
      </c>
      <c r="D96" s="11"/>
      <c r="E96" s="11"/>
      <c r="F96" s="12" t="s">
        <v>11</v>
      </c>
      <c r="G96" s="12" t="s">
        <v>11</v>
      </c>
      <c r="H96" s="13" t="s">
        <v>155</v>
      </c>
      <c r="I96" s="12"/>
      <c r="J96" s="12"/>
      <c r="K96" s="12"/>
      <c r="L96" s="12"/>
      <c r="M96" s="12"/>
      <c r="N96" s="14" t="s">
        <v>153</v>
      </c>
    </row>
    <row r="97" spans="2:14" x14ac:dyDescent="0.25">
      <c r="B97" s="9">
        <v>88</v>
      </c>
      <c r="C97" s="10" t="s">
        <v>22</v>
      </c>
      <c r="D97" s="11"/>
      <c r="E97" s="11"/>
      <c r="F97" s="12" t="s">
        <v>11</v>
      </c>
      <c r="G97" s="12" t="s">
        <v>11</v>
      </c>
      <c r="H97" s="13" t="s">
        <v>156</v>
      </c>
      <c r="I97" s="12"/>
      <c r="J97" s="12"/>
      <c r="K97" s="12"/>
      <c r="L97" s="12"/>
      <c r="M97" s="12"/>
      <c r="N97" s="14" t="s">
        <v>153</v>
      </c>
    </row>
    <row r="98" spans="2:14" x14ac:dyDescent="0.25">
      <c r="B98" s="9">
        <v>89</v>
      </c>
      <c r="C98" s="16" t="s">
        <v>33</v>
      </c>
      <c r="D98" s="11"/>
      <c r="E98" s="11" t="s">
        <v>157</v>
      </c>
      <c r="F98" s="12" t="s">
        <v>11</v>
      </c>
      <c r="G98" s="12" t="s">
        <v>11</v>
      </c>
      <c r="H98" s="13" t="s">
        <v>158</v>
      </c>
      <c r="I98" s="12"/>
      <c r="J98" s="12"/>
      <c r="K98" s="12"/>
      <c r="L98" s="12"/>
      <c r="M98" s="12"/>
      <c r="N98" s="14" t="s">
        <v>159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11</v>
      </c>
      <c r="G99" s="12" t="s">
        <v>11</v>
      </c>
      <c r="H99" s="13" t="s">
        <v>160</v>
      </c>
      <c r="I99" s="12"/>
      <c r="J99" s="12"/>
      <c r="K99" s="12"/>
      <c r="L99" s="12"/>
      <c r="M99" s="12"/>
      <c r="N99" s="14" t="s">
        <v>159</v>
      </c>
    </row>
    <row r="100" spans="2:14" x14ac:dyDescent="0.25">
      <c r="B100" s="9">
        <v>91</v>
      </c>
      <c r="C100" s="15" t="s">
        <v>30</v>
      </c>
      <c r="D100" s="11"/>
      <c r="E100" s="11"/>
      <c r="F100" s="12" t="s">
        <v>11</v>
      </c>
      <c r="G100" s="12" t="s">
        <v>11</v>
      </c>
      <c r="H100" s="13" t="s">
        <v>161</v>
      </c>
      <c r="I100" s="12"/>
      <c r="J100" s="12"/>
      <c r="K100" s="12"/>
      <c r="L100" s="12"/>
      <c r="M100" s="12"/>
      <c r="N100" s="14" t="s">
        <v>159</v>
      </c>
    </row>
    <row r="101" spans="2:14" x14ac:dyDescent="0.25">
      <c r="B101" s="9">
        <v>92</v>
      </c>
      <c r="C101" s="10" t="s">
        <v>22</v>
      </c>
      <c r="D101" s="11"/>
      <c r="E101" s="11"/>
      <c r="F101" s="12" t="s">
        <v>11</v>
      </c>
      <c r="G101" s="12" t="s">
        <v>11</v>
      </c>
      <c r="H101" s="13" t="s">
        <v>162</v>
      </c>
      <c r="I101" s="12"/>
      <c r="J101" s="12"/>
      <c r="K101" s="12"/>
      <c r="L101" s="12"/>
      <c r="M101" s="12"/>
      <c r="N101" s="14" t="s">
        <v>159</v>
      </c>
    </row>
    <row r="102" spans="2:14" x14ac:dyDescent="0.25">
      <c r="B102" s="9">
        <v>93</v>
      </c>
      <c r="C102" s="10" t="s">
        <v>22</v>
      </c>
      <c r="D102" s="11"/>
      <c r="E102" s="11"/>
      <c r="F102" s="11" t="s">
        <v>163</v>
      </c>
      <c r="G102" s="12" t="s">
        <v>11</v>
      </c>
      <c r="H102" s="13" t="s">
        <v>164</v>
      </c>
      <c r="I102" s="12"/>
      <c r="J102" s="12"/>
      <c r="K102" s="12"/>
      <c r="L102" s="12"/>
      <c r="M102" s="12"/>
      <c r="N102" s="14" t="s">
        <v>165</v>
      </c>
    </row>
    <row r="103" spans="2:14" x14ac:dyDescent="0.25">
      <c r="B103" s="9">
        <v>94</v>
      </c>
      <c r="C103" s="10" t="s">
        <v>22</v>
      </c>
      <c r="D103" s="11"/>
      <c r="E103" s="11"/>
      <c r="F103" s="11"/>
      <c r="G103" s="12" t="s">
        <v>11</v>
      </c>
      <c r="H103" s="13" t="s">
        <v>166</v>
      </c>
      <c r="I103" s="12"/>
      <c r="J103" s="12"/>
      <c r="K103" s="12"/>
      <c r="L103" s="12"/>
      <c r="M103" s="12"/>
      <c r="N103" s="14" t="s">
        <v>165</v>
      </c>
    </row>
    <row r="104" spans="2:14" x14ac:dyDescent="0.25">
      <c r="B104" s="9">
        <v>95</v>
      </c>
      <c r="C104" s="10" t="s">
        <v>22</v>
      </c>
      <c r="D104" s="11"/>
      <c r="E104" s="11"/>
      <c r="F104" s="11"/>
      <c r="G104" s="12" t="s">
        <v>11</v>
      </c>
      <c r="H104" s="13" t="s">
        <v>167</v>
      </c>
      <c r="I104" s="12"/>
      <c r="J104" s="12"/>
      <c r="K104" s="12"/>
      <c r="L104" s="12"/>
      <c r="M104" s="12"/>
      <c r="N104" s="14" t="s">
        <v>165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11</v>
      </c>
      <c r="H105" s="13" t="s">
        <v>168</v>
      </c>
      <c r="I105" s="12"/>
      <c r="J105" s="12"/>
      <c r="K105" s="12"/>
      <c r="L105" s="12"/>
      <c r="M105" s="12"/>
      <c r="N105" s="14" t="s">
        <v>165</v>
      </c>
    </row>
    <row r="106" spans="2:14" x14ac:dyDescent="0.25">
      <c r="B106" s="9">
        <v>97</v>
      </c>
      <c r="C106" s="15" t="s">
        <v>30</v>
      </c>
      <c r="D106" s="11"/>
      <c r="E106" s="11"/>
      <c r="F106" s="11"/>
      <c r="G106" s="12" t="s">
        <v>11</v>
      </c>
      <c r="H106" s="13" t="s">
        <v>169</v>
      </c>
      <c r="I106" s="12"/>
      <c r="J106" s="12"/>
      <c r="K106" s="12"/>
      <c r="L106" s="12"/>
      <c r="M106" s="12"/>
      <c r="N106" s="14" t="s">
        <v>165</v>
      </c>
    </row>
    <row r="107" spans="2:14" x14ac:dyDescent="0.25">
      <c r="B107" s="9">
        <v>98</v>
      </c>
      <c r="C107" s="10" t="s">
        <v>22</v>
      </c>
      <c r="D107" s="11"/>
      <c r="E107" s="11"/>
      <c r="F107" s="11" t="s">
        <v>170</v>
      </c>
      <c r="G107" s="12" t="s">
        <v>11</v>
      </c>
      <c r="H107" s="13" t="s">
        <v>171</v>
      </c>
      <c r="I107" s="12"/>
      <c r="J107" s="12"/>
      <c r="K107" s="12"/>
      <c r="L107" s="12"/>
      <c r="M107" s="12"/>
      <c r="N107" s="14" t="s">
        <v>159</v>
      </c>
    </row>
    <row r="108" spans="2:14" x14ac:dyDescent="0.25">
      <c r="B108" s="9">
        <v>99</v>
      </c>
      <c r="C108" s="10" t="s">
        <v>22</v>
      </c>
      <c r="D108" s="11"/>
      <c r="E108" s="11"/>
      <c r="F108" s="11"/>
      <c r="G108" s="12" t="s">
        <v>11</v>
      </c>
      <c r="H108" s="13" t="s">
        <v>172</v>
      </c>
      <c r="I108" s="12"/>
      <c r="J108" s="12"/>
      <c r="K108" s="12"/>
      <c r="L108" s="12"/>
      <c r="M108" s="12"/>
      <c r="N108" s="14" t="s">
        <v>159</v>
      </c>
    </row>
    <row r="109" spans="2:14" x14ac:dyDescent="0.25">
      <c r="B109" s="9">
        <v>100</v>
      </c>
      <c r="C109" s="10" t="s">
        <v>22</v>
      </c>
      <c r="D109" s="11"/>
      <c r="E109" s="11"/>
      <c r="F109" s="11"/>
      <c r="G109" s="12" t="s">
        <v>11</v>
      </c>
      <c r="H109" s="13" t="s">
        <v>173</v>
      </c>
      <c r="I109" s="12"/>
      <c r="J109" s="12"/>
      <c r="K109" s="12"/>
      <c r="L109" s="12"/>
      <c r="M109" s="12"/>
      <c r="N109" s="14" t="s">
        <v>159</v>
      </c>
    </row>
    <row r="110" spans="2:14" x14ac:dyDescent="0.25">
      <c r="B110" s="9">
        <v>101</v>
      </c>
      <c r="C110" s="10" t="s">
        <v>22</v>
      </c>
      <c r="D110" s="11"/>
      <c r="E110" s="11"/>
      <c r="F110" s="11"/>
      <c r="G110" s="12" t="s">
        <v>11</v>
      </c>
      <c r="H110" s="13" t="s">
        <v>174</v>
      </c>
      <c r="I110" s="12"/>
      <c r="J110" s="12"/>
      <c r="K110" s="12"/>
      <c r="L110" s="12"/>
      <c r="M110" s="12"/>
      <c r="N110" s="14" t="s">
        <v>159</v>
      </c>
    </row>
    <row r="111" spans="2:14" x14ac:dyDescent="0.25">
      <c r="B111" s="9">
        <v>102</v>
      </c>
      <c r="C111" s="10" t="s">
        <v>22</v>
      </c>
      <c r="D111" s="11"/>
      <c r="E111" s="11"/>
      <c r="F111" s="11" t="s">
        <v>175</v>
      </c>
      <c r="G111" s="12" t="s">
        <v>11</v>
      </c>
      <c r="H111" s="13" t="s">
        <v>176</v>
      </c>
      <c r="I111" s="12"/>
      <c r="J111" s="12"/>
      <c r="K111" s="12"/>
      <c r="L111" s="12"/>
      <c r="M111" s="12"/>
      <c r="N111" s="14" t="s">
        <v>177</v>
      </c>
    </row>
    <row r="112" spans="2:14" x14ac:dyDescent="0.25">
      <c r="B112" s="9">
        <v>103</v>
      </c>
      <c r="C112" s="10" t="s">
        <v>22</v>
      </c>
      <c r="D112" s="11"/>
      <c r="E112" s="11"/>
      <c r="F112" s="11"/>
      <c r="G112" s="12" t="s">
        <v>11</v>
      </c>
      <c r="H112" s="13" t="s">
        <v>178</v>
      </c>
      <c r="I112" s="12"/>
      <c r="J112" s="12"/>
      <c r="K112" s="12"/>
      <c r="L112" s="12"/>
      <c r="M112" s="12"/>
      <c r="N112" s="14" t="s">
        <v>177</v>
      </c>
    </row>
    <row r="113" spans="2:14" x14ac:dyDescent="0.25">
      <c r="B113" s="9">
        <v>104</v>
      </c>
      <c r="C113" s="15" t="s">
        <v>30</v>
      </c>
      <c r="D113" s="11"/>
      <c r="E113" s="11"/>
      <c r="F113" s="11"/>
      <c r="G113" s="12" t="s">
        <v>11</v>
      </c>
      <c r="H113" s="13" t="s">
        <v>179</v>
      </c>
      <c r="I113" s="12"/>
      <c r="J113" s="12"/>
      <c r="K113" s="12"/>
      <c r="L113" s="12"/>
      <c r="M113" s="12"/>
      <c r="N113" s="14" t="s">
        <v>177</v>
      </c>
    </row>
    <row r="114" spans="2:14" x14ac:dyDescent="0.25">
      <c r="B114" s="9">
        <v>105</v>
      </c>
      <c r="C114" s="16" t="s">
        <v>33</v>
      </c>
      <c r="D114" s="11"/>
      <c r="E114" s="11"/>
      <c r="F114" s="11"/>
      <c r="G114" s="12" t="s">
        <v>11</v>
      </c>
      <c r="H114" s="13" t="s">
        <v>180</v>
      </c>
      <c r="I114" s="12"/>
      <c r="J114" s="12"/>
      <c r="K114" s="12"/>
      <c r="L114" s="12"/>
      <c r="M114" s="12"/>
      <c r="N114" s="14" t="s">
        <v>177</v>
      </c>
    </row>
    <row r="115" spans="2:14" x14ac:dyDescent="0.25">
      <c r="B115" s="9">
        <v>106</v>
      </c>
      <c r="C115" s="16" t="s">
        <v>33</v>
      </c>
      <c r="D115" s="11"/>
      <c r="E115" s="11"/>
      <c r="F115" s="11" t="s">
        <v>181</v>
      </c>
      <c r="G115" s="12" t="s">
        <v>11</v>
      </c>
      <c r="H115" s="13" t="s">
        <v>182</v>
      </c>
      <c r="I115" s="12"/>
      <c r="J115" s="12"/>
      <c r="K115" s="12"/>
      <c r="L115" s="12"/>
      <c r="M115" s="12"/>
      <c r="N115" s="14" t="s">
        <v>183</v>
      </c>
    </row>
    <row r="116" spans="2:14" x14ac:dyDescent="0.25">
      <c r="B116" s="9">
        <v>107</v>
      </c>
      <c r="C116" s="15" t="s">
        <v>30</v>
      </c>
      <c r="D116" s="11"/>
      <c r="E116" s="11"/>
      <c r="F116" s="11"/>
      <c r="G116" s="12" t="s">
        <v>11</v>
      </c>
      <c r="H116" s="13" t="s">
        <v>184</v>
      </c>
      <c r="I116" s="12"/>
      <c r="J116" s="12"/>
      <c r="K116" s="12"/>
      <c r="L116" s="12"/>
      <c r="M116" s="12"/>
      <c r="N116" s="14" t="s">
        <v>183</v>
      </c>
    </row>
    <row r="117" spans="2:14" x14ac:dyDescent="0.25">
      <c r="B117" s="9">
        <v>108</v>
      </c>
      <c r="C117" s="10" t="s">
        <v>22</v>
      </c>
      <c r="D117" s="11"/>
      <c r="E117" s="11"/>
      <c r="F117" s="11"/>
      <c r="G117" s="12" t="s">
        <v>11</v>
      </c>
      <c r="H117" s="13" t="s">
        <v>185</v>
      </c>
      <c r="I117" s="12"/>
      <c r="J117" s="12"/>
      <c r="K117" s="12"/>
      <c r="L117" s="12"/>
      <c r="M117" s="12"/>
      <c r="N117" s="14" t="s">
        <v>183</v>
      </c>
    </row>
    <row r="118" spans="2:14" x14ac:dyDescent="0.25">
      <c r="B118" s="9">
        <v>109</v>
      </c>
      <c r="C118" s="10" t="s">
        <v>22</v>
      </c>
      <c r="D118" s="11"/>
      <c r="E118" s="11"/>
      <c r="F118" s="11"/>
      <c r="G118" s="12" t="s">
        <v>11</v>
      </c>
      <c r="H118" s="13" t="s">
        <v>186</v>
      </c>
      <c r="I118" s="12"/>
      <c r="J118" s="12"/>
      <c r="K118" s="12"/>
      <c r="L118" s="12"/>
      <c r="M118" s="12"/>
      <c r="N118" s="14" t="s">
        <v>183</v>
      </c>
    </row>
    <row r="119" spans="2:14" x14ac:dyDescent="0.25">
      <c r="B119" s="9">
        <v>110</v>
      </c>
      <c r="C119" s="16" t="s">
        <v>33</v>
      </c>
      <c r="D119" s="11" t="s">
        <v>187</v>
      </c>
      <c r="E119" s="11" t="s">
        <v>188</v>
      </c>
      <c r="F119" s="12" t="s">
        <v>11</v>
      </c>
      <c r="G119" s="12" t="s">
        <v>11</v>
      </c>
      <c r="H119" s="13" t="s">
        <v>189</v>
      </c>
      <c r="I119" s="12"/>
      <c r="J119" s="12"/>
      <c r="K119" s="12"/>
      <c r="L119" s="12"/>
      <c r="M119" s="12"/>
      <c r="N119" s="14" t="s">
        <v>190</v>
      </c>
    </row>
    <row r="120" spans="2:14" x14ac:dyDescent="0.25">
      <c r="B120" s="9">
        <v>111</v>
      </c>
      <c r="C120" s="10" t="s">
        <v>22</v>
      </c>
      <c r="D120" s="11"/>
      <c r="E120" s="11"/>
      <c r="F120" s="12" t="s">
        <v>11</v>
      </c>
      <c r="G120" s="12" t="s">
        <v>11</v>
      </c>
      <c r="H120" s="13" t="s">
        <v>191</v>
      </c>
      <c r="I120" s="12"/>
      <c r="J120" s="12"/>
      <c r="K120" s="12"/>
      <c r="L120" s="12"/>
      <c r="M120" s="12"/>
      <c r="N120" s="14" t="s">
        <v>190</v>
      </c>
    </row>
    <row r="121" spans="2:14" x14ac:dyDescent="0.25">
      <c r="B121" s="9">
        <v>112</v>
      </c>
      <c r="C121" s="10" t="s">
        <v>22</v>
      </c>
      <c r="D121" s="11"/>
      <c r="E121" s="11"/>
      <c r="F121" s="12" t="s">
        <v>11</v>
      </c>
      <c r="G121" s="12" t="s">
        <v>11</v>
      </c>
      <c r="H121" s="13" t="s">
        <v>192</v>
      </c>
      <c r="I121" s="12"/>
      <c r="J121" s="12"/>
      <c r="K121" s="12"/>
      <c r="L121" s="12"/>
      <c r="M121" s="12"/>
      <c r="N121" s="14" t="s">
        <v>190</v>
      </c>
    </row>
    <row r="122" spans="2:14" x14ac:dyDescent="0.25">
      <c r="B122" s="9">
        <v>113</v>
      </c>
      <c r="C122" s="10" t="s">
        <v>22</v>
      </c>
      <c r="D122" s="11"/>
      <c r="E122" s="11" t="s">
        <v>193</v>
      </c>
      <c r="F122" s="12" t="s">
        <v>11</v>
      </c>
      <c r="G122" s="12" t="s">
        <v>11</v>
      </c>
      <c r="H122" s="13" t="s">
        <v>194</v>
      </c>
      <c r="I122" s="12"/>
      <c r="J122" s="12"/>
      <c r="K122" s="12"/>
      <c r="L122" s="12"/>
      <c r="M122" s="12"/>
      <c r="N122" s="14" t="s">
        <v>190</v>
      </c>
    </row>
    <row r="123" spans="2:14" x14ac:dyDescent="0.25">
      <c r="B123" s="9">
        <v>114</v>
      </c>
      <c r="C123" s="15" t="s">
        <v>30</v>
      </c>
      <c r="D123" s="11"/>
      <c r="E123" s="11"/>
      <c r="F123" s="12" t="s">
        <v>11</v>
      </c>
      <c r="G123" s="12" t="s">
        <v>11</v>
      </c>
      <c r="H123" s="13" t="s">
        <v>195</v>
      </c>
      <c r="I123" s="12"/>
      <c r="J123" s="12"/>
      <c r="K123" s="12"/>
      <c r="L123" s="12"/>
      <c r="M123" s="12"/>
      <c r="N123" s="14" t="s">
        <v>190</v>
      </c>
    </row>
    <row r="124" spans="2:14" x14ac:dyDescent="0.25">
      <c r="B124" s="9">
        <v>115</v>
      </c>
      <c r="C124" s="15" t="s">
        <v>30</v>
      </c>
      <c r="D124" s="11"/>
      <c r="E124" s="11"/>
      <c r="F124" s="12" t="s">
        <v>11</v>
      </c>
      <c r="G124" s="12" t="s">
        <v>11</v>
      </c>
      <c r="H124" s="13" t="s">
        <v>196</v>
      </c>
      <c r="I124" s="12"/>
      <c r="J124" s="12"/>
      <c r="K124" s="12"/>
      <c r="L124" s="12"/>
      <c r="M124" s="12"/>
      <c r="N124" s="14" t="s">
        <v>190</v>
      </c>
    </row>
    <row r="125" spans="2:14" x14ac:dyDescent="0.25">
      <c r="B125" s="9">
        <v>116</v>
      </c>
      <c r="C125" s="10" t="s">
        <v>22</v>
      </c>
      <c r="D125" s="11"/>
      <c r="E125" s="11"/>
      <c r="F125" s="12" t="s">
        <v>11</v>
      </c>
      <c r="G125" s="12" t="s">
        <v>11</v>
      </c>
      <c r="H125" s="13" t="s">
        <v>197</v>
      </c>
      <c r="I125" s="12"/>
      <c r="J125" s="12"/>
      <c r="K125" s="12"/>
      <c r="L125" s="12"/>
      <c r="M125" s="12"/>
      <c r="N125" s="14" t="s">
        <v>190</v>
      </c>
    </row>
  </sheetData>
  <mergeCells count="29">
    <mergeCell ref="D10:D17"/>
    <mergeCell ref="E10:E17"/>
    <mergeCell ref="D18:D71"/>
    <mergeCell ref="E18:E67"/>
    <mergeCell ref="F20:F23"/>
    <mergeCell ref="F24:F29"/>
    <mergeCell ref="F30:F43"/>
    <mergeCell ref="F44:F48"/>
    <mergeCell ref="F49:F56"/>
    <mergeCell ref="F57:F65"/>
    <mergeCell ref="F66:F67"/>
    <mergeCell ref="E68:E71"/>
    <mergeCell ref="D72:D93"/>
    <mergeCell ref="E72:E76"/>
    <mergeCell ref="E77:E93"/>
    <mergeCell ref="F77:F80"/>
    <mergeCell ref="F81:F85"/>
    <mergeCell ref="F86:F87"/>
    <mergeCell ref="F88:F93"/>
    <mergeCell ref="D94:D118"/>
    <mergeCell ref="E94:E97"/>
    <mergeCell ref="E98:E118"/>
    <mergeCell ref="F102:F106"/>
    <mergeCell ref="F107:F110"/>
    <mergeCell ref="F111:F114"/>
    <mergeCell ref="F115:F118"/>
    <mergeCell ref="D119:D125"/>
    <mergeCell ref="E119:E121"/>
    <mergeCell ref="E122:E125"/>
  </mergeCells>
  <dataValidations count="1">
    <dataValidation type="list" allowBlank="1" showErrorMessage="1" errorTitle="잘못된 값" error="Pass, Fail, N/T, Block 중 하나를 선택하세요." sqref="I10:J125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레이드모드 개선(1차)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2026-05-08T02:49:39Z</dcterms:created>
  <dcterms:modified xsi:type="dcterms:W3CDTF">2026-05-08T02:49:39Z</dcterms:modified>
</cp:coreProperties>
</file>