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레이드모드 개선(2차)" state="visible" r:id="rId4"/>
  </sheets>
  <calcPr calcId="171027"/>
</workbook>
</file>

<file path=xl/sharedStrings.xml><?xml version="1.0" encoding="utf-8"?>
<sst xmlns="http://schemas.openxmlformats.org/spreadsheetml/2006/main" count="720" uniqueCount="231">
  <si>
    <t>(C)레이드모드 개선(2차)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</si>
  <si>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</si>
  <si>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</si>
  <si>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</si>
  <si>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</si>
  <si>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</si>
  <si>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</si>
  <si>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</si>
  <si>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</si>
  <si>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</si>
  <si>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</si>
  <si>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</si>
  <si>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</si>
  <si>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</si>
  <si>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</si>
  <si>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</si>
  <si>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</si>
  <si>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</si>
  <si>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</si>
  <si>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</si>
  <si>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</si>
  <si>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</si>
  <si>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Major</t>
  </si>
  <si>
    <t>진입경로 (탑레벨)</t>
  </si>
  <si>
    <t>탑 레벨 메인 화면</t>
  </si>
  <si>
    <t>메인 로비에서 탑레벨 진입 시, 탑 레벨 화면이 출력된다.</t>
  </si>
  <si>
    <t>참고 화면: 탑레벨 메인 UI</t>
  </si>
  <si>
    <t>Normal</t>
  </si>
  <si>
    <t>탑 레벨 화면 좌측 상단에 뒤로가기 버튼과 "탑 레벨" 헤더가 출력된다.</t>
  </si>
  <si>
    <t>탑 레벨 화면 좌하단에 캐릭터 일러스트와 안내 텍스트가 출력된다.</t>
  </si>
  <si>
    <t>좌측 탭 메뉴</t>
  </si>
  <si>
    <t>탑 레벨 화면 좌측에 "탑 레벨", "성장", "도전" 3종의 탭이 출력된다.</t>
  </si>
  <si>
    <t>좌측 탭 메뉴에서 "성장" 탭 선택 시, 노란색 강조 상태로 활성화된다.</t>
  </si>
  <si>
    <t>레이드 모드 카드 영역</t>
  </si>
  <si>
    <t>탑 레벨 화면 중앙에 성장 던전, 레이드 모드, 탑의 균열, 어비스 던전 4종의 모드 카드가 세로로 출력된다.</t>
  </si>
  <si>
    <t>각 모드 카드에 진행도(레이드 모드 5/5, 탑의 균열 2/2 등)가 출력된다.</t>
  </si>
  <si>
    <t>Critical</t>
  </si>
  <si>
    <t>탑 레벨 화면에서 "레이드 모드" 카드 터치 시, 레이드 로비 화면으로 이동된다.</t>
  </si>
  <si>
    <t>레이드 로비</t>
  </si>
  <si>
    <t>로비 진입 및 화면 구성</t>
  </si>
  <si>
    <t>레이드 로비 진입 시, 상단에 "레이드 모드" 타이틀이 출력된다.</t>
  </si>
  <si>
    <t>참고 화면: 레이드 로비</t>
  </si>
  <si>
    <t>레이드 로비 화면 상단 우측에 닫기(X) 버튼이 출력된다.</t>
  </si>
  <si>
    <t>레이드 로비 화면에서 닫기(X) 버튼 터치 시, 상위 화면으로 이탈된다.</t>
  </si>
  <si>
    <t>레이드 로비 화면 상단에 재화 게이지가 출력된다.</t>
  </si>
  <si>
    <t>싱글/멀티 토글</t>
  </si>
  <si>
    <t>레이드 로비 진입 시, 싱글/멀티 전환 토글 버튼이 "싱글" 모드 활성화 상태로 기본 출력된다.</t>
  </si>
  <si>
    <t>싱글/멀티 토글 버튼에서 "멀티" 선택 시, 멀티 모드의 레이드 로비 화면으로 변환되어 출력된다.</t>
  </si>
  <si>
    <t>멀티 모드 진입 시, 매칭 인원이 2인 형태로 구성된다.</t>
  </si>
  <si>
    <t>참고 화면: 레이드 로비 / 인게임 모드 변동 메모</t>
  </si>
  <si>
    <t>보스 정보 표시</t>
  </si>
  <si>
    <t>레이드 로비 화면 중앙에 선택된 보스의 포트레이트가 출력된다.</t>
  </si>
  <si>
    <t>레이드 로비 화면에 보스명과 보스 부가 설명이 출력된다.</t>
  </si>
  <si>
    <t>레이드 로비 화면 배경에 보스 등장 스테이지 배경 이미지가 출력된다.</t>
  </si>
  <si>
    <t>보스 정보 영역에 해당 보스에서 드랍되는 슈퍼레어 보상 세트 정보가 최대 3종까지 출력된다.</t>
  </si>
  <si>
    <t>드랍 보상 슈퍼레어 세트 중 인기 보상 항목에 "인기" 태그가 출력된다.</t>
  </si>
  <si>
    <t>드랍 보상 장비 이미지 터치 시, 세부 정보 툴팁이 출력된다.</t>
  </si>
  <si>
    <t>보스 카드 그리드</t>
  </si>
  <si>
    <t>보스 선택 화면에서 6종의 보스 카드가 3x2 그리드 형태로 출력된다.</t>
  </si>
  <si>
    <t>참고 화면: 레이드 로비 보스 선택</t>
  </si>
  <si>
    <t>각 보스 카드 하단에 해당 보스의 추천 속성 아이콘이 출력된다.</t>
  </si>
  <si>
    <t>해금되지 않은 보스 카드에 잠금 표시가 출력된다.</t>
  </si>
  <si>
    <t>보스 카드 터치 시, 해당 보스의 레이드 진입 팝업이 출력된다.</t>
  </si>
  <si>
    <t>난이도 선택 / 진입 팝업</t>
  </si>
  <si>
    <t>단계 슬롯 표시</t>
  </si>
  <si>
    <t>레이드 진입 팝업 상단에 "레이드 모드" 타이틀과 보스 이름이 출력된다.</t>
  </si>
  <si>
    <t>참고 화면: 레이드 진입 팝업</t>
  </si>
  <si>
    <t>레이드 진입 팝업에 단계별 입장료 정보가 출력된다.</t>
  </si>
  <si>
    <t>레이드 진입 팝업 사이드에 6단계 난이도 리스트가 출력된다.</t>
  </si>
  <si>
    <t>각 단계 슬롯에 해당 단계의 체력 정보 및 진입권 정보가 출력된다.</t>
  </si>
  <si>
    <t>단계 슬롯 선택 시, 해당 단계의 보상 정보로 우측 보상 슬롯이 갱신된다.</t>
  </si>
  <si>
    <t>레이드 진입 팝업 상단 우측에 보상 슬롯이 출력된다.</t>
  </si>
  <si>
    <t>레이드 진입 팝업 하단의 입장 버튼 터치 시, 해당 보스/단계로 입장된다.</t>
  </si>
  <si>
    <t>레이드 진입 팝업 하단의 취소 버튼 터치 시, 팝업이 닫히고 보스 선택 화면으로 이동된다.</t>
  </si>
  <si>
    <t>단계 해금 조건</t>
  </si>
  <si>
    <t>해금되지 않은 단계 슬롯에 자물쇠 잠금 아이콘이 출력된다.</t>
  </si>
  <si>
    <t>이전 단계 클리어 시, 다음 단계가 해금되어 입장 가능 상태로 전환된다.</t>
  </si>
  <si>
    <t>참고 화면: 레이드 진입 팝업 / 단계 해금 조건</t>
  </si>
  <si>
    <t>특정 보스에서 단계 해금 시, 다른 보스에서도 동일 단계가 공유 해금된다.</t>
  </si>
  <si>
    <t>참고 화면: 단계 해금 조건</t>
  </si>
  <si>
    <t>잠금 단계 클릭 분기</t>
  </si>
  <si>
    <t>사용 불가 상태의 난이도 슬롯 터치 시, "사용 가능하지 않습니다" 토스트 메시지가 출력된다.</t>
  </si>
  <si>
    <t>참고 화면: 토스트 분기 (Sui.strings.equipment.dungeon.host)</t>
  </si>
  <si>
    <t>이전 난이도를 클리어하지 않은 단계 슬롯 터치 시, "이전 난이도를 클리어해야 도전 가능합니다" 토스트 메시지가 출력된다.</t>
  </si>
  <si>
    <t>참고 화면: 토스트 분기 (Sui.strings.single_boss_challenge.locked)</t>
  </si>
  <si>
    <t>최고 난이도 이후의 다음 단계 슬롯 터치 시, "다음 난이도가 존재하지 않습니다" 토스트 메시지가 출력된다.</t>
  </si>
  <si>
    <t>참고 화면: 토스트 분기 (Sui.strings.last.difficulty.not)</t>
  </si>
  <si>
    <t>보상 정보 팝업</t>
  </si>
  <si>
    <t>보상 미리보기</t>
  </si>
  <si>
    <t>레이드 로비의 보상 정보 영역 터치 시, 보상 상세 팝업이 출력된다.</t>
  </si>
  <si>
    <t>참고 화면: 보상 상세 팝업 03-A</t>
  </si>
  <si>
    <t>보상 상세 팝업 상단에 보상 미리보기 타이틀이 출력된다.</t>
  </si>
  <si>
    <t>보상 상세 팝업에 클리어 기본 보상 정보가 출력된다.</t>
  </si>
  <si>
    <t>보상 상세 팝업에 클리어 별 보상 정보가 출력된다.</t>
  </si>
  <si>
    <t>보상 상세 팝업의 우측 상세 리스트에 차등 보상 아이템 슬롯과 수량이 출력된다.</t>
  </si>
  <si>
    <t>보상 상세 팝업 우측 상단 닫기(X) 버튼 터치 시, 팝업이 닫힌다.</t>
  </si>
  <si>
    <t>보스/난이도 변경</t>
  </si>
  <si>
    <t>보상 상세 팝업의 좌/우 보스 변경 버튼 터치 시, 다른 보스의 보상 정보로 갱신된다.</t>
  </si>
  <si>
    <t>보상 상세 팝업 진입 시, 기본값으로 현재 진입한 보스의 보상 정보가 출력된다.</t>
  </si>
  <si>
    <t>Play / 티켓 설정</t>
  </si>
  <si>
    <t>Play 버튼 동작</t>
  </si>
  <si>
    <t>레이드 로비 화면의 PLAY 버튼 터치 시, 해당 보스/난이도의 레이드 전투로 진입된다.</t>
  </si>
  <si>
    <t>참고 화면: Play 버튼</t>
  </si>
  <si>
    <t>PLAY 버튼 터치 시, 설정된 티켓 개수만큼 입장 티켓이 차감된다.</t>
  </si>
  <si>
    <t>PLAY 버튼은 활성/비활성 상태에 따라 색상이 구분되어 출력된다.</t>
  </si>
  <si>
    <t>패스/티켓 설정 팝업</t>
  </si>
  <si>
    <t>패스 설정 버튼 터치 시, 티켓 개수 설정 팝업이 출력된다.</t>
  </si>
  <si>
    <t>참고 화면: 패스 설정 팝업</t>
  </si>
  <si>
    <t>티켓 개수 설정 팝업 진입 시, 기본값 1로 출력된다.</t>
  </si>
  <si>
    <t>티켓 개수 설정 팝업의 + 버튼 터치 시, 티켓 사용 개수가 1씩 증가한다.</t>
  </si>
  <si>
    <t>티켓 개수 설정 팝업의 - 버튼 터치 시, 티켓 사용 개수가 1씩 감소한다.</t>
  </si>
  <si>
    <t>티켓 개수 설정 팝업에 "1번 클릭당 (n)개씩 티켓이 사용됩니다" 안내 문구가 출력된다.</t>
  </si>
  <si>
    <t>이지/하드/스페셜 모드별로 별도의 티켓 개수 설정이 가능하다.</t>
  </si>
  <si>
    <t>패스 구매 상태에서 티켓 설정 시, 회차당 추가 티켓 개수가 적용되어 출력된다.</t>
  </si>
  <si>
    <t>티켓 개수 설정 팝업 우측 상단 닫기(X) 버튼 터치 시, 팝업이 닫힌다.</t>
  </si>
  <si>
    <t>Play 시도 예외 처리</t>
  </si>
  <si>
    <t>이전 난이도를 클리어하지 않은 상태에서 PLAY 버튼 터치 시, "이전 난이도를 클리어해야 도전 가능합니다" 토스트 메시지가 출력된다.</t>
  </si>
  <si>
    <t>참고 화면: Play 버튼 동작 (Sui.strings.single_boss_challenge.locked)</t>
  </si>
  <si>
    <t>입장 자원이 부족한 상태에서 PLAY 버튼 터치 시, 해당 난이도로 입장이 차단된다.</t>
  </si>
  <si>
    <t>참고 화면: 스테이지 인게임 정보</t>
  </si>
  <si>
    <t>보상 드랍 연출</t>
  </si>
  <si>
    <t>보스 처치 후 드랍</t>
  </si>
  <si>
    <t>보스 처치 시, 보상 아이템이 필드에 드랍되는 연출이 재생된다.</t>
  </si>
  <si>
    <t>참고 화면: 보상 드랍 연출</t>
  </si>
  <si>
    <t>보스 처치 후 약 3초간 보상 드랍 연출이 재생된다.</t>
  </si>
  <si>
    <t>보상 드랍 연출 중 화면 상단에 "OOO이 ㅇㅇㅇ을 획득했습니다" 형식의 안내 메시지가 출력된다.</t>
  </si>
  <si>
    <t>드랍 연출 종료 후 "COMPLETED!" 골드 글자와 트로피 컷이 출력된다.</t>
  </si>
  <si>
    <t>보스 처치 시, 어비스 던전 방식과 동일한 형태로 보상 아이템이 필드 드랍 연출로 출력된다.</t>
  </si>
  <si>
    <t>참고 화면: 인게임 드랍 연출 변경</t>
  </si>
  <si>
    <t>등급별 연출</t>
  </si>
  <si>
    <t>커먼/레어/에픽/슈퍼에픽/유니크 등급별로 구분된 드랍 연출이 출력된다.</t>
  </si>
  <si>
    <t>참고 화면: 보상 드랍 규칙</t>
  </si>
  <si>
    <t>설계도/장비조각 아이템 드랍 시, 신규 제작된 드랍 연출이 출력된다.</t>
  </si>
  <si>
    <t>보상 드랍 연출 중 보스 자리에서 빛/스파클 이펙트가 재생된다.</t>
  </si>
  <si>
    <t>레이드 클리어 결과창</t>
  </si>
  <si>
    <t>결과창 화면 구성</t>
  </si>
  <si>
    <t>레이드 종료 시, 클리어 결과창이 출력된다.</t>
  </si>
  <si>
    <t>참고 화면: 레이드 클리어 결과창</t>
  </si>
  <si>
    <t>레이드 클리어 결과창 상단 중앙에 "CLEAR" 골드 타이틀이 출력된다.</t>
  </si>
  <si>
    <t>레이드 클리어 결과창 좌측에 캐릭터 일러스트가 출력된다.</t>
  </si>
  <si>
    <t>레이드 클리어 결과창에 플레이타임이 출력된다.</t>
  </si>
  <si>
    <t>레이드 클리어 결과창 중앙 하단에 별 등급 표시 영역이 출력된다.</t>
  </si>
  <si>
    <t>획득 아이템 패널</t>
  </si>
  <si>
    <t>레이드 클리어 결과창에 보스 처치 후 획득한 아이템 정보가 출력된다.</t>
  </si>
  <si>
    <t>참고 화면: 레이드 클리어 결과창 / 획득 아이템 정보 표시</t>
  </si>
  <si>
    <t>획득 아이템 패널에 최대 12종까지 아이템이 출력된다.</t>
  </si>
  <si>
    <t>참고 화면: 획득 아이템 정보 표시</t>
  </si>
  <si>
    <t>획득 아이템이 12종을 초과하는 경우, 리스트 스크롤로 추가 아이템 확인이 가능하다.</t>
  </si>
  <si>
    <t>획득 아이템 종류 중 장비는 등급별로 구분되어 표시된다.</t>
  </si>
  <si>
    <t>획득 아이템 종류 중 잠재력 항아리, 설계도, 조각, 연금 항아리는 id별로 구분되어 표시된다.</t>
  </si>
  <si>
    <t>획득 아이템 슬롯 터치 시, 해당 아이템의 툴팁이 출력된다.</t>
  </si>
  <si>
    <t>참고 화면: 획득 아이템 정보 표시 / item_cell</t>
  </si>
  <si>
    <t>결과창 액션 버튼</t>
  </si>
  <si>
    <t>레이드 클리어 결과창의 "나가기" 버튼 터치 시, 레이드 로비로 이동된다.</t>
  </si>
  <si>
    <t>레이드 클리어 결과창에서 "다시하기" 버튼이 출력되지 않는다.</t>
  </si>
  <si>
    <t>참고 화면: 레이드 클리어 결과창 / 다시하기 제거</t>
  </si>
  <si>
    <t>제거 항목 검증</t>
  </si>
  <si>
    <t>레이드 클리어 결과창에 트로피 포인트 영역이 출력되지 않는다.</t>
  </si>
  <si>
    <t>참고 화면: 결과창 변경 사항</t>
  </si>
  <si>
    <t>레이드 클리어 결과창에 트로피 4종(속성 표시 부여, 발끝의 추격, 완벽한 클리어, 압도 피해량) 영역이 출력되지 않는다.</t>
  </si>
  <si>
    <t>레이드 클리어 결과창에 트로피 +300 점수 게이지가 출력되지 않는다.</t>
  </si>
  <si>
    <t>레이드 로비/결과창에서 코코방울 축복 기능 영역이 출력되지 않는다.</t>
  </si>
  <si>
    <t>참고 화면: 보스 선택 / 결과창 변경 사양</t>
  </si>
  <si>
    <t>레이드 클리어 결과창에 코코방울 연출이 재생되지 않는다.</t>
  </si>
  <si>
    <t>레이드 클리어 결과창에 코코 상자 연출이 재생되지 않는다.</t>
  </si>
  <si>
    <t>레이드 로비/결과창에 무지개 상자 지급 이벤트 영역이 출력되지 않는다.</t>
  </si>
  <si>
    <t>참고 화면: 결과창 변경 사양</t>
  </si>
  <si>
    <t>레이드 로비/결과창에 트로피 상자 기능이 출력되지 않는다.</t>
  </si>
  <si>
    <t>일반 레이드 화면에서 랭킹 진입 버튼이 출력되지 않는다.</t>
  </si>
  <si>
    <t>참고 화면: 일반 레이드 랭킹 진입 버튼 제거</t>
  </si>
  <si>
    <t>제작소</t>
  </si>
  <si>
    <t>제작소 진입 화면</t>
  </si>
  <si>
    <t>제작소 진입 시, 상단 좌측에 뒤로가기 버튼과 "제작소" 헤더가 출력된다.</t>
  </si>
  <si>
    <t>참고 화면: 제작소 메인</t>
  </si>
  <si>
    <t>제작소 화면 상단 우측에 우편함, 도감, 메뉴, 홈 버튼이 출력된다.</t>
  </si>
  <si>
    <t>제작소 화면 중앙에 제작소장 NPC 캐릭터 일러스트가 출력된다.</t>
  </si>
  <si>
    <t>제작소 화면에 이벤트 제작 진입 버튼과 잔여 시간 카운터가 출력된다.</t>
  </si>
  <si>
    <t>메뉴 정렬 / 장비 연금 진입</t>
  </si>
  <si>
    <t>제작소 화면의 메뉴 정렬은 장비 제작 → 장비 연금 → 아티팩트 제작 → 아이템 제작 순서로 출력된다.</t>
  </si>
  <si>
    <t>참고 화면: 제작소 메뉴 정렬</t>
  </si>
  <si>
    <t>장비 연금 진입 버튼에 신규 N 배지가 출력된다.</t>
  </si>
  <si>
    <t>제작소의 장비 연금 진입 버튼 터치 시, 장비 연금 화면으로 이동된다.</t>
  </si>
  <si>
    <t>장비 연금 메인 화면</t>
  </si>
  <si>
    <t>장비 연금 화면 상단 좌측에 뒤로가기 버튼과 "장비 연금" 헤더가 출력된다.</t>
  </si>
  <si>
    <t>참고 화면: 장비 연금 화면</t>
  </si>
  <si>
    <t>장비 연금 화면 상단 우측에 다이아, 골드 등 재화 정보가 출력된다.</t>
  </si>
  <si>
    <t>장비 연금 화면 중앙에 빈 슬롯과 추가(+) 버튼이 출력된다.</t>
  </si>
  <si>
    <t>장비 연금 화면에 "연금술 아이템을 선택해주세요" 안내 문구가 출력된다.</t>
  </si>
  <si>
    <t>장비 연금 화면 우측에 항아리(약물) 아이콘이 출력된다.</t>
  </si>
  <si>
    <t>연금술 아이템 선택 팝업</t>
  </si>
  <si>
    <t>장비 연금 화면의 추가(+) 버튼 터치 시, 연금술 아이템 선택 팝업이 출력된다.</t>
  </si>
  <si>
    <t>참고 화면: 연금술 아이템 선택 팝업</t>
  </si>
  <si>
    <t>연금술 아이템 선택 팝업 좌측에 5종의 장비 종류별 카테고리 탭이 출력된다.</t>
  </si>
  <si>
    <t>연금술 아이템 선택 팝업 카테고리 탭 선택 시, 해당 종류의 아이템 그리드로 갱신된다.</t>
  </si>
  <si>
    <t>연금술 아이템 선택 팝업 중앙에 5x4 형태의 아이템 그리드가 출력된다.</t>
  </si>
  <si>
    <t>연금술 아이템 선택 팝업 우측 패널에 레전드 아이템 스킬 발동 정보가 출력된다.</t>
  </si>
  <si>
    <t>연금술 아이템 선택 팝업 우측 패널에 기본 옵션(예: +135.4%) 및 고유 능력 정보가 출력된다.</t>
  </si>
  <si>
    <t>연금술 아이템 선택 팝업 우측 패널에 자원 코스트 정보가 출력된다.</t>
  </si>
  <si>
    <t>연금술 아이템 선택 팝업 하단의 "선택" 버튼 터치 시, 선택한 아이템이 제작 진행 화면에 적용된다.</t>
  </si>
  <si>
    <t>제작 진행</t>
  </si>
  <si>
    <t>제작 진행 화면 중앙에 선택 아이템 슬롯과 투입 재화 슬롯이 출력된다.</t>
  </si>
  <si>
    <t>참고 화면: 제작 진행 화면</t>
  </si>
  <si>
    <t>제작 진행 화면 배경 우측에 항아리 아이콘이 출력된다.</t>
  </si>
  <si>
    <t>제작 진행 화면 하단의 "제작" 버튼 터치 시, 제작 안내 팝업이 출력된다.</t>
  </si>
  <si>
    <t>제작 안내 팝업</t>
  </si>
  <si>
    <t>제작 안내 팝업 상단에 "제작 안내" 타이틀이 출력된다.</t>
  </si>
  <si>
    <t>참고 화면: 제작 안내 팝업</t>
  </si>
  <si>
    <t>제작 안내 팝업에 "제작에 사용된 항아리는 환불받을 수 없으며, 진행한 옵션, 레벨이 모두 사라집니다" 안내 문구가 출력된다.</t>
  </si>
  <si>
    <t>제작 안내 팝업의 "취소" 버튼 터치 시, 팝업이 닫히고 제작 진행 화면으로 복귀된다.</t>
  </si>
  <si>
    <t>제작 안내 팝업의 "제작" 버튼 터치 시, 입력된 자원이 차감되고 제작이 실행된다.</t>
  </si>
  <si>
    <t>제작 완료 화면</t>
  </si>
  <si>
    <t>제작 완료 시, 결과 아이템 슬롯이 포함된 제작 완료 화면이 출력된다.</t>
  </si>
  <si>
    <t>참고 화면: 제작 완료 화면</t>
  </si>
  <si>
    <t>제작 완료 화면 중앙에 "신비한 연금술 공방" 두루마리와 "제작 완료!" 라벨이 출력된다.</t>
  </si>
  <si>
    <t>제작 완료 화면 우측에 받을 수 있는 합계 안내 문구가 출력된다.</t>
  </si>
  <si>
    <t>제작 완료 화면 상단 헤더에 잔여 시간 카운터가 출력된다.</t>
  </si>
  <si>
    <t>탑레벨 UI 변경</t>
  </si>
  <si>
    <t>탑 레벨 화면 구성</t>
  </si>
  <si>
    <t>탑 레벨 화면 좌상단에 뒤로가기 버튼과 "탑 레벨" 헤더가 출력된다.</t>
  </si>
  <si>
    <t>좌측 탭</t>
  </si>
  <si>
    <t>탑 레벨 화면 좌측에 탑 레벨/성장/도전 3종 탭이 출력된다.</t>
  </si>
  <si>
    <t>모드 카드 리스트</t>
  </si>
  <si>
    <t>탑 레벨 화면 중앙에 성장 던전, 레이드 모드, 탑의 균열, 어비스 던전 모드 카드가 세로로 출력된다.</t>
  </si>
  <si>
    <t>각 모드 카드에 콘텐츠 진행도(예: 5/5, 300/300)가 출력된다.</t>
  </si>
  <si>
    <t>보스 카드 행</t>
  </si>
  <si>
    <t>탑 레벨 화면 우측에 6종 보스별 카드 행이 출력된다.</t>
  </si>
  <si>
    <t>참고 화면: 보스 카드 행</t>
  </si>
  <si>
    <t>각 보스 카드 행 좌측에 보스 썸네일 미니 일러스트가 출력된다.</t>
  </si>
  <si>
    <t>각 보스 카드 행 중앙에 해당 보스의 드랍 장비 슬롯 3~4개가 출력된다.</t>
  </si>
  <si>
    <t>보스 카드 행의 드랍 장비 슬롯에 등급별 컬러 테두리(빨강/녹색/보라 등)가 적용되어 출력된다.</t>
  </si>
  <si>
    <t>보스 카드 행 우측의 진입 화살표 버튼 터치 시, 해당 보스의 레이드 진입 팝업으로 이동된다.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</si>
</sst>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9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39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COUNTIF(I10:I139,"Pass")</f>
      </c>
      <c r="K3" t="s">
        <v>4</v>
      </c>
      <c r="L3">
        <f>COUNTIF(I10:I139,"")</f>
      </c>
      <c r="M3" s="3" t="s">
        <v>3</v>
      </c>
      <c r="N3">
        <f>COUNTIF(J10:J139,"Pass")</f>
      </c>
    </row>
    <row r="4" spans="9:14" x14ac:dyDescent="0.25">
      <c r="I4" s="4" t="s">
        <v>5</v>
      </c>
      <c r="J4">
        <f>COUNTIF(I10:I139,"N/T")</f>
      </c>
      <c r="K4" t="s">
        <v>6</v>
      </c>
      <c r="L4">
        <f>COUNTA(I10:I139)-COUNTIF(I10:I139,"")</f>
      </c>
      <c r="M4" s="4" t="s">
        <v>5</v>
      </c>
      <c r="N4">
        <f>COUNTIF(J10:J139,"N/T")</f>
      </c>
    </row>
    <row r="5" spans="9:14" x14ac:dyDescent="0.25">
      <c r="I5" s="5" t="s">
        <v>7</v>
      </c>
      <c r="J5">
        <f>COUNTIF(I10:I139,"Fail")</f>
      </c>
      <c r="K5" t="s">
        <v>8</v>
      </c>
      <c r="L5">
        <v>130</v>
      </c>
      <c r="M5" s="5" t="s">
        <v>7</v>
      </c>
      <c r="N5">
        <f>COUNTIF(J10:J139,"Fail")</f>
      </c>
    </row>
    <row r="6" spans="9:14" x14ac:dyDescent="0.25">
      <c r="I6" s="6" t="s">
        <v>9</v>
      </c>
      <c r="J6">
        <f>COUNTIF(I10:I139,"Block")</f>
      </c>
      <c r="K6" t="s">
        <v>10</v>
      </c>
      <c r="L6" s="7">
        <f>IF(L5=0,0,L4/L5)</f>
      </c>
      <c r="M6" s="6" t="s">
        <v>9</v>
      </c>
      <c r="N6">
        <f>COUNTIF(J10:J139,"Block")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2" t="s">
        <v>11</v>
      </c>
      <c r="G10" s="12" t="s">
        <v>11</v>
      </c>
      <c r="H10" s="13" t="s">
        <v>25</v>
      </c>
      <c r="I10" s="12"/>
      <c r="J10" s="12"/>
      <c r="K10" s="12"/>
      <c r="L10" s="12"/>
      <c r="M10" s="12"/>
      <c r="N10" s="14" t="s">
        <v>26</v>
      </c>
    </row>
    <row r="11" spans="2:14" x14ac:dyDescent="0.25">
      <c r="B11" s="9">
        <v>2</v>
      </c>
      <c r="C11" s="15" t="s">
        <v>27</v>
      </c>
      <c r="D11" s="11"/>
      <c r="E11" s="11"/>
      <c r="F11" s="12" t="s">
        <v>11</v>
      </c>
      <c r="G11" s="12" t="s">
        <v>11</v>
      </c>
      <c r="H11" s="13" t="s">
        <v>28</v>
      </c>
      <c r="I11" s="12"/>
      <c r="J11" s="12"/>
      <c r="K11" s="12"/>
      <c r="L11" s="12"/>
      <c r="M11" s="12"/>
      <c r="N11" s="14" t="s">
        <v>26</v>
      </c>
    </row>
    <row r="12" spans="2:14" x14ac:dyDescent="0.25">
      <c r="B12" s="9">
        <v>3</v>
      </c>
      <c r="C12" s="15" t="s">
        <v>27</v>
      </c>
      <c r="D12" s="11"/>
      <c r="E12" s="11"/>
      <c r="F12" s="12" t="s">
        <v>11</v>
      </c>
      <c r="G12" s="12" t="s">
        <v>11</v>
      </c>
      <c r="H12" s="13" t="s">
        <v>29</v>
      </c>
      <c r="I12" s="12"/>
      <c r="J12" s="12"/>
      <c r="K12" s="12"/>
      <c r="L12" s="12"/>
      <c r="M12" s="12"/>
      <c r="N12" s="14" t="s">
        <v>26</v>
      </c>
    </row>
    <row r="13" spans="2:14" x14ac:dyDescent="0.25">
      <c r="B13" s="9">
        <v>4</v>
      </c>
      <c r="C13" s="10" t="s">
        <v>22</v>
      </c>
      <c r="D13" s="11"/>
      <c r="E13" s="11" t="s">
        <v>30</v>
      </c>
      <c r="F13" s="12" t="s">
        <v>11</v>
      </c>
      <c r="G13" s="12" t="s">
        <v>11</v>
      </c>
      <c r="H13" s="13" t="s">
        <v>31</v>
      </c>
      <c r="I13" s="12"/>
      <c r="J13" s="12"/>
      <c r="K13" s="12"/>
      <c r="L13" s="12"/>
      <c r="M13" s="12"/>
      <c r="N13" s="14" t="s">
        <v>26</v>
      </c>
    </row>
    <row r="14" spans="2:14" x14ac:dyDescent="0.25">
      <c r="B14" s="9">
        <v>5</v>
      </c>
      <c r="C14" s="10" t="s">
        <v>22</v>
      </c>
      <c r="D14" s="11"/>
      <c r="E14" s="11"/>
      <c r="F14" s="12" t="s">
        <v>11</v>
      </c>
      <c r="G14" s="12" t="s">
        <v>11</v>
      </c>
      <c r="H14" s="13" t="s">
        <v>32</v>
      </c>
      <c r="I14" s="12"/>
      <c r="J14" s="12"/>
      <c r="K14" s="12"/>
      <c r="L14" s="12"/>
      <c r="M14" s="12"/>
      <c r="N14" s="14" t="s">
        <v>26</v>
      </c>
    </row>
    <row r="15" spans="2:14" x14ac:dyDescent="0.25">
      <c r="B15" s="9">
        <v>6</v>
      </c>
      <c r="C15" s="10" t="s">
        <v>22</v>
      </c>
      <c r="D15" s="11"/>
      <c r="E15" s="11" t="s">
        <v>33</v>
      </c>
      <c r="F15" s="12" t="s">
        <v>11</v>
      </c>
      <c r="G15" s="12" t="s">
        <v>11</v>
      </c>
      <c r="H15" s="13" t="s">
        <v>34</v>
      </c>
      <c r="I15" s="12"/>
      <c r="J15" s="12"/>
      <c r="K15" s="12"/>
      <c r="L15" s="12"/>
      <c r="M15" s="12"/>
      <c r="N15" s="14" t="s">
        <v>26</v>
      </c>
    </row>
    <row r="16" spans="2:14" x14ac:dyDescent="0.25">
      <c r="B16" s="9">
        <v>7</v>
      </c>
      <c r="C16" s="10" t="s">
        <v>22</v>
      </c>
      <c r="D16" s="11"/>
      <c r="E16" s="11"/>
      <c r="F16" s="12" t="s">
        <v>11</v>
      </c>
      <c r="G16" s="12" t="s">
        <v>11</v>
      </c>
      <c r="H16" s="13" t="s">
        <v>35</v>
      </c>
      <c r="I16" s="12"/>
      <c r="J16" s="12"/>
      <c r="K16" s="12"/>
      <c r="L16" s="12"/>
      <c r="M16" s="12"/>
      <c r="N16" s="14" t="s">
        <v>26</v>
      </c>
    </row>
    <row r="17" spans="2:14" x14ac:dyDescent="0.25">
      <c r="B17" s="9">
        <v>8</v>
      </c>
      <c r="C17" s="16" t="s">
        <v>36</v>
      </c>
      <c r="D17" s="11"/>
      <c r="E17" s="11"/>
      <c r="F17" s="12" t="s">
        <v>11</v>
      </c>
      <c r="G17" s="12" t="s">
        <v>11</v>
      </c>
      <c r="H17" s="13" t="s">
        <v>37</v>
      </c>
      <c r="I17" s="12"/>
      <c r="J17" s="12"/>
      <c r="K17" s="12"/>
      <c r="L17" s="12"/>
      <c r="M17" s="12"/>
      <c r="N17" s="14" t="s">
        <v>26</v>
      </c>
    </row>
    <row r="18" spans="2:14" x14ac:dyDescent="0.25">
      <c r="B18" s="9">
        <v>9</v>
      </c>
      <c r="C18" s="10" t="s">
        <v>22</v>
      </c>
      <c r="D18" s="11" t="s">
        <v>38</v>
      </c>
      <c r="E18" s="11" t="s">
        <v>39</v>
      </c>
      <c r="F18" s="12" t="s">
        <v>11</v>
      </c>
      <c r="G18" s="12" t="s">
        <v>11</v>
      </c>
      <c r="H18" s="13" t="s">
        <v>40</v>
      </c>
      <c r="I18" s="12"/>
      <c r="J18" s="12"/>
      <c r="K18" s="12"/>
      <c r="L18" s="12"/>
      <c r="M18" s="12"/>
      <c r="N18" s="14" t="s">
        <v>41</v>
      </c>
    </row>
    <row r="19" spans="2:14" x14ac:dyDescent="0.25">
      <c r="B19" s="9">
        <v>10</v>
      </c>
      <c r="C19" s="15" t="s">
        <v>27</v>
      </c>
      <c r="D19" s="11"/>
      <c r="E19" s="11"/>
      <c r="F19" s="12" t="s">
        <v>11</v>
      </c>
      <c r="G19" s="12" t="s">
        <v>11</v>
      </c>
      <c r="H19" s="13" t="s">
        <v>42</v>
      </c>
      <c r="I19" s="12"/>
      <c r="J19" s="12"/>
      <c r="K19" s="12"/>
      <c r="L19" s="12"/>
      <c r="M19" s="12"/>
      <c r="N19" s="14" t="s">
        <v>41</v>
      </c>
    </row>
    <row r="20" spans="2:14" x14ac:dyDescent="0.25">
      <c r="B20" s="9">
        <v>11</v>
      </c>
      <c r="C20" s="10" t="s">
        <v>22</v>
      </c>
      <c r="D20" s="11"/>
      <c r="E20" s="11"/>
      <c r="F20" s="12" t="s">
        <v>11</v>
      </c>
      <c r="G20" s="12" t="s">
        <v>11</v>
      </c>
      <c r="H20" s="13" t="s">
        <v>43</v>
      </c>
      <c r="I20" s="12"/>
      <c r="J20" s="12"/>
      <c r="K20" s="12"/>
      <c r="L20" s="12"/>
      <c r="M20" s="12"/>
      <c r="N20" s="14" t="s">
        <v>41</v>
      </c>
    </row>
    <row r="21" spans="2:14" x14ac:dyDescent="0.25">
      <c r="B21" s="9">
        <v>12</v>
      </c>
      <c r="C21" s="15" t="s">
        <v>27</v>
      </c>
      <c r="D21" s="11"/>
      <c r="E21" s="11"/>
      <c r="F21" s="12" t="s">
        <v>11</v>
      </c>
      <c r="G21" s="12" t="s">
        <v>11</v>
      </c>
      <c r="H21" s="13" t="s">
        <v>44</v>
      </c>
      <c r="I21" s="12"/>
      <c r="J21" s="12"/>
      <c r="K21" s="12"/>
      <c r="L21" s="12"/>
      <c r="M21" s="12"/>
      <c r="N21" s="14" t="s">
        <v>41</v>
      </c>
    </row>
    <row r="22" spans="2:14" x14ac:dyDescent="0.25">
      <c r="B22" s="9">
        <v>13</v>
      </c>
      <c r="C22" s="10" t="s">
        <v>22</v>
      </c>
      <c r="D22" s="11"/>
      <c r="E22" s="11" t="s">
        <v>45</v>
      </c>
      <c r="F22" s="12" t="s">
        <v>11</v>
      </c>
      <c r="G22" s="12" t="s">
        <v>11</v>
      </c>
      <c r="H22" s="13" t="s">
        <v>46</v>
      </c>
      <c r="I22" s="12"/>
      <c r="J22" s="12"/>
      <c r="K22" s="12"/>
      <c r="L22" s="12"/>
      <c r="M22" s="12"/>
      <c r="N22" s="14" t="s">
        <v>41</v>
      </c>
    </row>
    <row r="23" spans="2:14" x14ac:dyDescent="0.25">
      <c r="B23" s="9">
        <v>14</v>
      </c>
      <c r="C23" s="10" t="s">
        <v>22</v>
      </c>
      <c r="D23" s="11"/>
      <c r="E23" s="11"/>
      <c r="F23" s="12" t="s">
        <v>11</v>
      </c>
      <c r="G23" s="12" t="s">
        <v>11</v>
      </c>
      <c r="H23" s="13" t="s">
        <v>47</v>
      </c>
      <c r="I23" s="12"/>
      <c r="J23" s="12"/>
      <c r="K23" s="12"/>
      <c r="L23" s="12"/>
      <c r="M23" s="12"/>
      <c r="N23" s="14" t="s">
        <v>41</v>
      </c>
    </row>
    <row r="24" spans="2:14" x14ac:dyDescent="0.25">
      <c r="B24" s="9">
        <v>15</v>
      </c>
      <c r="C24" s="10" t="s">
        <v>22</v>
      </c>
      <c r="D24" s="11"/>
      <c r="E24" s="11"/>
      <c r="F24" s="12" t="s">
        <v>11</v>
      </c>
      <c r="G24" s="12" t="s">
        <v>11</v>
      </c>
      <c r="H24" s="13" t="s">
        <v>48</v>
      </c>
      <c r="I24" s="12"/>
      <c r="J24" s="12"/>
      <c r="K24" s="12"/>
      <c r="L24" s="12"/>
      <c r="M24" s="12"/>
      <c r="N24" s="14" t="s">
        <v>49</v>
      </c>
    </row>
    <row r="25" spans="2:14" x14ac:dyDescent="0.25">
      <c r="B25" s="9">
        <v>16</v>
      </c>
      <c r="C25" s="10" t="s">
        <v>22</v>
      </c>
      <c r="D25" s="11"/>
      <c r="E25" s="11" t="s">
        <v>50</v>
      </c>
      <c r="F25" s="12" t="s">
        <v>11</v>
      </c>
      <c r="G25" s="12" t="s">
        <v>11</v>
      </c>
      <c r="H25" s="13" t="s">
        <v>51</v>
      </c>
      <c r="I25" s="12"/>
      <c r="J25" s="12"/>
      <c r="K25" s="12"/>
      <c r="L25" s="12"/>
      <c r="M25" s="12"/>
      <c r="N25" s="14" t="s">
        <v>41</v>
      </c>
    </row>
    <row r="26" spans="2:14" x14ac:dyDescent="0.25">
      <c r="B26" s="9">
        <v>17</v>
      </c>
      <c r="C26" s="10" t="s">
        <v>22</v>
      </c>
      <c r="D26" s="11"/>
      <c r="E26" s="11"/>
      <c r="F26" s="12" t="s">
        <v>11</v>
      </c>
      <c r="G26" s="12" t="s">
        <v>11</v>
      </c>
      <c r="H26" s="13" t="s">
        <v>52</v>
      </c>
      <c r="I26" s="12"/>
      <c r="J26" s="12"/>
      <c r="K26" s="12"/>
      <c r="L26" s="12"/>
      <c r="M26" s="12"/>
      <c r="N26" s="14" t="s">
        <v>41</v>
      </c>
    </row>
    <row r="27" spans="2:14" x14ac:dyDescent="0.25">
      <c r="B27" s="9">
        <v>18</v>
      </c>
      <c r="C27" s="15" t="s">
        <v>27</v>
      </c>
      <c r="D27" s="11"/>
      <c r="E27" s="11"/>
      <c r="F27" s="12" t="s">
        <v>11</v>
      </c>
      <c r="G27" s="12" t="s">
        <v>11</v>
      </c>
      <c r="H27" s="13" t="s">
        <v>53</v>
      </c>
      <c r="I27" s="12"/>
      <c r="J27" s="12"/>
      <c r="K27" s="12"/>
      <c r="L27" s="12"/>
      <c r="M27" s="12"/>
      <c r="N27" s="14" t="s">
        <v>41</v>
      </c>
    </row>
    <row r="28" spans="2:14" x14ac:dyDescent="0.25">
      <c r="B28" s="9">
        <v>19</v>
      </c>
      <c r="C28" s="10" t="s">
        <v>22</v>
      </c>
      <c r="D28" s="11"/>
      <c r="E28" s="11"/>
      <c r="F28" s="12" t="s">
        <v>11</v>
      </c>
      <c r="G28" s="12" t="s">
        <v>11</v>
      </c>
      <c r="H28" s="13" t="s">
        <v>54</v>
      </c>
      <c r="I28" s="12"/>
      <c r="J28" s="12"/>
      <c r="K28" s="12"/>
      <c r="L28" s="12"/>
      <c r="M28" s="12"/>
      <c r="N28" s="14" t="s">
        <v>41</v>
      </c>
    </row>
    <row r="29" spans="2:14" x14ac:dyDescent="0.25">
      <c r="B29" s="9">
        <v>20</v>
      </c>
      <c r="C29" s="15" t="s">
        <v>27</v>
      </c>
      <c r="D29" s="11"/>
      <c r="E29" s="11"/>
      <c r="F29" s="12" t="s">
        <v>11</v>
      </c>
      <c r="G29" s="12" t="s">
        <v>11</v>
      </c>
      <c r="H29" s="13" t="s">
        <v>55</v>
      </c>
      <c r="I29" s="12"/>
      <c r="J29" s="12"/>
      <c r="K29" s="12"/>
      <c r="L29" s="12"/>
      <c r="M29" s="12"/>
      <c r="N29" s="14" t="s">
        <v>41</v>
      </c>
    </row>
    <row r="30" spans="2:14" x14ac:dyDescent="0.25">
      <c r="B30" s="9">
        <v>21</v>
      </c>
      <c r="C30" s="15" t="s">
        <v>27</v>
      </c>
      <c r="D30" s="11"/>
      <c r="E30" s="11"/>
      <c r="F30" s="12" t="s">
        <v>11</v>
      </c>
      <c r="G30" s="12" t="s">
        <v>11</v>
      </c>
      <c r="H30" s="13" t="s">
        <v>56</v>
      </c>
      <c r="I30" s="12"/>
      <c r="J30" s="12"/>
      <c r="K30" s="12"/>
      <c r="L30" s="12"/>
      <c r="M30" s="12"/>
      <c r="N30" s="14" t="s">
        <v>41</v>
      </c>
    </row>
    <row r="31" spans="2:14" x14ac:dyDescent="0.25">
      <c r="B31" s="9">
        <v>22</v>
      </c>
      <c r="C31" s="10" t="s">
        <v>22</v>
      </c>
      <c r="D31" s="11"/>
      <c r="E31" s="11" t="s">
        <v>57</v>
      </c>
      <c r="F31" s="12" t="s">
        <v>11</v>
      </c>
      <c r="G31" s="12" t="s">
        <v>11</v>
      </c>
      <c r="H31" s="13" t="s">
        <v>58</v>
      </c>
      <c r="I31" s="12"/>
      <c r="J31" s="12"/>
      <c r="K31" s="12"/>
      <c r="L31" s="12"/>
      <c r="M31" s="12"/>
      <c r="N31" s="14" t="s">
        <v>59</v>
      </c>
    </row>
    <row r="32" spans="2:14" x14ac:dyDescent="0.25">
      <c r="B32" s="9">
        <v>23</v>
      </c>
      <c r="C32" s="10" t="s">
        <v>22</v>
      </c>
      <c r="D32" s="11"/>
      <c r="E32" s="11"/>
      <c r="F32" s="12" t="s">
        <v>11</v>
      </c>
      <c r="G32" s="12" t="s">
        <v>11</v>
      </c>
      <c r="H32" s="13" t="s">
        <v>60</v>
      </c>
      <c r="I32" s="12"/>
      <c r="J32" s="12"/>
      <c r="K32" s="12"/>
      <c r="L32" s="12"/>
      <c r="M32" s="12"/>
      <c r="N32" s="14" t="s">
        <v>59</v>
      </c>
    </row>
    <row r="33" spans="2:14" x14ac:dyDescent="0.25">
      <c r="B33" s="9">
        <v>24</v>
      </c>
      <c r="C33" s="10" t="s">
        <v>22</v>
      </c>
      <c r="D33" s="11"/>
      <c r="E33" s="11"/>
      <c r="F33" s="12" t="s">
        <v>11</v>
      </c>
      <c r="G33" s="12" t="s">
        <v>11</v>
      </c>
      <c r="H33" s="13" t="s">
        <v>61</v>
      </c>
      <c r="I33" s="12"/>
      <c r="J33" s="12"/>
      <c r="K33" s="12"/>
      <c r="L33" s="12"/>
      <c r="M33" s="12"/>
      <c r="N33" s="14" t="s">
        <v>59</v>
      </c>
    </row>
    <row r="34" spans="2:14" x14ac:dyDescent="0.25">
      <c r="B34" s="9">
        <v>25</v>
      </c>
      <c r="C34" s="16" t="s">
        <v>36</v>
      </c>
      <c r="D34" s="11"/>
      <c r="E34" s="11"/>
      <c r="F34" s="12" t="s">
        <v>11</v>
      </c>
      <c r="G34" s="12" t="s">
        <v>11</v>
      </c>
      <c r="H34" s="13" t="s">
        <v>62</v>
      </c>
      <c r="I34" s="12"/>
      <c r="J34" s="12"/>
      <c r="K34" s="12"/>
      <c r="L34" s="12"/>
      <c r="M34" s="12"/>
      <c r="N34" s="14" t="s">
        <v>59</v>
      </c>
    </row>
    <row r="35" spans="2:14" x14ac:dyDescent="0.25">
      <c r="B35" s="9">
        <v>26</v>
      </c>
      <c r="C35" s="10" t="s">
        <v>22</v>
      </c>
      <c r="D35" s="11" t="s">
        <v>63</v>
      </c>
      <c r="E35" s="11" t="s">
        <v>64</v>
      </c>
      <c r="F35" s="12" t="s">
        <v>11</v>
      </c>
      <c r="G35" s="12" t="s">
        <v>11</v>
      </c>
      <c r="H35" s="13" t="s">
        <v>65</v>
      </c>
      <c r="I35" s="12"/>
      <c r="J35" s="12"/>
      <c r="K35" s="12"/>
      <c r="L35" s="12"/>
      <c r="M35" s="12"/>
      <c r="N35" s="14" t="s">
        <v>66</v>
      </c>
    </row>
    <row r="36" spans="2:14" x14ac:dyDescent="0.25">
      <c r="B36" s="9">
        <v>27</v>
      </c>
      <c r="C36" s="10" t="s">
        <v>22</v>
      </c>
      <c r="D36" s="11"/>
      <c r="E36" s="11"/>
      <c r="F36" s="12" t="s">
        <v>11</v>
      </c>
      <c r="G36" s="12" t="s">
        <v>11</v>
      </c>
      <c r="H36" s="13" t="s">
        <v>67</v>
      </c>
      <c r="I36" s="12"/>
      <c r="J36" s="12"/>
      <c r="K36" s="12"/>
      <c r="L36" s="12"/>
      <c r="M36" s="12"/>
      <c r="N36" s="14" t="s">
        <v>66</v>
      </c>
    </row>
    <row r="37" spans="2:14" x14ac:dyDescent="0.25">
      <c r="B37" s="9">
        <v>28</v>
      </c>
      <c r="C37" s="10" t="s">
        <v>22</v>
      </c>
      <c r="D37" s="11"/>
      <c r="E37" s="11"/>
      <c r="F37" s="12" t="s">
        <v>11</v>
      </c>
      <c r="G37" s="12" t="s">
        <v>11</v>
      </c>
      <c r="H37" s="13" t="s">
        <v>68</v>
      </c>
      <c r="I37" s="12"/>
      <c r="J37" s="12"/>
      <c r="K37" s="12"/>
      <c r="L37" s="12"/>
      <c r="M37" s="12"/>
      <c r="N37" s="14" t="s">
        <v>66</v>
      </c>
    </row>
    <row r="38" spans="2:14" x14ac:dyDescent="0.25">
      <c r="B38" s="9">
        <v>29</v>
      </c>
      <c r="C38" s="10" t="s">
        <v>22</v>
      </c>
      <c r="D38" s="11"/>
      <c r="E38" s="11"/>
      <c r="F38" s="12" t="s">
        <v>11</v>
      </c>
      <c r="G38" s="12" t="s">
        <v>11</v>
      </c>
      <c r="H38" s="13" t="s">
        <v>69</v>
      </c>
      <c r="I38" s="12"/>
      <c r="J38" s="12"/>
      <c r="K38" s="12"/>
      <c r="L38" s="12"/>
      <c r="M38" s="12"/>
      <c r="N38" s="14" t="s">
        <v>66</v>
      </c>
    </row>
    <row r="39" spans="2:14" x14ac:dyDescent="0.25">
      <c r="B39" s="9">
        <v>30</v>
      </c>
      <c r="C39" s="10" t="s">
        <v>22</v>
      </c>
      <c r="D39" s="11"/>
      <c r="E39" s="11"/>
      <c r="F39" s="12" t="s">
        <v>11</v>
      </c>
      <c r="G39" s="12" t="s">
        <v>11</v>
      </c>
      <c r="H39" s="13" t="s">
        <v>70</v>
      </c>
      <c r="I39" s="12"/>
      <c r="J39" s="12"/>
      <c r="K39" s="12"/>
      <c r="L39" s="12"/>
      <c r="M39" s="12"/>
      <c r="N39" s="14" t="s">
        <v>66</v>
      </c>
    </row>
    <row r="40" spans="2:14" x14ac:dyDescent="0.25">
      <c r="B40" s="9">
        <v>31</v>
      </c>
      <c r="C40" s="15" t="s">
        <v>27</v>
      </c>
      <c r="D40" s="11"/>
      <c r="E40" s="11"/>
      <c r="F40" s="12" t="s">
        <v>11</v>
      </c>
      <c r="G40" s="12" t="s">
        <v>11</v>
      </c>
      <c r="H40" s="13" t="s">
        <v>71</v>
      </c>
      <c r="I40" s="12"/>
      <c r="J40" s="12"/>
      <c r="K40" s="12"/>
      <c r="L40" s="12"/>
      <c r="M40" s="12"/>
      <c r="N40" s="14" t="s">
        <v>66</v>
      </c>
    </row>
    <row r="41" spans="2:14" x14ac:dyDescent="0.25">
      <c r="B41" s="9">
        <v>32</v>
      </c>
      <c r="C41" s="10" t="s">
        <v>22</v>
      </c>
      <c r="D41" s="11"/>
      <c r="E41" s="11"/>
      <c r="F41" s="12" t="s">
        <v>11</v>
      </c>
      <c r="G41" s="12" t="s">
        <v>11</v>
      </c>
      <c r="H41" s="13" t="s">
        <v>72</v>
      </c>
      <c r="I41" s="12"/>
      <c r="J41" s="12"/>
      <c r="K41" s="12"/>
      <c r="L41" s="12"/>
      <c r="M41" s="12"/>
      <c r="N41" s="14" t="s">
        <v>66</v>
      </c>
    </row>
    <row r="42" spans="2:14" x14ac:dyDescent="0.25">
      <c r="B42" s="9">
        <v>33</v>
      </c>
      <c r="C42" s="10" t="s">
        <v>22</v>
      </c>
      <c r="D42" s="11"/>
      <c r="E42" s="11"/>
      <c r="F42" s="12" t="s">
        <v>11</v>
      </c>
      <c r="G42" s="12" t="s">
        <v>11</v>
      </c>
      <c r="H42" s="13" t="s">
        <v>73</v>
      </c>
      <c r="I42" s="12"/>
      <c r="J42" s="12"/>
      <c r="K42" s="12"/>
      <c r="L42" s="12"/>
      <c r="M42" s="12"/>
      <c r="N42" s="14" t="s">
        <v>66</v>
      </c>
    </row>
    <row r="43" spans="2:14" x14ac:dyDescent="0.25">
      <c r="B43" s="9">
        <v>34</v>
      </c>
      <c r="C43" s="10" t="s">
        <v>22</v>
      </c>
      <c r="D43" s="11"/>
      <c r="E43" s="11" t="s">
        <v>74</v>
      </c>
      <c r="F43" s="12" t="s">
        <v>11</v>
      </c>
      <c r="G43" s="12" t="s">
        <v>11</v>
      </c>
      <c r="H43" s="13" t="s">
        <v>75</v>
      </c>
      <c r="I43" s="12"/>
      <c r="J43" s="12"/>
      <c r="K43" s="12"/>
      <c r="L43" s="12"/>
      <c r="M43" s="12"/>
      <c r="N43" s="14" t="s">
        <v>66</v>
      </c>
    </row>
    <row r="44" spans="2:14" x14ac:dyDescent="0.25">
      <c r="B44" s="9">
        <v>35</v>
      </c>
      <c r="C44" s="16" t="s">
        <v>36</v>
      </c>
      <c r="D44" s="11"/>
      <c r="E44" s="11"/>
      <c r="F44" s="12" t="s">
        <v>11</v>
      </c>
      <c r="G44" s="12" t="s">
        <v>11</v>
      </c>
      <c r="H44" s="13" t="s">
        <v>76</v>
      </c>
      <c r="I44" s="12"/>
      <c r="J44" s="12"/>
      <c r="K44" s="12"/>
      <c r="L44" s="12"/>
      <c r="M44" s="12"/>
      <c r="N44" s="14" t="s">
        <v>77</v>
      </c>
    </row>
    <row r="45" spans="2:14" x14ac:dyDescent="0.25">
      <c r="B45" s="9">
        <v>36</v>
      </c>
      <c r="C45" s="10" t="s">
        <v>22</v>
      </c>
      <c r="D45" s="11"/>
      <c r="E45" s="11"/>
      <c r="F45" s="12" t="s">
        <v>11</v>
      </c>
      <c r="G45" s="12" t="s">
        <v>11</v>
      </c>
      <c r="H45" s="13" t="s">
        <v>78</v>
      </c>
      <c r="I45" s="12"/>
      <c r="J45" s="12"/>
      <c r="K45" s="12"/>
      <c r="L45" s="12"/>
      <c r="M45" s="12"/>
      <c r="N45" s="14" t="s">
        <v>79</v>
      </c>
    </row>
    <row r="46" spans="2:14" x14ac:dyDescent="0.25">
      <c r="B46" s="9">
        <v>37</v>
      </c>
      <c r="C46" s="10" t="s">
        <v>22</v>
      </c>
      <c r="D46" s="11"/>
      <c r="E46" s="11" t="s">
        <v>80</v>
      </c>
      <c r="F46" s="12" t="s">
        <v>11</v>
      </c>
      <c r="G46" s="12" t="s">
        <v>11</v>
      </c>
      <c r="H46" s="13" t="s">
        <v>81</v>
      </c>
      <c r="I46" s="12"/>
      <c r="J46" s="12"/>
      <c r="K46" s="12"/>
      <c r="L46" s="12"/>
      <c r="M46" s="12"/>
      <c r="N46" s="14" t="s">
        <v>82</v>
      </c>
    </row>
    <row r="47" spans="2:14" x14ac:dyDescent="0.25">
      <c r="B47" s="9">
        <v>38</v>
      </c>
      <c r="C47" s="10" t="s">
        <v>22</v>
      </c>
      <c r="D47" s="11"/>
      <c r="E47" s="11"/>
      <c r="F47" s="12" t="s">
        <v>11</v>
      </c>
      <c r="G47" s="12" t="s">
        <v>11</v>
      </c>
      <c r="H47" s="13" t="s">
        <v>83</v>
      </c>
      <c r="I47" s="12"/>
      <c r="J47" s="12"/>
      <c r="K47" s="12"/>
      <c r="L47" s="12"/>
      <c r="M47" s="12"/>
      <c r="N47" s="14" t="s">
        <v>84</v>
      </c>
    </row>
    <row r="48" spans="2:14" x14ac:dyDescent="0.25">
      <c r="B48" s="9">
        <v>39</v>
      </c>
      <c r="C48" s="10" t="s">
        <v>22</v>
      </c>
      <c r="D48" s="11"/>
      <c r="E48" s="11"/>
      <c r="F48" s="12" t="s">
        <v>11</v>
      </c>
      <c r="G48" s="12" t="s">
        <v>11</v>
      </c>
      <c r="H48" s="13" t="s">
        <v>85</v>
      </c>
      <c r="I48" s="12"/>
      <c r="J48" s="12"/>
      <c r="K48" s="12"/>
      <c r="L48" s="12"/>
      <c r="M48" s="12"/>
      <c r="N48" s="14" t="s">
        <v>86</v>
      </c>
    </row>
    <row r="49" spans="2:14" x14ac:dyDescent="0.25">
      <c r="B49" s="9">
        <v>40</v>
      </c>
      <c r="C49" s="10" t="s">
        <v>22</v>
      </c>
      <c r="D49" s="11" t="s">
        <v>87</v>
      </c>
      <c r="E49" s="11" t="s">
        <v>88</v>
      </c>
      <c r="F49" s="12" t="s">
        <v>11</v>
      </c>
      <c r="G49" s="12" t="s">
        <v>11</v>
      </c>
      <c r="H49" s="13" t="s">
        <v>89</v>
      </c>
      <c r="I49" s="12"/>
      <c r="J49" s="12"/>
      <c r="K49" s="12"/>
      <c r="L49" s="12"/>
      <c r="M49" s="12"/>
      <c r="N49" s="14" t="s">
        <v>90</v>
      </c>
    </row>
    <row r="50" spans="2:14" x14ac:dyDescent="0.25">
      <c r="B50" s="9">
        <v>41</v>
      </c>
      <c r="C50" s="10" t="s">
        <v>22</v>
      </c>
      <c r="D50" s="11"/>
      <c r="E50" s="11"/>
      <c r="F50" s="12" t="s">
        <v>11</v>
      </c>
      <c r="G50" s="12" t="s">
        <v>11</v>
      </c>
      <c r="H50" s="13" t="s">
        <v>91</v>
      </c>
      <c r="I50" s="12"/>
      <c r="J50" s="12"/>
      <c r="K50" s="12"/>
      <c r="L50" s="12"/>
      <c r="M50" s="12"/>
      <c r="N50" s="14" t="s">
        <v>90</v>
      </c>
    </row>
    <row r="51" spans="2:14" x14ac:dyDescent="0.25">
      <c r="B51" s="9">
        <v>42</v>
      </c>
      <c r="C51" s="10" t="s">
        <v>22</v>
      </c>
      <c r="D51" s="11"/>
      <c r="E51" s="11"/>
      <c r="F51" s="12" t="s">
        <v>11</v>
      </c>
      <c r="G51" s="12" t="s">
        <v>11</v>
      </c>
      <c r="H51" s="13" t="s">
        <v>92</v>
      </c>
      <c r="I51" s="12"/>
      <c r="J51" s="12"/>
      <c r="K51" s="12"/>
      <c r="L51" s="12"/>
      <c r="M51" s="12"/>
      <c r="N51" s="14" t="s">
        <v>90</v>
      </c>
    </row>
    <row r="52" spans="2:14" x14ac:dyDescent="0.25">
      <c r="B52" s="9">
        <v>43</v>
      </c>
      <c r="C52" s="10" t="s">
        <v>22</v>
      </c>
      <c r="D52" s="11"/>
      <c r="E52" s="11"/>
      <c r="F52" s="12" t="s">
        <v>11</v>
      </c>
      <c r="G52" s="12" t="s">
        <v>11</v>
      </c>
      <c r="H52" s="13" t="s">
        <v>93</v>
      </c>
      <c r="I52" s="12"/>
      <c r="J52" s="12"/>
      <c r="K52" s="12"/>
      <c r="L52" s="12"/>
      <c r="M52" s="12"/>
      <c r="N52" s="14" t="s">
        <v>90</v>
      </c>
    </row>
    <row r="53" spans="2:14" x14ac:dyDescent="0.25">
      <c r="B53" s="9">
        <v>44</v>
      </c>
      <c r="C53" s="15" t="s">
        <v>27</v>
      </c>
      <c r="D53" s="11"/>
      <c r="E53" s="11"/>
      <c r="F53" s="12" t="s">
        <v>11</v>
      </c>
      <c r="G53" s="12" t="s">
        <v>11</v>
      </c>
      <c r="H53" s="13" t="s">
        <v>94</v>
      </c>
      <c r="I53" s="12"/>
      <c r="J53" s="12"/>
      <c r="K53" s="12"/>
      <c r="L53" s="12"/>
      <c r="M53" s="12"/>
      <c r="N53" s="14" t="s">
        <v>90</v>
      </c>
    </row>
    <row r="54" spans="2:14" x14ac:dyDescent="0.25">
      <c r="B54" s="9">
        <v>45</v>
      </c>
      <c r="C54" s="15" t="s">
        <v>27</v>
      </c>
      <c r="D54" s="11"/>
      <c r="E54" s="11"/>
      <c r="F54" s="12" t="s">
        <v>11</v>
      </c>
      <c r="G54" s="12" t="s">
        <v>11</v>
      </c>
      <c r="H54" s="13" t="s">
        <v>95</v>
      </c>
      <c r="I54" s="12"/>
      <c r="J54" s="12"/>
      <c r="K54" s="12"/>
      <c r="L54" s="12"/>
      <c r="M54" s="12"/>
      <c r="N54" s="14" t="s">
        <v>90</v>
      </c>
    </row>
    <row r="55" spans="2:14" x14ac:dyDescent="0.25">
      <c r="B55" s="9">
        <v>46</v>
      </c>
      <c r="C55" s="10" t="s">
        <v>22</v>
      </c>
      <c r="D55" s="11"/>
      <c r="E55" s="11" t="s">
        <v>96</v>
      </c>
      <c r="F55" s="12" t="s">
        <v>11</v>
      </c>
      <c r="G55" s="12" t="s">
        <v>11</v>
      </c>
      <c r="H55" s="13" t="s">
        <v>97</v>
      </c>
      <c r="I55" s="12"/>
      <c r="J55" s="12"/>
      <c r="K55" s="12"/>
      <c r="L55" s="12"/>
      <c r="M55" s="12"/>
      <c r="N55" s="14" t="s">
        <v>90</v>
      </c>
    </row>
    <row r="56" spans="2:14" x14ac:dyDescent="0.25">
      <c r="B56" s="9">
        <v>47</v>
      </c>
      <c r="C56" s="15" t="s">
        <v>27</v>
      </c>
      <c r="D56" s="11"/>
      <c r="E56" s="11"/>
      <c r="F56" s="12" t="s">
        <v>11</v>
      </c>
      <c r="G56" s="12" t="s">
        <v>11</v>
      </c>
      <c r="H56" s="13" t="s">
        <v>98</v>
      </c>
      <c r="I56" s="12"/>
      <c r="J56" s="12"/>
      <c r="K56" s="12"/>
      <c r="L56" s="12"/>
      <c r="M56" s="12"/>
      <c r="N56" s="14" t="s">
        <v>90</v>
      </c>
    </row>
    <row r="57" spans="2:14" x14ac:dyDescent="0.25">
      <c r="B57" s="9">
        <v>48</v>
      </c>
      <c r="C57" s="16" t="s">
        <v>36</v>
      </c>
      <c r="D57" s="11" t="s">
        <v>99</v>
      </c>
      <c r="E57" s="11" t="s">
        <v>100</v>
      </c>
      <c r="F57" s="12" t="s">
        <v>11</v>
      </c>
      <c r="G57" s="12" t="s">
        <v>11</v>
      </c>
      <c r="H57" s="13" t="s">
        <v>101</v>
      </c>
      <c r="I57" s="12"/>
      <c r="J57" s="12"/>
      <c r="K57" s="12"/>
      <c r="L57" s="12"/>
      <c r="M57" s="12"/>
      <c r="N57" s="14" t="s">
        <v>102</v>
      </c>
    </row>
    <row r="58" spans="2:14" x14ac:dyDescent="0.25">
      <c r="B58" s="9">
        <v>49</v>
      </c>
      <c r="C58" s="10" t="s">
        <v>22</v>
      </c>
      <c r="D58" s="11"/>
      <c r="E58" s="11"/>
      <c r="F58" s="12" t="s">
        <v>11</v>
      </c>
      <c r="G58" s="12" t="s">
        <v>11</v>
      </c>
      <c r="H58" s="13" t="s">
        <v>103</v>
      </c>
      <c r="I58" s="12"/>
      <c r="J58" s="12"/>
      <c r="K58" s="12"/>
      <c r="L58" s="12"/>
      <c r="M58" s="12"/>
      <c r="N58" s="14" t="s">
        <v>102</v>
      </c>
    </row>
    <row r="59" spans="2:14" x14ac:dyDescent="0.25">
      <c r="B59" s="9">
        <v>50</v>
      </c>
      <c r="C59" s="10" t="s">
        <v>22</v>
      </c>
      <c r="D59" s="11"/>
      <c r="E59" s="11"/>
      <c r="F59" s="12" t="s">
        <v>11</v>
      </c>
      <c r="G59" s="12" t="s">
        <v>11</v>
      </c>
      <c r="H59" s="13" t="s">
        <v>104</v>
      </c>
      <c r="I59" s="12"/>
      <c r="J59" s="12"/>
      <c r="K59" s="12"/>
      <c r="L59" s="12"/>
      <c r="M59" s="12"/>
      <c r="N59" s="14" t="s">
        <v>102</v>
      </c>
    </row>
    <row r="60" spans="2:14" x14ac:dyDescent="0.25">
      <c r="B60" s="9">
        <v>51</v>
      </c>
      <c r="C60" s="10" t="s">
        <v>22</v>
      </c>
      <c r="D60" s="11"/>
      <c r="E60" s="11" t="s">
        <v>105</v>
      </c>
      <c r="F60" s="12" t="s">
        <v>11</v>
      </c>
      <c r="G60" s="12" t="s">
        <v>11</v>
      </c>
      <c r="H60" s="13" t="s">
        <v>106</v>
      </c>
      <c r="I60" s="12"/>
      <c r="J60" s="12"/>
      <c r="K60" s="12"/>
      <c r="L60" s="12"/>
      <c r="M60" s="12"/>
      <c r="N60" s="14" t="s">
        <v>107</v>
      </c>
    </row>
    <row r="61" spans="2:14" x14ac:dyDescent="0.25">
      <c r="B61" s="9">
        <v>52</v>
      </c>
      <c r="C61" s="10" t="s">
        <v>22</v>
      </c>
      <c r="D61" s="11"/>
      <c r="E61" s="11"/>
      <c r="F61" s="12" t="s">
        <v>11</v>
      </c>
      <c r="G61" s="12" t="s">
        <v>11</v>
      </c>
      <c r="H61" s="13" t="s">
        <v>108</v>
      </c>
      <c r="I61" s="12"/>
      <c r="J61" s="12"/>
      <c r="K61" s="12"/>
      <c r="L61" s="12"/>
      <c r="M61" s="12"/>
      <c r="N61" s="14" t="s">
        <v>107</v>
      </c>
    </row>
    <row r="62" spans="2:14" x14ac:dyDescent="0.25">
      <c r="B62" s="9">
        <v>53</v>
      </c>
      <c r="C62" s="10" t="s">
        <v>22</v>
      </c>
      <c r="D62" s="11"/>
      <c r="E62" s="11"/>
      <c r="F62" s="12" t="s">
        <v>11</v>
      </c>
      <c r="G62" s="12" t="s">
        <v>11</v>
      </c>
      <c r="H62" s="13" t="s">
        <v>109</v>
      </c>
      <c r="I62" s="12"/>
      <c r="J62" s="12"/>
      <c r="K62" s="12"/>
      <c r="L62" s="12"/>
      <c r="M62" s="12"/>
      <c r="N62" s="14" t="s">
        <v>107</v>
      </c>
    </row>
    <row r="63" spans="2:14" x14ac:dyDescent="0.25">
      <c r="B63" s="9">
        <v>54</v>
      </c>
      <c r="C63" s="10" t="s">
        <v>22</v>
      </c>
      <c r="D63" s="11"/>
      <c r="E63" s="11"/>
      <c r="F63" s="12" t="s">
        <v>11</v>
      </c>
      <c r="G63" s="12" t="s">
        <v>11</v>
      </c>
      <c r="H63" s="13" t="s">
        <v>110</v>
      </c>
      <c r="I63" s="12"/>
      <c r="J63" s="12"/>
      <c r="K63" s="12"/>
      <c r="L63" s="12"/>
      <c r="M63" s="12"/>
      <c r="N63" s="14" t="s">
        <v>107</v>
      </c>
    </row>
    <row r="64" spans="2:14" x14ac:dyDescent="0.25">
      <c r="B64" s="9">
        <v>55</v>
      </c>
      <c r="C64" s="10" t="s">
        <v>22</v>
      </c>
      <c r="D64" s="11"/>
      <c r="E64" s="11"/>
      <c r="F64" s="12" t="s">
        <v>11</v>
      </c>
      <c r="G64" s="12" t="s">
        <v>11</v>
      </c>
      <c r="H64" s="13" t="s">
        <v>111</v>
      </c>
      <c r="I64" s="12"/>
      <c r="J64" s="12"/>
      <c r="K64" s="12"/>
      <c r="L64" s="12"/>
      <c r="M64" s="12"/>
      <c r="N64" s="14" t="s">
        <v>107</v>
      </c>
    </row>
    <row r="65" spans="2:14" x14ac:dyDescent="0.25">
      <c r="B65" s="9">
        <v>56</v>
      </c>
      <c r="C65" s="15" t="s">
        <v>27</v>
      </c>
      <c r="D65" s="11"/>
      <c r="E65" s="11"/>
      <c r="F65" s="12" t="s">
        <v>11</v>
      </c>
      <c r="G65" s="12" t="s">
        <v>11</v>
      </c>
      <c r="H65" s="13" t="s">
        <v>112</v>
      </c>
      <c r="I65" s="12"/>
      <c r="J65" s="12"/>
      <c r="K65" s="12"/>
      <c r="L65" s="12"/>
      <c r="M65" s="12"/>
      <c r="N65" s="14" t="s">
        <v>107</v>
      </c>
    </row>
    <row r="66" spans="2:14" x14ac:dyDescent="0.25">
      <c r="B66" s="9">
        <v>57</v>
      </c>
      <c r="C66" s="10" t="s">
        <v>22</v>
      </c>
      <c r="D66" s="11"/>
      <c r="E66" s="11"/>
      <c r="F66" s="12" t="s">
        <v>11</v>
      </c>
      <c r="G66" s="12" t="s">
        <v>11</v>
      </c>
      <c r="H66" s="13" t="s">
        <v>113</v>
      </c>
      <c r="I66" s="12"/>
      <c r="J66" s="12"/>
      <c r="K66" s="12"/>
      <c r="L66" s="12"/>
      <c r="M66" s="12"/>
      <c r="N66" s="14" t="s">
        <v>107</v>
      </c>
    </row>
    <row r="67" spans="2:14" x14ac:dyDescent="0.25">
      <c r="B67" s="9">
        <v>58</v>
      </c>
      <c r="C67" s="15" t="s">
        <v>27</v>
      </c>
      <c r="D67" s="11"/>
      <c r="E67" s="11"/>
      <c r="F67" s="12" t="s">
        <v>11</v>
      </c>
      <c r="G67" s="12" t="s">
        <v>11</v>
      </c>
      <c r="H67" s="13" t="s">
        <v>114</v>
      </c>
      <c r="I67" s="12"/>
      <c r="J67" s="12"/>
      <c r="K67" s="12"/>
      <c r="L67" s="12"/>
      <c r="M67" s="12"/>
      <c r="N67" s="14" t="s">
        <v>107</v>
      </c>
    </row>
    <row r="68" spans="2:14" x14ac:dyDescent="0.25">
      <c r="B68" s="9">
        <v>59</v>
      </c>
      <c r="C68" s="10" t="s">
        <v>22</v>
      </c>
      <c r="D68" s="11"/>
      <c r="E68" s="11" t="s">
        <v>115</v>
      </c>
      <c r="F68" s="12" t="s">
        <v>11</v>
      </c>
      <c r="G68" s="12" t="s">
        <v>11</v>
      </c>
      <c r="H68" s="13" t="s">
        <v>116</v>
      </c>
      <c r="I68" s="12"/>
      <c r="J68" s="12"/>
      <c r="K68" s="12"/>
      <c r="L68" s="12"/>
      <c r="M68" s="12"/>
      <c r="N68" s="14" t="s">
        <v>117</v>
      </c>
    </row>
    <row r="69" spans="2:14" x14ac:dyDescent="0.25">
      <c r="B69" s="9">
        <v>60</v>
      </c>
      <c r="C69" s="10" t="s">
        <v>22</v>
      </c>
      <c r="D69" s="11"/>
      <c r="E69" s="11"/>
      <c r="F69" s="12" t="s">
        <v>11</v>
      </c>
      <c r="G69" s="12" t="s">
        <v>11</v>
      </c>
      <c r="H69" s="13" t="s">
        <v>118</v>
      </c>
      <c r="I69" s="12"/>
      <c r="J69" s="12"/>
      <c r="K69" s="12"/>
      <c r="L69" s="12"/>
      <c r="M69" s="12"/>
      <c r="N69" s="14" t="s">
        <v>119</v>
      </c>
    </row>
    <row r="70" spans="2:14" x14ac:dyDescent="0.25">
      <c r="B70" s="9">
        <v>61</v>
      </c>
      <c r="C70" s="16" t="s">
        <v>36</v>
      </c>
      <c r="D70" s="11" t="s">
        <v>120</v>
      </c>
      <c r="E70" s="11" t="s">
        <v>121</v>
      </c>
      <c r="F70" s="12" t="s">
        <v>11</v>
      </c>
      <c r="G70" s="12" t="s">
        <v>11</v>
      </c>
      <c r="H70" s="13" t="s">
        <v>122</v>
      </c>
      <c r="I70" s="12"/>
      <c r="J70" s="12"/>
      <c r="K70" s="12"/>
      <c r="L70" s="12"/>
      <c r="M70" s="12"/>
      <c r="N70" s="14" t="s">
        <v>123</v>
      </c>
    </row>
    <row r="71" spans="2:14" x14ac:dyDescent="0.25">
      <c r="B71" s="9">
        <v>62</v>
      </c>
      <c r="C71" s="10" t="s">
        <v>22</v>
      </c>
      <c r="D71" s="11"/>
      <c r="E71" s="11"/>
      <c r="F71" s="12" t="s">
        <v>11</v>
      </c>
      <c r="G71" s="12" t="s">
        <v>11</v>
      </c>
      <c r="H71" s="13" t="s">
        <v>124</v>
      </c>
      <c r="I71" s="12"/>
      <c r="J71" s="12"/>
      <c r="K71" s="12"/>
      <c r="L71" s="12"/>
      <c r="M71" s="12"/>
      <c r="N71" s="14" t="s">
        <v>123</v>
      </c>
    </row>
    <row r="72" spans="2:14" x14ac:dyDescent="0.25">
      <c r="B72" s="9">
        <v>63</v>
      </c>
      <c r="C72" s="10" t="s">
        <v>22</v>
      </c>
      <c r="D72" s="11"/>
      <c r="E72" s="11"/>
      <c r="F72" s="12" t="s">
        <v>11</v>
      </c>
      <c r="G72" s="12" t="s">
        <v>11</v>
      </c>
      <c r="H72" s="13" t="s">
        <v>125</v>
      </c>
      <c r="I72" s="12"/>
      <c r="J72" s="12"/>
      <c r="K72" s="12"/>
      <c r="L72" s="12"/>
      <c r="M72" s="12"/>
      <c r="N72" s="14" t="s">
        <v>123</v>
      </c>
    </row>
    <row r="73" spans="2:14" x14ac:dyDescent="0.25">
      <c r="B73" s="9">
        <v>64</v>
      </c>
      <c r="C73" s="15" t="s">
        <v>27</v>
      </c>
      <c r="D73" s="11"/>
      <c r="E73" s="11"/>
      <c r="F73" s="12" t="s">
        <v>11</v>
      </c>
      <c r="G73" s="12" t="s">
        <v>11</v>
      </c>
      <c r="H73" s="13" t="s">
        <v>126</v>
      </c>
      <c r="I73" s="12"/>
      <c r="J73" s="12"/>
      <c r="K73" s="12"/>
      <c r="L73" s="12"/>
      <c r="M73" s="12"/>
      <c r="N73" s="14" t="s">
        <v>123</v>
      </c>
    </row>
    <row r="74" spans="2:14" x14ac:dyDescent="0.25">
      <c r="B74" s="9">
        <v>65</v>
      </c>
      <c r="C74" s="15" t="s">
        <v>27</v>
      </c>
      <c r="D74" s="11"/>
      <c r="E74" s="11"/>
      <c r="F74" s="12" t="s">
        <v>11</v>
      </c>
      <c r="G74" s="12" t="s">
        <v>11</v>
      </c>
      <c r="H74" s="13" t="s">
        <v>127</v>
      </c>
      <c r="I74" s="12"/>
      <c r="J74" s="12"/>
      <c r="K74" s="12"/>
      <c r="L74" s="12"/>
      <c r="M74" s="12"/>
      <c r="N74" s="14" t="s">
        <v>128</v>
      </c>
    </row>
    <row r="75" spans="2:14" x14ac:dyDescent="0.25">
      <c r="B75" s="9">
        <v>66</v>
      </c>
      <c r="C75" s="15" t="s">
        <v>27</v>
      </c>
      <c r="D75" s="11"/>
      <c r="E75" s="11" t="s">
        <v>129</v>
      </c>
      <c r="F75" s="12" t="s">
        <v>11</v>
      </c>
      <c r="G75" s="12" t="s">
        <v>11</v>
      </c>
      <c r="H75" s="13" t="s">
        <v>130</v>
      </c>
      <c r="I75" s="12"/>
      <c r="J75" s="12"/>
      <c r="K75" s="12"/>
      <c r="L75" s="12"/>
      <c r="M75" s="12"/>
      <c r="N75" s="14" t="s">
        <v>131</v>
      </c>
    </row>
    <row r="76" spans="2:14" x14ac:dyDescent="0.25">
      <c r="B76" s="9">
        <v>67</v>
      </c>
      <c r="C76" s="15" t="s">
        <v>27</v>
      </c>
      <c r="D76" s="11"/>
      <c r="E76" s="11"/>
      <c r="F76" s="12" t="s">
        <v>11</v>
      </c>
      <c r="G76" s="12" t="s">
        <v>11</v>
      </c>
      <c r="H76" s="13" t="s">
        <v>132</v>
      </c>
      <c r="I76" s="12"/>
      <c r="J76" s="12"/>
      <c r="K76" s="12"/>
      <c r="L76" s="12"/>
      <c r="M76" s="12"/>
      <c r="N76" s="14" t="s">
        <v>131</v>
      </c>
    </row>
    <row r="77" spans="2:14" x14ac:dyDescent="0.25">
      <c r="B77" s="9">
        <v>68</v>
      </c>
      <c r="C77" s="15" t="s">
        <v>27</v>
      </c>
      <c r="D77" s="11"/>
      <c r="E77" s="11"/>
      <c r="F77" s="12" t="s">
        <v>11</v>
      </c>
      <c r="G77" s="12" t="s">
        <v>11</v>
      </c>
      <c r="H77" s="13" t="s">
        <v>133</v>
      </c>
      <c r="I77" s="12"/>
      <c r="J77" s="12"/>
      <c r="K77" s="12"/>
      <c r="L77" s="12"/>
      <c r="M77" s="12"/>
      <c r="N77" s="14" t="s">
        <v>123</v>
      </c>
    </row>
    <row r="78" spans="2:14" x14ac:dyDescent="0.25">
      <c r="B78" s="9">
        <v>69</v>
      </c>
      <c r="C78" s="16" t="s">
        <v>36</v>
      </c>
      <c r="D78" s="11" t="s">
        <v>134</v>
      </c>
      <c r="E78" s="11" t="s">
        <v>135</v>
      </c>
      <c r="F78" s="12" t="s">
        <v>11</v>
      </c>
      <c r="G78" s="12" t="s">
        <v>11</v>
      </c>
      <c r="H78" s="13" t="s">
        <v>136</v>
      </c>
      <c r="I78" s="12"/>
      <c r="J78" s="12"/>
      <c r="K78" s="12"/>
      <c r="L78" s="12"/>
      <c r="M78" s="12"/>
      <c r="N78" s="14" t="s">
        <v>137</v>
      </c>
    </row>
    <row r="79" spans="2:14" x14ac:dyDescent="0.25">
      <c r="B79" s="9">
        <v>70</v>
      </c>
      <c r="C79" s="10" t="s">
        <v>22</v>
      </c>
      <c r="D79" s="11"/>
      <c r="E79" s="11"/>
      <c r="F79" s="12" t="s">
        <v>11</v>
      </c>
      <c r="G79" s="12" t="s">
        <v>11</v>
      </c>
      <c r="H79" s="13" t="s">
        <v>138</v>
      </c>
      <c r="I79" s="12"/>
      <c r="J79" s="12"/>
      <c r="K79" s="12"/>
      <c r="L79" s="12"/>
      <c r="M79" s="12"/>
      <c r="N79" s="14" t="s">
        <v>137</v>
      </c>
    </row>
    <row r="80" spans="2:14" x14ac:dyDescent="0.25">
      <c r="B80" s="9">
        <v>71</v>
      </c>
      <c r="C80" s="15" t="s">
        <v>27</v>
      </c>
      <c r="D80" s="11"/>
      <c r="E80" s="11"/>
      <c r="F80" s="12" t="s">
        <v>11</v>
      </c>
      <c r="G80" s="12" t="s">
        <v>11</v>
      </c>
      <c r="H80" s="13" t="s">
        <v>139</v>
      </c>
      <c r="I80" s="12"/>
      <c r="J80" s="12"/>
      <c r="K80" s="12"/>
      <c r="L80" s="12"/>
      <c r="M80" s="12"/>
      <c r="N80" s="14" t="s">
        <v>137</v>
      </c>
    </row>
    <row r="81" spans="2:14" x14ac:dyDescent="0.25">
      <c r="B81" s="9">
        <v>72</v>
      </c>
      <c r="C81" s="10" t="s">
        <v>22</v>
      </c>
      <c r="D81" s="11"/>
      <c r="E81" s="11"/>
      <c r="F81" s="12" t="s">
        <v>11</v>
      </c>
      <c r="G81" s="12" t="s">
        <v>11</v>
      </c>
      <c r="H81" s="13" t="s">
        <v>140</v>
      </c>
      <c r="I81" s="12"/>
      <c r="J81" s="12"/>
      <c r="K81" s="12"/>
      <c r="L81" s="12"/>
      <c r="M81" s="12"/>
      <c r="N81" s="14" t="s">
        <v>137</v>
      </c>
    </row>
    <row r="82" spans="2:14" x14ac:dyDescent="0.25">
      <c r="B82" s="9">
        <v>73</v>
      </c>
      <c r="C82" s="15" t="s">
        <v>27</v>
      </c>
      <c r="D82" s="11"/>
      <c r="E82" s="11"/>
      <c r="F82" s="12" t="s">
        <v>11</v>
      </c>
      <c r="G82" s="12" t="s">
        <v>11</v>
      </c>
      <c r="H82" s="13" t="s">
        <v>141</v>
      </c>
      <c r="I82" s="12"/>
      <c r="J82" s="12"/>
      <c r="K82" s="12"/>
      <c r="L82" s="12"/>
      <c r="M82" s="12"/>
      <c r="N82" s="14" t="s">
        <v>137</v>
      </c>
    </row>
    <row r="83" spans="2:14" x14ac:dyDescent="0.25">
      <c r="B83" s="9">
        <v>74</v>
      </c>
      <c r="C83" s="16" t="s">
        <v>36</v>
      </c>
      <c r="D83" s="11"/>
      <c r="E83" s="11" t="s">
        <v>142</v>
      </c>
      <c r="F83" s="12" t="s">
        <v>11</v>
      </c>
      <c r="G83" s="12" t="s">
        <v>11</v>
      </c>
      <c r="H83" s="13" t="s">
        <v>143</v>
      </c>
      <c r="I83" s="12"/>
      <c r="J83" s="12"/>
      <c r="K83" s="12"/>
      <c r="L83" s="12"/>
      <c r="M83" s="12"/>
      <c r="N83" s="14" t="s">
        <v>144</v>
      </c>
    </row>
    <row r="84" spans="2:14" x14ac:dyDescent="0.25">
      <c r="B84" s="9">
        <v>75</v>
      </c>
      <c r="C84" s="10" t="s">
        <v>22</v>
      </c>
      <c r="D84" s="11"/>
      <c r="E84" s="11"/>
      <c r="F84" s="12" t="s">
        <v>11</v>
      </c>
      <c r="G84" s="12" t="s">
        <v>11</v>
      </c>
      <c r="H84" s="13" t="s">
        <v>145</v>
      </c>
      <c r="I84" s="12"/>
      <c r="J84" s="12"/>
      <c r="K84" s="12"/>
      <c r="L84" s="12"/>
      <c r="M84" s="12"/>
      <c r="N84" s="14" t="s">
        <v>146</v>
      </c>
    </row>
    <row r="85" spans="2:14" x14ac:dyDescent="0.25">
      <c r="B85" s="9">
        <v>76</v>
      </c>
      <c r="C85" s="10" t="s">
        <v>22</v>
      </c>
      <c r="D85" s="11"/>
      <c r="E85" s="11"/>
      <c r="F85" s="12" t="s">
        <v>11</v>
      </c>
      <c r="G85" s="12" t="s">
        <v>11</v>
      </c>
      <c r="H85" s="13" t="s">
        <v>147</v>
      </c>
      <c r="I85" s="12"/>
      <c r="J85" s="12"/>
      <c r="K85" s="12"/>
      <c r="L85" s="12"/>
      <c r="M85" s="12"/>
      <c r="N85" s="14" t="s">
        <v>146</v>
      </c>
    </row>
    <row r="86" spans="2:14" x14ac:dyDescent="0.25">
      <c r="B86" s="9">
        <v>77</v>
      </c>
      <c r="C86" s="10" t="s">
        <v>22</v>
      </c>
      <c r="D86" s="11"/>
      <c r="E86" s="11"/>
      <c r="F86" s="12" t="s">
        <v>11</v>
      </c>
      <c r="G86" s="12" t="s">
        <v>11</v>
      </c>
      <c r="H86" s="13" t="s">
        <v>148</v>
      </c>
      <c r="I86" s="12"/>
      <c r="J86" s="12"/>
      <c r="K86" s="12"/>
      <c r="L86" s="12"/>
      <c r="M86" s="12"/>
      <c r="N86" s="14" t="s">
        <v>146</v>
      </c>
    </row>
    <row r="87" spans="2:14" x14ac:dyDescent="0.25">
      <c r="B87" s="9">
        <v>78</v>
      </c>
      <c r="C87" s="10" t="s">
        <v>22</v>
      </c>
      <c r="D87" s="11"/>
      <c r="E87" s="11"/>
      <c r="F87" s="12" t="s">
        <v>11</v>
      </c>
      <c r="G87" s="12" t="s">
        <v>11</v>
      </c>
      <c r="H87" s="13" t="s">
        <v>149</v>
      </c>
      <c r="I87" s="12"/>
      <c r="J87" s="12"/>
      <c r="K87" s="12"/>
      <c r="L87" s="12"/>
      <c r="M87" s="12"/>
      <c r="N87" s="14" t="s">
        <v>146</v>
      </c>
    </row>
    <row r="88" spans="2:14" x14ac:dyDescent="0.25">
      <c r="B88" s="9">
        <v>79</v>
      </c>
      <c r="C88" s="15" t="s">
        <v>27</v>
      </c>
      <c r="D88" s="11"/>
      <c r="E88" s="11"/>
      <c r="F88" s="12" t="s">
        <v>11</v>
      </c>
      <c r="G88" s="12" t="s">
        <v>11</v>
      </c>
      <c r="H88" s="13" t="s">
        <v>150</v>
      </c>
      <c r="I88" s="12"/>
      <c r="J88" s="12"/>
      <c r="K88" s="12"/>
      <c r="L88" s="12"/>
      <c r="M88" s="12"/>
      <c r="N88" s="14" t="s">
        <v>151</v>
      </c>
    </row>
    <row r="89" spans="2:14" x14ac:dyDescent="0.25">
      <c r="B89" s="9">
        <v>80</v>
      </c>
      <c r="C89" s="16" t="s">
        <v>36</v>
      </c>
      <c r="D89" s="11"/>
      <c r="E89" s="11" t="s">
        <v>152</v>
      </c>
      <c r="F89" s="12" t="s">
        <v>11</v>
      </c>
      <c r="G89" s="12" t="s">
        <v>11</v>
      </c>
      <c r="H89" s="13" t="s">
        <v>153</v>
      </c>
      <c r="I89" s="12"/>
      <c r="J89" s="12"/>
      <c r="K89" s="12"/>
      <c r="L89" s="12"/>
      <c r="M89" s="12"/>
      <c r="N89" s="14" t="s">
        <v>137</v>
      </c>
    </row>
    <row r="90" spans="2:14" x14ac:dyDescent="0.25">
      <c r="B90" s="9">
        <v>81</v>
      </c>
      <c r="C90" s="10" t="s">
        <v>22</v>
      </c>
      <c r="D90" s="11"/>
      <c r="E90" s="11"/>
      <c r="F90" s="12" t="s">
        <v>11</v>
      </c>
      <c r="G90" s="12" t="s">
        <v>11</v>
      </c>
      <c r="H90" s="13" t="s">
        <v>154</v>
      </c>
      <c r="I90" s="12"/>
      <c r="J90" s="12"/>
      <c r="K90" s="12"/>
      <c r="L90" s="12"/>
      <c r="M90" s="12"/>
      <c r="N90" s="14" t="s">
        <v>155</v>
      </c>
    </row>
    <row r="91" spans="2:14" x14ac:dyDescent="0.25">
      <c r="B91" s="9">
        <v>82</v>
      </c>
      <c r="C91" s="10" t="s">
        <v>22</v>
      </c>
      <c r="D91" s="11"/>
      <c r="E91" s="11" t="s">
        <v>156</v>
      </c>
      <c r="F91" s="12" t="s">
        <v>11</v>
      </c>
      <c r="G91" s="12" t="s">
        <v>11</v>
      </c>
      <c r="H91" s="13" t="s">
        <v>157</v>
      </c>
      <c r="I91" s="12"/>
      <c r="J91" s="12"/>
      <c r="K91" s="12"/>
      <c r="L91" s="12"/>
      <c r="M91" s="12"/>
      <c r="N91" s="14" t="s">
        <v>158</v>
      </c>
    </row>
    <row r="92" spans="2:14" x14ac:dyDescent="0.25">
      <c r="B92" s="9">
        <v>83</v>
      </c>
      <c r="C92" s="10" t="s">
        <v>22</v>
      </c>
      <c r="D92" s="11"/>
      <c r="E92" s="11"/>
      <c r="F92" s="12" t="s">
        <v>11</v>
      </c>
      <c r="G92" s="12" t="s">
        <v>11</v>
      </c>
      <c r="H92" s="13" t="s">
        <v>159</v>
      </c>
      <c r="I92" s="12"/>
      <c r="J92" s="12"/>
      <c r="K92" s="12"/>
      <c r="L92" s="12"/>
      <c r="M92" s="12"/>
      <c r="N92" s="14" t="s">
        <v>158</v>
      </c>
    </row>
    <row r="93" spans="2:14" x14ac:dyDescent="0.25">
      <c r="B93" s="9">
        <v>84</v>
      </c>
      <c r="C93" s="10" t="s">
        <v>22</v>
      </c>
      <c r="D93" s="11"/>
      <c r="E93" s="11"/>
      <c r="F93" s="12" t="s">
        <v>11</v>
      </c>
      <c r="G93" s="12" t="s">
        <v>11</v>
      </c>
      <c r="H93" s="13" t="s">
        <v>160</v>
      </c>
      <c r="I93" s="12"/>
      <c r="J93" s="12"/>
      <c r="K93" s="12"/>
      <c r="L93" s="12"/>
      <c r="M93" s="12"/>
      <c r="N93" s="14" t="s">
        <v>158</v>
      </c>
    </row>
    <row r="94" spans="2:14" x14ac:dyDescent="0.25">
      <c r="B94" s="9">
        <v>85</v>
      </c>
      <c r="C94" s="10" t="s">
        <v>22</v>
      </c>
      <c r="D94" s="11"/>
      <c r="E94" s="11"/>
      <c r="F94" s="12" t="s">
        <v>11</v>
      </c>
      <c r="G94" s="12" t="s">
        <v>11</v>
      </c>
      <c r="H94" s="13" t="s">
        <v>161</v>
      </c>
      <c r="I94" s="12"/>
      <c r="J94" s="12"/>
      <c r="K94" s="12"/>
      <c r="L94" s="12"/>
      <c r="M94" s="12"/>
      <c r="N94" s="14" t="s">
        <v>162</v>
      </c>
    </row>
    <row r="95" spans="2:14" x14ac:dyDescent="0.25">
      <c r="B95" s="9">
        <v>86</v>
      </c>
      <c r="C95" s="10" t="s">
        <v>22</v>
      </c>
      <c r="D95" s="11"/>
      <c r="E95" s="11"/>
      <c r="F95" s="12" t="s">
        <v>11</v>
      </c>
      <c r="G95" s="12" t="s">
        <v>11</v>
      </c>
      <c r="H95" s="13" t="s">
        <v>163</v>
      </c>
      <c r="I95" s="12"/>
      <c r="J95" s="12"/>
      <c r="K95" s="12"/>
      <c r="L95" s="12"/>
      <c r="M95" s="12"/>
      <c r="N95" s="14" t="s">
        <v>128</v>
      </c>
    </row>
    <row r="96" spans="2:14" x14ac:dyDescent="0.25">
      <c r="B96" s="9">
        <v>87</v>
      </c>
      <c r="C96" s="10" t="s">
        <v>22</v>
      </c>
      <c r="D96" s="11"/>
      <c r="E96" s="11"/>
      <c r="F96" s="12" t="s">
        <v>11</v>
      </c>
      <c r="G96" s="12" t="s">
        <v>11</v>
      </c>
      <c r="H96" s="13" t="s">
        <v>164</v>
      </c>
      <c r="I96" s="12"/>
      <c r="J96" s="12"/>
      <c r="K96" s="12"/>
      <c r="L96" s="12"/>
      <c r="M96" s="12"/>
      <c r="N96" s="14" t="s">
        <v>128</v>
      </c>
    </row>
    <row r="97" spans="2:14" x14ac:dyDescent="0.25">
      <c r="B97" s="9">
        <v>88</v>
      </c>
      <c r="C97" s="10" t="s">
        <v>22</v>
      </c>
      <c r="D97" s="11"/>
      <c r="E97" s="11"/>
      <c r="F97" s="12" t="s">
        <v>11</v>
      </c>
      <c r="G97" s="12" t="s">
        <v>11</v>
      </c>
      <c r="H97" s="13" t="s">
        <v>165</v>
      </c>
      <c r="I97" s="12"/>
      <c r="J97" s="12"/>
      <c r="K97" s="12"/>
      <c r="L97" s="12"/>
      <c r="M97" s="12"/>
      <c r="N97" s="14" t="s">
        <v>166</v>
      </c>
    </row>
    <row r="98" spans="2:14" x14ac:dyDescent="0.25">
      <c r="B98" s="9">
        <v>89</v>
      </c>
      <c r="C98" s="10" t="s">
        <v>22</v>
      </c>
      <c r="D98" s="11"/>
      <c r="E98" s="11"/>
      <c r="F98" s="12" t="s">
        <v>11</v>
      </c>
      <c r="G98" s="12" t="s">
        <v>11</v>
      </c>
      <c r="H98" s="13" t="s">
        <v>167</v>
      </c>
      <c r="I98" s="12"/>
      <c r="J98" s="12"/>
      <c r="K98" s="12"/>
      <c r="L98" s="12"/>
      <c r="M98" s="12"/>
      <c r="N98" s="14" t="s">
        <v>166</v>
      </c>
    </row>
    <row r="99" spans="2:14" x14ac:dyDescent="0.25">
      <c r="B99" s="9">
        <v>90</v>
      </c>
      <c r="C99" s="10" t="s">
        <v>22</v>
      </c>
      <c r="D99" s="11"/>
      <c r="E99" s="11"/>
      <c r="F99" s="12" t="s">
        <v>11</v>
      </c>
      <c r="G99" s="12" t="s">
        <v>11</v>
      </c>
      <c r="H99" s="13" t="s">
        <v>168</v>
      </c>
      <c r="I99" s="12"/>
      <c r="J99" s="12"/>
      <c r="K99" s="12"/>
      <c r="L99" s="12"/>
      <c r="M99" s="12"/>
      <c r="N99" s="14" t="s">
        <v>169</v>
      </c>
    </row>
    <row r="100" spans="2:14" x14ac:dyDescent="0.25">
      <c r="B100" s="9">
        <v>91</v>
      </c>
      <c r="C100" s="10" t="s">
        <v>22</v>
      </c>
      <c r="D100" s="11" t="s">
        <v>170</v>
      </c>
      <c r="E100" s="11" t="s">
        <v>171</v>
      </c>
      <c r="F100" s="12" t="s">
        <v>11</v>
      </c>
      <c r="G100" s="12" t="s">
        <v>11</v>
      </c>
      <c r="H100" s="13" t="s">
        <v>172</v>
      </c>
      <c r="I100" s="12"/>
      <c r="J100" s="12"/>
      <c r="K100" s="12"/>
      <c r="L100" s="12"/>
      <c r="M100" s="12"/>
      <c r="N100" s="14" t="s">
        <v>173</v>
      </c>
    </row>
    <row r="101" spans="2:14" x14ac:dyDescent="0.25">
      <c r="B101" s="9">
        <v>92</v>
      </c>
      <c r="C101" s="15" t="s">
        <v>27</v>
      </c>
      <c r="D101" s="11"/>
      <c r="E101" s="11"/>
      <c r="F101" s="12" t="s">
        <v>11</v>
      </c>
      <c r="G101" s="12" t="s">
        <v>11</v>
      </c>
      <c r="H101" s="13" t="s">
        <v>174</v>
      </c>
      <c r="I101" s="12"/>
      <c r="J101" s="12"/>
      <c r="K101" s="12"/>
      <c r="L101" s="12"/>
      <c r="M101" s="12"/>
      <c r="N101" s="14" t="s">
        <v>173</v>
      </c>
    </row>
    <row r="102" spans="2:14" x14ac:dyDescent="0.25">
      <c r="B102" s="9">
        <v>93</v>
      </c>
      <c r="C102" s="15" t="s">
        <v>27</v>
      </c>
      <c r="D102" s="11"/>
      <c r="E102" s="11"/>
      <c r="F102" s="12" t="s">
        <v>11</v>
      </c>
      <c r="G102" s="12" t="s">
        <v>11</v>
      </c>
      <c r="H102" s="13" t="s">
        <v>175</v>
      </c>
      <c r="I102" s="12"/>
      <c r="J102" s="12"/>
      <c r="K102" s="12"/>
      <c r="L102" s="12"/>
      <c r="M102" s="12"/>
      <c r="N102" s="14" t="s">
        <v>173</v>
      </c>
    </row>
    <row r="103" spans="2:14" x14ac:dyDescent="0.25">
      <c r="B103" s="9">
        <v>94</v>
      </c>
      <c r="C103" s="10" t="s">
        <v>22</v>
      </c>
      <c r="D103" s="11"/>
      <c r="E103" s="11"/>
      <c r="F103" s="12" t="s">
        <v>11</v>
      </c>
      <c r="G103" s="12" t="s">
        <v>11</v>
      </c>
      <c r="H103" s="13" t="s">
        <v>176</v>
      </c>
      <c r="I103" s="12"/>
      <c r="J103" s="12"/>
      <c r="K103" s="12"/>
      <c r="L103" s="12"/>
      <c r="M103" s="12"/>
      <c r="N103" s="14" t="s">
        <v>173</v>
      </c>
    </row>
    <row r="104" spans="2:14" x14ac:dyDescent="0.25">
      <c r="B104" s="9">
        <v>95</v>
      </c>
      <c r="C104" s="16" t="s">
        <v>36</v>
      </c>
      <c r="D104" s="11"/>
      <c r="E104" s="11" t="s">
        <v>177</v>
      </c>
      <c r="F104" s="12" t="s">
        <v>11</v>
      </c>
      <c r="G104" s="12" t="s">
        <v>11</v>
      </c>
      <c r="H104" s="13" t="s">
        <v>178</v>
      </c>
      <c r="I104" s="12"/>
      <c r="J104" s="12"/>
      <c r="K104" s="12"/>
      <c r="L104" s="12"/>
      <c r="M104" s="12"/>
      <c r="N104" s="14" t="s">
        <v>179</v>
      </c>
    </row>
    <row r="105" spans="2:14" x14ac:dyDescent="0.25">
      <c r="B105" s="9">
        <v>96</v>
      </c>
      <c r="C105" s="10" t="s">
        <v>22</v>
      </c>
      <c r="D105" s="11"/>
      <c r="E105" s="11"/>
      <c r="F105" s="12" t="s">
        <v>11</v>
      </c>
      <c r="G105" s="12" t="s">
        <v>11</v>
      </c>
      <c r="H105" s="13" t="s">
        <v>180</v>
      </c>
      <c r="I105" s="12"/>
      <c r="J105" s="12"/>
      <c r="K105" s="12"/>
      <c r="L105" s="12"/>
      <c r="M105" s="12"/>
      <c r="N105" s="14" t="s">
        <v>179</v>
      </c>
    </row>
    <row r="106" spans="2:14" x14ac:dyDescent="0.25">
      <c r="B106" s="9">
        <v>97</v>
      </c>
      <c r="C106" s="16" t="s">
        <v>36</v>
      </c>
      <c r="D106" s="11"/>
      <c r="E106" s="11"/>
      <c r="F106" s="12" t="s">
        <v>11</v>
      </c>
      <c r="G106" s="12" t="s">
        <v>11</v>
      </c>
      <c r="H106" s="13" t="s">
        <v>181</v>
      </c>
      <c r="I106" s="12"/>
      <c r="J106" s="12"/>
      <c r="K106" s="12"/>
      <c r="L106" s="12"/>
      <c r="M106" s="12"/>
      <c r="N106" s="14" t="s">
        <v>179</v>
      </c>
    </row>
    <row r="107" spans="2:14" x14ac:dyDescent="0.25">
      <c r="B107" s="9">
        <v>98</v>
      </c>
      <c r="C107" s="10" t="s">
        <v>22</v>
      </c>
      <c r="D107" s="11"/>
      <c r="E107" s="11" t="s">
        <v>182</v>
      </c>
      <c r="F107" s="12" t="s">
        <v>11</v>
      </c>
      <c r="G107" s="12" t="s">
        <v>11</v>
      </c>
      <c r="H107" s="13" t="s">
        <v>183</v>
      </c>
      <c r="I107" s="12"/>
      <c r="J107" s="12"/>
      <c r="K107" s="12"/>
      <c r="L107" s="12"/>
      <c r="M107" s="12"/>
      <c r="N107" s="14" t="s">
        <v>184</v>
      </c>
    </row>
    <row r="108" spans="2:14" x14ac:dyDescent="0.25">
      <c r="B108" s="9">
        <v>99</v>
      </c>
      <c r="C108" s="15" t="s">
        <v>27</v>
      </c>
      <c r="D108" s="11"/>
      <c r="E108" s="11"/>
      <c r="F108" s="12" t="s">
        <v>11</v>
      </c>
      <c r="G108" s="12" t="s">
        <v>11</v>
      </c>
      <c r="H108" s="13" t="s">
        <v>185</v>
      </c>
      <c r="I108" s="12"/>
      <c r="J108" s="12"/>
      <c r="K108" s="12"/>
      <c r="L108" s="12"/>
      <c r="M108" s="12"/>
      <c r="N108" s="14" t="s">
        <v>184</v>
      </c>
    </row>
    <row r="109" spans="2:14" x14ac:dyDescent="0.25">
      <c r="B109" s="9">
        <v>100</v>
      </c>
      <c r="C109" s="10" t="s">
        <v>22</v>
      </c>
      <c r="D109" s="11"/>
      <c r="E109" s="11"/>
      <c r="F109" s="12" t="s">
        <v>11</v>
      </c>
      <c r="G109" s="12" t="s">
        <v>11</v>
      </c>
      <c r="H109" s="13" t="s">
        <v>186</v>
      </c>
      <c r="I109" s="12"/>
      <c r="J109" s="12"/>
      <c r="K109" s="12"/>
      <c r="L109" s="12"/>
      <c r="M109" s="12"/>
      <c r="N109" s="14" t="s">
        <v>184</v>
      </c>
    </row>
    <row r="110" spans="2:14" x14ac:dyDescent="0.25">
      <c r="B110" s="9">
        <v>101</v>
      </c>
      <c r="C110" s="15" t="s">
        <v>27</v>
      </c>
      <c r="D110" s="11"/>
      <c r="E110" s="11"/>
      <c r="F110" s="12" t="s">
        <v>11</v>
      </c>
      <c r="G110" s="12" t="s">
        <v>11</v>
      </c>
      <c r="H110" s="13" t="s">
        <v>187</v>
      </c>
      <c r="I110" s="12"/>
      <c r="J110" s="12"/>
      <c r="K110" s="12"/>
      <c r="L110" s="12"/>
      <c r="M110" s="12"/>
      <c r="N110" s="14" t="s">
        <v>184</v>
      </c>
    </row>
    <row r="111" spans="2:14" x14ac:dyDescent="0.25">
      <c r="B111" s="9">
        <v>102</v>
      </c>
      <c r="C111" s="15" t="s">
        <v>27</v>
      </c>
      <c r="D111" s="11"/>
      <c r="E111" s="11"/>
      <c r="F111" s="12" t="s">
        <v>11</v>
      </c>
      <c r="G111" s="12" t="s">
        <v>11</v>
      </c>
      <c r="H111" s="13" t="s">
        <v>188</v>
      </c>
      <c r="I111" s="12"/>
      <c r="J111" s="12"/>
      <c r="K111" s="12"/>
      <c r="L111" s="12"/>
      <c r="M111" s="12"/>
      <c r="N111" s="14" t="s">
        <v>184</v>
      </c>
    </row>
    <row r="112" spans="2:14" x14ac:dyDescent="0.25">
      <c r="B112" s="9">
        <v>103</v>
      </c>
      <c r="C112" s="10" t="s">
        <v>22</v>
      </c>
      <c r="D112" s="11"/>
      <c r="E112" s="11" t="s">
        <v>189</v>
      </c>
      <c r="F112" s="12" t="s">
        <v>11</v>
      </c>
      <c r="G112" s="12" t="s">
        <v>11</v>
      </c>
      <c r="H112" s="13" t="s">
        <v>190</v>
      </c>
      <c r="I112" s="12"/>
      <c r="J112" s="12"/>
      <c r="K112" s="12"/>
      <c r="L112" s="12"/>
      <c r="M112" s="12"/>
      <c r="N112" s="14" t="s">
        <v>191</v>
      </c>
    </row>
    <row r="113" spans="2:14" x14ac:dyDescent="0.25">
      <c r="B113" s="9">
        <v>104</v>
      </c>
      <c r="C113" s="10" t="s">
        <v>22</v>
      </c>
      <c r="D113" s="11"/>
      <c r="E113" s="11"/>
      <c r="F113" s="12" t="s">
        <v>11</v>
      </c>
      <c r="G113" s="12" t="s">
        <v>11</v>
      </c>
      <c r="H113" s="13" t="s">
        <v>192</v>
      </c>
      <c r="I113" s="12"/>
      <c r="J113" s="12"/>
      <c r="K113" s="12"/>
      <c r="L113" s="12"/>
      <c r="M113" s="12"/>
      <c r="N113" s="14" t="s">
        <v>191</v>
      </c>
    </row>
    <row r="114" spans="2:14" x14ac:dyDescent="0.25">
      <c r="B114" s="9">
        <v>105</v>
      </c>
      <c r="C114" s="10" t="s">
        <v>22</v>
      </c>
      <c r="D114" s="11"/>
      <c r="E114" s="11"/>
      <c r="F114" s="12" t="s">
        <v>11</v>
      </c>
      <c r="G114" s="12" t="s">
        <v>11</v>
      </c>
      <c r="H114" s="13" t="s">
        <v>193</v>
      </c>
      <c r="I114" s="12"/>
      <c r="J114" s="12"/>
      <c r="K114" s="12"/>
      <c r="L114" s="12"/>
      <c r="M114" s="12"/>
      <c r="N114" s="14" t="s">
        <v>191</v>
      </c>
    </row>
    <row r="115" spans="2:14" x14ac:dyDescent="0.25">
      <c r="B115" s="9">
        <v>106</v>
      </c>
      <c r="C115" s="10" t="s">
        <v>22</v>
      </c>
      <c r="D115" s="11"/>
      <c r="E115" s="11"/>
      <c r="F115" s="12" t="s">
        <v>11</v>
      </c>
      <c r="G115" s="12" t="s">
        <v>11</v>
      </c>
      <c r="H115" s="13" t="s">
        <v>194</v>
      </c>
      <c r="I115" s="12"/>
      <c r="J115" s="12"/>
      <c r="K115" s="12"/>
      <c r="L115" s="12"/>
      <c r="M115" s="12"/>
      <c r="N115" s="14" t="s">
        <v>191</v>
      </c>
    </row>
    <row r="116" spans="2:14" x14ac:dyDescent="0.25">
      <c r="B116" s="9">
        <v>107</v>
      </c>
      <c r="C116" s="10" t="s">
        <v>22</v>
      </c>
      <c r="D116" s="11"/>
      <c r="E116" s="11"/>
      <c r="F116" s="12" t="s">
        <v>11</v>
      </c>
      <c r="G116" s="12" t="s">
        <v>11</v>
      </c>
      <c r="H116" s="13" t="s">
        <v>195</v>
      </c>
      <c r="I116" s="12"/>
      <c r="J116" s="12"/>
      <c r="K116" s="12"/>
      <c r="L116" s="12"/>
      <c r="M116" s="12"/>
      <c r="N116" s="14" t="s">
        <v>191</v>
      </c>
    </row>
    <row r="117" spans="2:14" x14ac:dyDescent="0.25">
      <c r="B117" s="9">
        <v>108</v>
      </c>
      <c r="C117" s="15" t="s">
        <v>27</v>
      </c>
      <c r="D117" s="11"/>
      <c r="E117" s="11"/>
      <c r="F117" s="12" t="s">
        <v>11</v>
      </c>
      <c r="G117" s="12" t="s">
        <v>11</v>
      </c>
      <c r="H117" s="13" t="s">
        <v>196</v>
      </c>
      <c r="I117" s="12"/>
      <c r="J117" s="12"/>
      <c r="K117" s="12"/>
      <c r="L117" s="12"/>
      <c r="M117" s="12"/>
      <c r="N117" s="14" t="s">
        <v>191</v>
      </c>
    </row>
    <row r="118" spans="2:14" x14ac:dyDescent="0.25">
      <c r="B118" s="9">
        <v>109</v>
      </c>
      <c r="C118" s="10" t="s">
        <v>22</v>
      </c>
      <c r="D118" s="11"/>
      <c r="E118" s="11"/>
      <c r="F118" s="12" t="s">
        <v>11</v>
      </c>
      <c r="G118" s="12" t="s">
        <v>11</v>
      </c>
      <c r="H118" s="13" t="s">
        <v>197</v>
      </c>
      <c r="I118" s="12"/>
      <c r="J118" s="12"/>
      <c r="K118" s="12"/>
      <c r="L118" s="12"/>
      <c r="M118" s="12"/>
      <c r="N118" s="14" t="s">
        <v>191</v>
      </c>
    </row>
    <row r="119" spans="2:14" x14ac:dyDescent="0.25">
      <c r="B119" s="9">
        <v>110</v>
      </c>
      <c r="C119" s="10" t="s">
        <v>22</v>
      </c>
      <c r="D119" s="11"/>
      <c r="E119" s="11"/>
      <c r="F119" s="12" t="s">
        <v>11</v>
      </c>
      <c r="G119" s="12" t="s">
        <v>11</v>
      </c>
      <c r="H119" s="13" t="s">
        <v>198</v>
      </c>
      <c r="I119" s="12"/>
      <c r="J119" s="12"/>
      <c r="K119" s="12"/>
      <c r="L119" s="12"/>
      <c r="M119" s="12"/>
      <c r="N119" s="14" t="s">
        <v>191</v>
      </c>
    </row>
    <row r="120" spans="2:14" x14ac:dyDescent="0.25">
      <c r="B120" s="9">
        <v>111</v>
      </c>
      <c r="C120" s="10" t="s">
        <v>22</v>
      </c>
      <c r="D120" s="11"/>
      <c r="E120" s="11" t="s">
        <v>199</v>
      </c>
      <c r="F120" s="12" t="s">
        <v>11</v>
      </c>
      <c r="G120" s="12" t="s">
        <v>11</v>
      </c>
      <c r="H120" s="13" t="s">
        <v>200</v>
      </c>
      <c r="I120" s="12"/>
      <c r="J120" s="12"/>
      <c r="K120" s="12"/>
      <c r="L120" s="12"/>
      <c r="M120" s="12"/>
      <c r="N120" s="14" t="s">
        <v>201</v>
      </c>
    </row>
    <row r="121" spans="2:14" x14ac:dyDescent="0.25">
      <c r="B121" s="9">
        <v>112</v>
      </c>
      <c r="C121" s="15" t="s">
        <v>27</v>
      </c>
      <c r="D121" s="11"/>
      <c r="E121" s="11"/>
      <c r="F121" s="12" t="s">
        <v>11</v>
      </c>
      <c r="G121" s="12" t="s">
        <v>11</v>
      </c>
      <c r="H121" s="13" t="s">
        <v>202</v>
      </c>
      <c r="I121" s="12"/>
      <c r="J121" s="12"/>
      <c r="K121" s="12"/>
      <c r="L121" s="12"/>
      <c r="M121" s="12"/>
      <c r="N121" s="14" t="s">
        <v>201</v>
      </c>
    </row>
    <row r="122" spans="2:14" x14ac:dyDescent="0.25">
      <c r="B122" s="9">
        <v>113</v>
      </c>
      <c r="C122" s="10" t="s">
        <v>22</v>
      </c>
      <c r="D122" s="11"/>
      <c r="E122" s="11"/>
      <c r="F122" s="12" t="s">
        <v>11</v>
      </c>
      <c r="G122" s="12" t="s">
        <v>11</v>
      </c>
      <c r="H122" s="13" t="s">
        <v>203</v>
      </c>
      <c r="I122" s="12"/>
      <c r="J122" s="12"/>
      <c r="K122" s="12"/>
      <c r="L122" s="12"/>
      <c r="M122" s="12"/>
      <c r="N122" s="14" t="s">
        <v>201</v>
      </c>
    </row>
    <row r="123" spans="2:14" x14ac:dyDescent="0.25">
      <c r="B123" s="9">
        <v>114</v>
      </c>
      <c r="C123" s="10" t="s">
        <v>22</v>
      </c>
      <c r="D123" s="11"/>
      <c r="E123" s="11" t="s">
        <v>204</v>
      </c>
      <c r="F123" s="12" t="s">
        <v>11</v>
      </c>
      <c r="G123" s="12" t="s">
        <v>11</v>
      </c>
      <c r="H123" s="13" t="s">
        <v>205</v>
      </c>
      <c r="I123" s="12"/>
      <c r="J123" s="12"/>
      <c r="K123" s="12"/>
      <c r="L123" s="12"/>
      <c r="M123" s="12"/>
      <c r="N123" s="14" t="s">
        <v>206</v>
      </c>
    </row>
    <row r="124" spans="2:14" x14ac:dyDescent="0.25">
      <c r="B124" s="9">
        <v>115</v>
      </c>
      <c r="C124" s="10" t="s">
        <v>22</v>
      </c>
      <c r="D124" s="11"/>
      <c r="E124" s="11"/>
      <c r="F124" s="12" t="s">
        <v>11</v>
      </c>
      <c r="G124" s="12" t="s">
        <v>11</v>
      </c>
      <c r="H124" s="13" t="s">
        <v>207</v>
      </c>
      <c r="I124" s="12"/>
      <c r="J124" s="12"/>
      <c r="K124" s="12"/>
      <c r="L124" s="12"/>
      <c r="M124" s="12"/>
      <c r="N124" s="14" t="s">
        <v>206</v>
      </c>
    </row>
    <row r="125" spans="2:14" x14ac:dyDescent="0.25">
      <c r="B125" s="9">
        <v>116</v>
      </c>
      <c r="C125" s="10" t="s">
        <v>22</v>
      </c>
      <c r="D125" s="11"/>
      <c r="E125" s="11"/>
      <c r="F125" s="12" t="s">
        <v>11</v>
      </c>
      <c r="G125" s="12" t="s">
        <v>11</v>
      </c>
      <c r="H125" s="13" t="s">
        <v>208</v>
      </c>
      <c r="I125" s="12"/>
      <c r="J125" s="12"/>
      <c r="K125" s="12"/>
      <c r="L125" s="12"/>
      <c r="M125" s="12"/>
      <c r="N125" s="14" t="s">
        <v>206</v>
      </c>
    </row>
    <row r="126" spans="2:14" x14ac:dyDescent="0.25">
      <c r="B126" s="9">
        <v>117</v>
      </c>
      <c r="C126" s="16" t="s">
        <v>36</v>
      </c>
      <c r="D126" s="11"/>
      <c r="E126" s="11"/>
      <c r="F126" s="12" t="s">
        <v>11</v>
      </c>
      <c r="G126" s="12" t="s">
        <v>11</v>
      </c>
      <c r="H126" s="13" t="s">
        <v>209</v>
      </c>
      <c r="I126" s="12"/>
      <c r="J126" s="12"/>
      <c r="K126" s="12"/>
      <c r="L126" s="12"/>
      <c r="M126" s="12"/>
      <c r="N126" s="14" t="s">
        <v>206</v>
      </c>
    </row>
    <row r="127" spans="2:14" x14ac:dyDescent="0.25">
      <c r="B127" s="9">
        <v>118</v>
      </c>
      <c r="C127" s="16" t="s">
        <v>36</v>
      </c>
      <c r="D127" s="11"/>
      <c r="E127" s="11" t="s">
        <v>210</v>
      </c>
      <c r="F127" s="12" t="s">
        <v>11</v>
      </c>
      <c r="G127" s="12" t="s">
        <v>11</v>
      </c>
      <c r="H127" s="13" t="s">
        <v>211</v>
      </c>
      <c r="I127" s="12"/>
      <c r="J127" s="12"/>
      <c r="K127" s="12"/>
      <c r="L127" s="12"/>
      <c r="M127" s="12"/>
      <c r="N127" s="14" t="s">
        <v>212</v>
      </c>
    </row>
    <row r="128" spans="2:14" x14ac:dyDescent="0.25">
      <c r="B128" s="9">
        <v>119</v>
      </c>
      <c r="C128" s="10" t="s">
        <v>22</v>
      </c>
      <c r="D128" s="11"/>
      <c r="E128" s="11"/>
      <c r="F128" s="12" t="s">
        <v>11</v>
      </c>
      <c r="G128" s="12" t="s">
        <v>11</v>
      </c>
      <c r="H128" s="13" t="s">
        <v>213</v>
      </c>
      <c r="I128" s="12"/>
      <c r="J128" s="12"/>
      <c r="K128" s="12"/>
      <c r="L128" s="12"/>
      <c r="M128" s="12"/>
      <c r="N128" s="14" t="s">
        <v>212</v>
      </c>
    </row>
    <row r="129" spans="2:14" x14ac:dyDescent="0.25">
      <c r="B129" s="9">
        <v>120</v>
      </c>
      <c r="C129" s="15" t="s">
        <v>27</v>
      </c>
      <c r="D129" s="11"/>
      <c r="E129" s="11"/>
      <c r="F129" s="12" t="s">
        <v>11</v>
      </c>
      <c r="G129" s="12" t="s">
        <v>11</v>
      </c>
      <c r="H129" s="13" t="s">
        <v>214</v>
      </c>
      <c r="I129" s="12"/>
      <c r="J129" s="12"/>
      <c r="K129" s="12"/>
      <c r="L129" s="12"/>
      <c r="M129" s="12"/>
      <c r="N129" s="14" t="s">
        <v>212</v>
      </c>
    </row>
    <row r="130" spans="2:14" x14ac:dyDescent="0.25">
      <c r="B130" s="9">
        <v>121</v>
      </c>
      <c r="C130" s="15" t="s">
        <v>27</v>
      </c>
      <c r="D130" s="11"/>
      <c r="E130" s="11"/>
      <c r="F130" s="12" t="s">
        <v>11</v>
      </c>
      <c r="G130" s="12" t="s">
        <v>11</v>
      </c>
      <c r="H130" s="13" t="s">
        <v>215</v>
      </c>
      <c r="I130" s="12"/>
      <c r="J130" s="12"/>
      <c r="K130" s="12"/>
      <c r="L130" s="12"/>
      <c r="M130" s="12"/>
      <c r="N130" s="14" t="s">
        <v>212</v>
      </c>
    </row>
    <row r="131" spans="2:14" x14ac:dyDescent="0.25">
      <c r="B131" s="9">
        <v>122</v>
      </c>
      <c r="C131" s="10" t="s">
        <v>22</v>
      </c>
      <c r="D131" s="11" t="s">
        <v>216</v>
      </c>
      <c r="E131" s="12" t="s">
        <v>217</v>
      </c>
      <c r="F131" s="12" t="s">
        <v>11</v>
      </c>
      <c r="G131" s="12" t="s">
        <v>11</v>
      </c>
      <c r="H131" s="13" t="s">
        <v>218</v>
      </c>
      <c r="I131" s="12"/>
      <c r="J131" s="12"/>
      <c r="K131" s="12"/>
      <c r="L131" s="12"/>
      <c r="M131" s="12"/>
      <c r="N131" s="14" t="s">
        <v>26</v>
      </c>
    </row>
    <row r="132" spans="2:14" x14ac:dyDescent="0.25">
      <c r="B132" s="9">
        <v>123</v>
      </c>
      <c r="C132" s="10" t="s">
        <v>22</v>
      </c>
      <c r="D132" s="11"/>
      <c r="E132" s="12" t="s">
        <v>219</v>
      </c>
      <c r="F132" s="12" t="s">
        <v>11</v>
      </c>
      <c r="G132" s="12" t="s">
        <v>11</v>
      </c>
      <c r="H132" s="13" t="s">
        <v>220</v>
      </c>
      <c r="I132" s="12"/>
      <c r="J132" s="12"/>
      <c r="K132" s="12"/>
      <c r="L132" s="12"/>
      <c r="M132" s="12"/>
      <c r="N132" s="14" t="s">
        <v>26</v>
      </c>
    </row>
    <row r="133" spans="2:14" x14ac:dyDescent="0.25">
      <c r="B133" s="9">
        <v>124</v>
      </c>
      <c r="C133" s="10" t="s">
        <v>22</v>
      </c>
      <c r="D133" s="11"/>
      <c r="E133" s="11" t="s">
        <v>221</v>
      </c>
      <c r="F133" s="12" t="s">
        <v>11</v>
      </c>
      <c r="G133" s="12" t="s">
        <v>11</v>
      </c>
      <c r="H133" s="13" t="s">
        <v>222</v>
      </c>
      <c r="I133" s="12"/>
      <c r="J133" s="12"/>
      <c r="K133" s="12"/>
      <c r="L133" s="12"/>
      <c r="M133" s="12"/>
      <c r="N133" s="14" t="s">
        <v>26</v>
      </c>
    </row>
    <row r="134" spans="2:14" x14ac:dyDescent="0.25">
      <c r="B134" s="9">
        <v>125</v>
      </c>
      <c r="C134" s="10" t="s">
        <v>22</v>
      </c>
      <c r="D134" s="11"/>
      <c r="E134" s="11"/>
      <c r="F134" s="12" t="s">
        <v>11</v>
      </c>
      <c r="G134" s="12" t="s">
        <v>11</v>
      </c>
      <c r="H134" s="13" t="s">
        <v>223</v>
      </c>
      <c r="I134" s="12"/>
      <c r="J134" s="12"/>
      <c r="K134" s="12"/>
      <c r="L134" s="12"/>
      <c r="M134" s="12"/>
      <c r="N134" s="14" t="s">
        <v>26</v>
      </c>
    </row>
    <row r="135" spans="2:14" x14ac:dyDescent="0.25">
      <c r="B135" s="9">
        <v>126</v>
      </c>
      <c r="C135" s="10" t="s">
        <v>22</v>
      </c>
      <c r="D135" s="11"/>
      <c r="E135" s="11" t="s">
        <v>224</v>
      </c>
      <c r="F135" s="12" t="s">
        <v>11</v>
      </c>
      <c r="G135" s="12" t="s">
        <v>11</v>
      </c>
      <c r="H135" s="13" t="s">
        <v>225</v>
      </c>
      <c r="I135" s="12"/>
      <c r="J135" s="12"/>
      <c r="K135" s="12"/>
      <c r="L135" s="12"/>
      <c r="M135" s="12"/>
      <c r="N135" s="14" t="s">
        <v>226</v>
      </c>
    </row>
    <row r="136" spans="2:14" x14ac:dyDescent="0.25">
      <c r="B136" s="9">
        <v>127</v>
      </c>
      <c r="C136" s="10" t="s">
        <v>22</v>
      </c>
      <c r="D136" s="11"/>
      <c r="E136" s="11"/>
      <c r="F136" s="12" t="s">
        <v>11</v>
      </c>
      <c r="G136" s="12" t="s">
        <v>11</v>
      </c>
      <c r="H136" s="13" t="s">
        <v>227</v>
      </c>
      <c r="I136" s="12"/>
      <c r="J136" s="12"/>
      <c r="K136" s="12"/>
      <c r="L136" s="12"/>
      <c r="M136" s="12"/>
      <c r="N136" s="14" t="s">
        <v>226</v>
      </c>
    </row>
    <row r="137" spans="2:14" x14ac:dyDescent="0.25">
      <c r="B137" s="9">
        <v>128</v>
      </c>
      <c r="C137" s="10" t="s">
        <v>22</v>
      </c>
      <c r="D137" s="11"/>
      <c r="E137" s="11"/>
      <c r="F137" s="12" t="s">
        <v>11</v>
      </c>
      <c r="G137" s="12" t="s">
        <v>11</v>
      </c>
      <c r="H137" s="13" t="s">
        <v>228</v>
      </c>
      <c r="I137" s="12"/>
      <c r="J137" s="12"/>
      <c r="K137" s="12"/>
      <c r="L137" s="12"/>
      <c r="M137" s="12"/>
      <c r="N137" s="14" t="s">
        <v>226</v>
      </c>
    </row>
    <row r="138" spans="2:14" x14ac:dyDescent="0.25">
      <c r="B138" s="9">
        <v>129</v>
      </c>
      <c r="C138" s="15" t="s">
        <v>27</v>
      </c>
      <c r="D138" s="11"/>
      <c r="E138" s="11"/>
      <c r="F138" s="12" t="s">
        <v>11</v>
      </c>
      <c r="G138" s="12" t="s">
        <v>11</v>
      </c>
      <c r="H138" s="13" t="s">
        <v>229</v>
      </c>
      <c r="I138" s="12"/>
      <c r="J138" s="12"/>
      <c r="K138" s="12"/>
      <c r="L138" s="12"/>
      <c r="M138" s="12"/>
      <c r="N138" s="14" t="s">
        <v>226</v>
      </c>
    </row>
    <row r="139" spans="2:14" x14ac:dyDescent="0.25">
      <c r="B139" s="9">
        <v>130</v>
      </c>
      <c r="C139" s="16" t="s">
        <v>36</v>
      </c>
      <c r="D139" s="11"/>
      <c r="E139" s="11"/>
      <c r="F139" s="12" t="s">
        <v>11</v>
      </c>
      <c r="G139" s="12" t="s">
        <v>11</v>
      </c>
      <c r="H139" s="13" t="s">
        <v>230</v>
      </c>
      <c r="I139" s="12"/>
      <c r="J139" s="12"/>
      <c r="K139" s="12"/>
      <c r="L139" s="12"/>
      <c r="M139" s="12"/>
      <c r="N139" s="14" t="s">
        <v>226</v>
      </c>
    </row>
  </sheetData>
  <mergeCells count="39">
    <mergeCell ref="D10:D17"/>
    <mergeCell ref="E10:E12"/>
    <mergeCell ref="E13:E14"/>
    <mergeCell ref="E15:E17"/>
    <mergeCell ref="D18:D34"/>
    <mergeCell ref="E18:E21"/>
    <mergeCell ref="E22:E24"/>
    <mergeCell ref="E25:E30"/>
    <mergeCell ref="E31:E34"/>
    <mergeCell ref="D35:D48"/>
    <mergeCell ref="E35:E42"/>
    <mergeCell ref="E43:E45"/>
    <mergeCell ref="E46:E48"/>
    <mergeCell ref="D49:D56"/>
    <mergeCell ref="E49:E54"/>
    <mergeCell ref="E55:E56"/>
    <mergeCell ref="D57:D69"/>
    <mergeCell ref="E57:E59"/>
    <mergeCell ref="E60:E67"/>
    <mergeCell ref="E68:E69"/>
    <mergeCell ref="D70:D77"/>
    <mergeCell ref="E70:E74"/>
    <mergeCell ref="E75:E77"/>
    <mergeCell ref="D78:D99"/>
    <mergeCell ref="E78:E82"/>
    <mergeCell ref="E83:E88"/>
    <mergeCell ref="E89:E90"/>
    <mergeCell ref="E91:E99"/>
    <mergeCell ref="D100:D130"/>
    <mergeCell ref="E100:E103"/>
    <mergeCell ref="E104:E106"/>
    <mergeCell ref="E107:E111"/>
    <mergeCell ref="E112:E119"/>
    <mergeCell ref="E120:E122"/>
    <mergeCell ref="E123:E126"/>
    <mergeCell ref="E127:E130"/>
    <mergeCell ref="D131:D139"/>
    <mergeCell ref="E133:E134"/>
    <mergeCell ref="E135:E139"/>
  </mergeCells>
  <dataValidations count="1">
    <dataValidation type="list" allowBlank="1" showErrorMessage="1" errorTitle="잘못된 값" error="Pass, Fail, N/T, Block 중 하나를 선택하세요." sqref="I10:J139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레이드모드 개선(2차)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2026-05-08T03:15:42Z</dcterms:created>
  <dcterms:modified xsi:type="dcterms:W3CDTF">2026-05-08T03:15:42Z</dcterms:modified>
</cp:coreProperties>
</file>