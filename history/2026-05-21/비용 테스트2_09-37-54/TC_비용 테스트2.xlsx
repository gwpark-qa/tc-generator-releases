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용 테스트2" state="visible" r:id="rId4"/>
  </sheets>
  <calcPr calcId="171027"/>
</workbook>
</file>

<file path=xl/sharedStrings.xml><?xml version="1.0" encoding="utf-8"?>
<sst xmlns="http://schemas.openxmlformats.org/spreadsheetml/2006/main" count="869" uniqueCount="529">
  <si>
    <t>(C)비용 테스트2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</si>
  <si>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</si>
  <si>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</si>
  <si>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</si>
  <si>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</si>
  <si>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</si>
  <si>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</si>
  <si>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</si>
  <si>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</si>
  <si>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</si>
  <si>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</si>
  <si>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</si>
  <si>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</si>
  <si>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</si>
  <si>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</si>
  <si>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</si>
  <si>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</si>
  <si>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</si>
  <si>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</si>
  <si>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</si>
  <si>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</si>
  <si>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</si>
  <si>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</si>
  <si>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수면 시스템</t>
  </si>
  <si>
    <t>수면 걸림</t>
  </si>
  <si>
    <t>트리거</t>
  </si>
  <si>
    <t>오르golf 작동</t>
  </si>
  <si>
    <t>오르골 작동 시, 영역 내 몬스터에게 수면 디버프가 부여된다.</t>
  </si>
  <si>
    <t>어드벤처 인게임 기믹_1.pdf - 수면</t>
  </si>
  <si>
    <t>Critical</t>
  </si>
  <si>
    <t>달빛술사 공격</t>
  </si>
  <si>
    <t>달빛술사 쿠키의 수면 적용 공격 적중 시, 대상 몬스터에게 수면 디버프가 부여된다.</t>
  </si>
  <si>
    <t>적용 대상</t>
  </si>
  <si>
    <t>일반 몬스터 적용</t>
  </si>
  <si>
    <t>일반 몬스터 및 엘리트 몬스터(꿈꾸는 모빌)에게 수면 디버프가 적용된다.</t>
  </si>
  <si>
    <t>중간보스/보스 제외</t>
  </si>
  <si>
    <t>중간보스 및 보스 몬스터에게는 수면 디버프가 적용되지 않는다.</t>
  </si>
  <si>
    <t>수면 중 상태</t>
  </si>
  <si>
    <t>BT 처리</t>
  </si>
  <si>
    <t>스킬 사용 중단</t>
  </si>
  <si>
    <t>스킬 사용 중에 수면 적중 시, 진행 중이던 스킬이 즉시 중단된다.</t>
  </si>
  <si>
    <t>BT 처음 복귀</t>
  </si>
  <si>
    <t>수면 적중 시, 몬스터의 행동 트리(BT)가 처음으로 복귀된다.</t>
  </si>
  <si>
    <t>Normal</t>
  </si>
  <si>
    <t>애니메이션</t>
  </si>
  <si>
    <t>Sleep Parameter 재생</t>
  </si>
  <si>
    <t>수면 걸린 몬스터에게 Sleep 파라미터 기반 전용 애니메이션이 재생된다.</t>
  </si>
  <si>
    <t>전용 수면 애니</t>
  </si>
  <si>
    <t>꿈꾸는 모빌, 노래하는 인형, 꿈을 쏟아내는 모빌 수면 시, 각 몬스터의 전용 수면 애니메이션이 재생된다.</t>
  </si>
  <si>
    <t>Fly 몬스터 처리</t>
  </si>
  <si>
    <t>추락</t>
  </si>
  <si>
    <t>Fly 타입 몬스터 수면 적중 시, 지상으로 추락된다.</t>
  </si>
  <si>
    <t>이펙트</t>
  </si>
  <si>
    <t>머리 위 이펙트 출력</t>
  </si>
  <si>
    <t>수면 걸린 몬스터의 머리 위에 수면 이펙트가 출력된다.</t>
  </si>
  <si>
    <t>어드벤처 인게임 기믹_1.pdf - 수면 이펙트</t>
  </si>
  <si>
    <t>동시 다중 출력</t>
  </si>
  <si>
    <t>다수의 몬스터 동시 수면 적중 시, 각 몬스터 머리 위에 수면 이펙트가 동시 출력된다.</t>
  </si>
  <si>
    <t>수면 해제</t>
  </si>
  <si>
    <t>해제 조건</t>
  </si>
  <si>
    <t>시간 경과 해제</t>
  </si>
  <si>
    <t>수면 적중 후 지정된 시간(N초) 경과 시, 수면이 자동 해제된다.</t>
  </si>
  <si>
    <t>어드벤처 인게임 기믹_1.pdf - 수면 해제</t>
  </si>
  <si>
    <t>피격 해제</t>
  </si>
  <si>
    <t>수면 상태에서 피격 시, 수면이 즉시 해제된다.</t>
  </si>
  <si>
    <t>틱뎀 예외 처리</t>
  </si>
  <si>
    <t>수면 상태에서 틱뎀(DoT) 피해 적용 시, 수면이 해제되지 않는다.</t>
  </si>
  <si>
    <t>디버프 부여</t>
  </si>
  <si>
    <t>달빛술사 피증 디버프</t>
  </si>
  <si>
    <t>수면 해제 시, 대상 몬스터에게 달빛술사 쿠키에게만 적용되는 피해 증가 디버프가 부여된다.</t>
  </si>
  <si>
    <t>오르골</t>
  </si>
  <si>
    <t>비활성화 상태</t>
  </si>
  <si>
    <t>시각 표현</t>
  </si>
  <si>
    <t>별 회색 변환</t>
  </si>
  <si>
    <t>오르골 비활성화 상태일 때, 오르골의 별이 회색으로 표시되며 움직임이 정지된다.</t>
  </si>
  <si>
    <t>어드벤처 인게임 기믹_3.pdf - 오르골 비활성화</t>
  </si>
  <si>
    <t>실선 미표시</t>
  </si>
  <si>
    <t>오르골 비활성화 상태일 때, 활성화 범위 실선이 표시되지 않는다.</t>
  </si>
  <si>
    <t>상태 전환</t>
  </si>
  <si>
    <t>활성화 자동 전환</t>
  </si>
  <si>
    <t>비활성화 상태에서 설정된 시간(N초) 경과 시, 활성화 상태로 자동 전환된다.</t>
  </si>
  <si>
    <t>활성화 상태</t>
  </si>
  <si>
    <t>영역 표시</t>
  </si>
  <si>
    <t>실선 출력</t>
  </si>
  <si>
    <t>오르골 활성화 시, 오르골 중심에서 반지름 10.5m의 실선이 출력된다.</t>
  </si>
  <si>
    <t>어드벤처 인게임 기믹_3.pdf - 오르골 활성화</t>
  </si>
  <si>
    <t>활성화 애니 재생</t>
  </si>
  <si>
    <t>오르골 활성화 상태에서, 별과 우측 태엽이 천천히 돌아가는 활성화(_On) 애니메이션이 Loop 재생된다.</t>
  </si>
  <si>
    <t>어드벤처 인게임 기믹_3.pdf - 애니매이션</t>
  </si>
  <si>
    <t>게이지 차오름</t>
  </si>
  <si>
    <t>영역 진입 시 차오름</t>
  </si>
  <si>
    <t>플레이어가 실선 안에 진입 시, 약 6초에 걸쳐 바닥 차오름 이펙트가 서서히 채워진다.</t>
  </si>
  <si>
    <t>적 사망 시 단축</t>
  </si>
  <si>
    <t>실선 범위 안에서 몬스터 사망 시, 차오름 시간이 0.5초 단축된다.</t>
  </si>
  <si>
    <t>영역 이탈 시 감소</t>
  </si>
  <si>
    <t>플레이어가 실선 밖으로 이탈 시, 일정 Delay 후 차오름 영역이 감소되기 시작한다.</t>
  </si>
  <si>
    <t>색상 변화</t>
  </si>
  <si>
    <t>차오를 때는 푸른/노란 빛, 감소될 때는 붉은 빛으로 바닥 이펙트 색상이 변화된다.</t>
  </si>
  <si>
    <t>어드벤처 인게임 기믹_3.pdf - 이펙트</t>
  </si>
  <si>
    <t>작동 상태</t>
  </si>
  <si>
    <t>게이지 충전 완료</t>
  </si>
  <si>
    <t>작동 전환</t>
  </si>
  <si>
    <t>바닥 차오름 이펙트가 가득 찰 경우, 오르골이 작동 상태로 전환된다.</t>
  </si>
  <si>
    <t>어드벤처 인게임 기믹_3.pdf - 오르골 작동</t>
  </si>
  <si>
    <t>작동 애니 재생</t>
  </si>
  <si>
    <t>오르골 작동 시, 별이 빠르게 회전하며 밝은 빛을 뿜어내는 작동(_Active) 애니메이션이 약 0.8초간 재생된다.</t>
  </si>
  <si>
    <t>수면 부여</t>
  </si>
  <si>
    <t>영역 내 Enemy 수면 부여</t>
  </si>
  <si>
    <t>오르골 작동 시, 작동 효과 영역 내 모든 Enemy(중간보스/보스 제외)에게 수면 디버프가 부여된다.</t>
  </si>
  <si>
    <t>수면 퍼짐 이펙트</t>
  </si>
  <si>
    <t>오르골 작동 시, 중앙에서 최대 반지름 8m까지 수면 퍼짐 이펙트가 약 1초간 퍼져나간다.</t>
  </si>
  <si>
    <t>비활성화 전환</t>
  </si>
  <si>
    <t>재활성화 대기</t>
  </si>
  <si>
    <t>오르골 작동 효과 종료 시, 비활성화 상태로 전환되며 GmTile별 설정된 시간 동안 활성화가 재개되지 않는다.</t>
  </si>
  <si>
    <t>비활성화 애니 재생</t>
  </si>
  <si>
    <t>오르골이 비활성화 상태로 전환될 때, 별이 서서히 멈춘 뒤 회색으로 변하는 비활성화(_Off) 애니메이션이 재생된다.</t>
  </si>
  <si>
    <t>수면 적용 범위 분리</t>
  </si>
  <si>
    <t>오르골 작동 시, 수면 퍼짐 이펙트(8m)와 실제 수면 적용 범위가 별도로 처리된다.</t>
  </si>
  <si>
    <t>수면 보호막</t>
  </si>
  <si>
    <t>보호막 부여</t>
  </si>
  <si>
    <t>부여 조건</t>
  </si>
  <si>
    <t>노래하는 인형 시전</t>
  </si>
  <si>
    <t>노래하는 인형의 Skill_A 시전 시, 9m 범위 내 대상 몬스터에게 수면 보호막이 부여된다.</t>
  </si>
  <si>
    <t>어드벤처 인게임 기믹_2.pdf - 수면 보호막</t>
  </si>
  <si>
    <t>부여자 최대 체력 비례</t>
  </si>
  <si>
    <t>수면 보호막의 수치는 보호막 부여자(노래하는 인형)의 최대 체력에 비례하여 부여된다.</t>
  </si>
  <si>
    <t>중첩 불가</t>
  </si>
  <si>
    <t>이미 수면 보호막을 보유 중인 몬스터에게는 추가로 보호막이 부여되지 않는다.</t>
  </si>
  <si>
    <t>중간보스 이상 미사용</t>
  </si>
  <si>
    <t>중간보스 이상의 몬스터에게는 수면 보호막이 부여되지 않는다.</t>
  </si>
  <si>
    <t>어드벤처 인게임 몬스터_3.pdf - 노래하는 인형 Skill_A</t>
  </si>
  <si>
    <t>UI 표시</t>
  </si>
  <si>
    <t>전용 색상 보호막 바</t>
  </si>
  <si>
    <t>수면 보호막 부여 시, 이펙트에 어울리는 전용 색상의 보호막 바 UI가 표시된다.</t>
  </si>
  <si>
    <t>어드벤처 인게임 기믹_2.pdf - UI</t>
  </si>
  <si>
    <t>보호막 소멸</t>
  </si>
  <si>
    <t>수면 적중</t>
  </si>
  <si>
    <t>즉시 소멸</t>
  </si>
  <si>
    <t>수면 보호막 보유 몬스터가 수면 디버프 적중 시, 보호막이 즉시 소멸된다.</t>
  </si>
  <si>
    <t>일반 피격</t>
  </si>
  <si>
    <t>체력 소진 시 소멸</t>
  </si>
  <si>
    <t>수면 적중이 아닌 일반 피격으로 보호막 수치 소진 시, 보호막이 소멸된다.</t>
  </si>
  <si>
    <t>악몽 요정</t>
  </si>
  <si>
    <t>대기 패턴</t>
  </si>
  <si>
    <t>Patrol</t>
  </si>
  <si>
    <t>랜덤 이동</t>
  </si>
  <si>
    <t>플레이어 발견 전까지, 악몽 요정이 공중에 부유하며 랜덤 위치를 Patrol한다.</t>
  </si>
  <si>
    <t>어드벤처 인게임 몬스터_1.pdf - 대기</t>
  </si>
  <si>
    <t>이동 패턴</t>
  </si>
  <si>
    <t>플레이어 인식</t>
  </si>
  <si>
    <t>발견 표식 출력</t>
  </si>
  <si>
    <t>플레이어가 인식 거리(20m) 안에 진입 시, 악몽 요정 머리 위에 "!" 발견 표식이 출력된다.</t>
  </si>
  <si>
    <t>어드벤처 인게임 몬스터_1.pdf - 이동</t>
  </si>
  <si>
    <t>추적</t>
  </si>
  <si>
    <t>이동 속도 적용</t>
  </si>
  <si>
    <t>플레이어 발견 시, 공격 사거리 안에 들어올 때까지 이동속도 700으로 플레이어를 추적한다.</t>
  </si>
  <si>
    <t>Skill_A</t>
  </si>
  <si>
    <t>공격 발동</t>
  </si>
  <si>
    <t>사거리 진입 시 발동</t>
  </si>
  <si>
    <t>플레이어가 악몽 요정 12m 앞에 진입 시, Skill_A(Sting) 공격이 시작된다.</t>
  </si>
  <si>
    <t>어드벤처 인게임 몬스터_1.pdf - Skill_A</t>
  </si>
  <si>
    <t>지속 데미지 적용</t>
  </si>
  <si>
    <t>Skill_A 시전 중 플레이어가 주변 1.5m 영역 내 진입 시, 지속 데미지가 적용된다.</t>
  </si>
  <si>
    <t>피격 처리</t>
  </si>
  <si>
    <t>Stagger 시 공격 중단</t>
  </si>
  <si>
    <t>Skill_A 시전 중 Stagger 피격 시, 공격이 중단되고 _Skill_A_03 애니메이션으로 전환된다.</t>
  </si>
  <si>
    <t>어드벤처 인게임 몬스터_1.pdf - 애니메이션</t>
  </si>
  <si>
    <t>복귀</t>
  </si>
  <si>
    <t>Stagger 이후 _Skill_A_03 애니메이션 종료 시, 잠시 플레이어를 응시한 뒤 _Skill_A_01로 복귀된다.</t>
  </si>
  <si>
    <t>배치</t>
  </si>
  <si>
    <t>다수 배치</t>
  </si>
  <si>
    <t>악몽 요정은 전투 공간에 4~6마리 범위로 배치된다.</t>
  </si>
  <si>
    <t>어드벤처 인게임 몬스터_1.pdf - 개요</t>
  </si>
  <si>
    <t>악몽의 아가양</t>
  </si>
  <si>
    <t>대기/이동 패턴</t>
  </si>
  <si>
    <t>통통 튀기 이동</t>
  </si>
  <si>
    <t>플레이어 발견 전, 악몽의 아가양이 공중을 통통 튀기듯 랜덤 위치를 Patrol한다.</t>
  </si>
  <si>
    <t>어드벤처 인게임 몬스터_2.pdf - 대기/이동</t>
  </si>
  <si>
    <t>플레이어 발견 시, 악몽의 아가양 머리 위에 "!" 발견 표식이 출력되며 잠깐 대기된다.</t>
  </si>
  <si>
    <t>어드벤처 인게임 몬스터_2.pdf - 이동</t>
  </si>
  <si>
    <t>돌진 준비</t>
  </si>
  <si>
    <t>웅크림 동작</t>
  </si>
  <si>
    <t>플레이어가 15m 사거리 안에 진입 시, 약 1초간 몸을 뒤로 빼며 돌진 준비(_Skill_A_01) 애니메이션이 재생된다.</t>
  </si>
  <si>
    <t>어드벤처 인게임 몬스터_2.pdf - Skill_A</t>
  </si>
  <si>
    <t>플레이어 응시</t>
  </si>
  <si>
    <t>돌진 준비 애니메이션의 0.7초까지 플레이어를 지속적으로 응시한다.</t>
  </si>
  <si>
    <t>어드벤처 인게임 몬스터_2.pdf - 애니메이션</t>
  </si>
  <si>
    <t>돌진 실행</t>
  </si>
  <si>
    <t>가속 커브 적용</t>
  </si>
  <si>
    <t>돌진 시작 시, 기본 이동 속도의 절반~2배까지 2초에 걸쳐 가속 커브가 적용되며 속도가 증가된다.</t>
  </si>
  <si>
    <t>직선 돌진</t>
  </si>
  <si>
    <t>돌진 실행 시, 플레이어 방향으로 머리를 숙이고 직선으로 돌진된다.</t>
  </si>
  <si>
    <t>경직 면역</t>
  </si>
  <si>
    <t>돌진 공격 실행 중에는 경직(Stagger) 피격에 면역 상태로 처리된다.</t>
  </si>
  <si>
    <t>어드벤처 인게임 몬스터_2.pdf - 개요</t>
  </si>
  <si>
    <t>정지 조건</t>
  </si>
  <si>
    <t>타겟 지나침 시 정지</t>
  </si>
  <si>
    <t>돌진 중 타겟 플레이어가 진행방향 기준 90도 이상 이탈 시, N초 후 감속 없이 즉시 정지된다.</t>
  </si>
  <si>
    <t>어드벤처 인게임 몬스터_2.pdf - Rush 기능 개선</t>
  </si>
  <si>
    <t>낙사 지형 감지 정지</t>
  </si>
  <si>
    <t>돌진 중 전방에 낙사 지형 감지 시, 즉시 정지된다.</t>
  </si>
  <si>
    <t>벽 충돌 시 정지</t>
  </si>
  <si>
    <t>돌진 중 오브젝트(벽 등)에 충돌 시, 돌진이 정지된다.</t>
  </si>
  <si>
    <t>지나친 후 공격 판정 소멸</t>
  </si>
  <si>
    <t>돌진이 플레이어를 한 번 지나친 이후에는 추가 공격 판정이 발생하지 않는다.</t>
  </si>
  <si>
    <t>충돌 처리</t>
  </si>
  <si>
    <t>충돌 성공 애니</t>
  </si>
  <si>
    <t>돌진 중 오브젝트와 충돌 성공 시, 뒤쪽으로 살짝 넘어지는 _Skill_A_03 애니메이션이 재생된다.</t>
  </si>
  <si>
    <t>충돌 실패 애니</t>
  </si>
  <si>
    <t>돌진이 충돌 없이 종료 시, 몸을 뒤로 빼며 브레이크를 거는 _Skill_A_04 애니메이션이 재생된다.</t>
  </si>
  <si>
    <t>플레이어 넉백</t>
  </si>
  <si>
    <t>돌진이 플레이어에 적중 시, 플레이어가 뒤쪽으로 밀려난다.</t>
  </si>
  <si>
    <t>1~3마리 배치</t>
  </si>
  <si>
    <t>악몽의 아가양은 전투 공간에 1~3마리 범위로 배치된다.</t>
  </si>
  <si>
    <t>노래하는 인형</t>
  </si>
  <si>
    <t>타겟 몬스터 4m 접근</t>
  </si>
  <si>
    <t>플레이어 발견 시, 가장 가까운 몬스터를 타겟한 후 해당 몬스터로부터 4m 거리까지 이동된다.</t>
  </si>
  <si>
    <t>어드벤처 인게임 몬스터_3.pdf - 이동</t>
  </si>
  <si>
    <t>노래 시전</t>
  </si>
  <si>
    <t>노래 준비 애니</t>
  </si>
  <si>
    <t>Skill_A 시전 시, 0.5초간 눈을 뜨고 정면을 바라보며 숨을 들이마시는 노래 준비(_Skill_A_01) 애니메이션이 재생된다.</t>
  </si>
  <si>
    <t>어드벤처 인게임 몬스터_3.pdf - 애니메이션</t>
  </si>
  <si>
    <t>노래 부르기</t>
  </si>
  <si>
    <t>노래 부르기(_Skill_A_02) 애니메이션이 3초간 Loop 재생되며, 몸이 좌우로 흔들리는 동작이 재생된다.</t>
  </si>
  <si>
    <t>9m 범위 부여</t>
  </si>
  <si>
    <t>Skill_A 시전 시, 자신 기준 9m 범위 안의 몬스터들에게 수면 보호막이 부여된다.</t>
  </si>
  <si>
    <t>어드벤처 인게임 몬스터_3.pdf - Skill_A</t>
  </si>
  <si>
    <t>3회 반복 부여</t>
  </si>
  <si>
    <t>Skill_A 시전 동안 시작 시점과 1초 후 간격으로 총 3번 보호막이 부여된다.</t>
  </si>
  <si>
    <t>타겟 제외 처리</t>
  </si>
  <si>
    <t>이미 수면 보호막을 보유 중인 몬스터는 TargetList에서 제외되어 추가 부여 대상이 되지 않는다.</t>
  </si>
  <si>
    <t>시전 종료</t>
  </si>
  <si>
    <t>노래 끝 애니</t>
  </si>
  <si>
    <t>노래 시전 종료 시, 0.5초간 눈을 감으며 원래 자세로 돌아가는 노래 끝(_Skill_A_03) 애니메이션이 재생된다.</t>
  </si>
  <si>
    <t>수면/기상</t>
  </si>
  <si>
    <t>수면 진입</t>
  </si>
  <si>
    <t>엎어짐 애니</t>
  </si>
  <si>
    <t>노래하는 인형이 수면 적중 시, 바닥에 주저앉아 잠을 자기 시작하는 전용 수면 애니메이션이 재생된다.</t>
  </si>
  <si>
    <t>어드벤처 인게임 몬스터_3.pdf - 수면 및 기상</t>
  </si>
  <si>
    <t>3초 복귀</t>
  </si>
  <si>
    <t>수면 해제 시, 3초에 걸쳐 전투 복귀 애니메이션이 재생된다.</t>
  </si>
  <si>
    <t>도주</t>
  </si>
  <si>
    <t>도주 조건</t>
  </si>
  <si>
    <t>주변 몬스터 0 + 2초 경과</t>
  </si>
  <si>
    <t>주변 다른 몬스터가 모두 사망한 후 2초 경과 시, Patrol이 종료되고 도주가 시작된다.</t>
  </si>
  <si>
    <t>어드벤처 인게임 몬스터_3.pdf - 도망</t>
  </si>
  <si>
    <t>도주 실행</t>
  </si>
  <si>
    <t>Despawn 처리</t>
  </si>
  <si>
    <t>도주 시작 시, 약 3초에 걸쳐 화면에서 사라지며 Despawn 처리된다.</t>
  </si>
  <si>
    <t>1~2마리 배치</t>
  </si>
  <si>
    <t>노래하는 인형은 전투 공간에 1~2마리 범위로 배치된다.</t>
  </si>
  <si>
    <t>어드벤처 인게임 몬스터_3.pdf - 개요</t>
  </si>
  <si>
    <t>악몽 램프</t>
  </si>
  <si>
    <t>대기</t>
  </si>
  <si>
    <t>고정 위치</t>
  </si>
  <si>
    <t>랜덤 방향 바라봄</t>
  </si>
  <si>
    <t>플레이어 발견 전, 악몽 램프는 고정 위치에서 랜덤한 방향을 바라본다.</t>
  </si>
  <si>
    <t>어드벤처 인게임 몬스터_4.pdf - 대기</t>
  </si>
  <si>
    <t>십자 패턴</t>
  </si>
  <si>
    <t>인디케이터 출력</t>
  </si>
  <si>
    <t>플레이어 인지 시, 약 2초에 걸쳐 인디케이터가 차오르며 십자 모양 공격 범위가 표시된다.</t>
  </si>
  <si>
    <t>어드벤처 인게임 몬스터_4.pdf - Skill_A</t>
  </si>
  <si>
    <t>45도 회전 분기</t>
  </si>
  <si>
    <t>Skill_A 발동 시, 경우에 따라 십자 패턴이 45도 회전된 형태로 스폰된다.</t>
  </si>
  <si>
    <t>Area Attack 데미지</t>
  </si>
  <si>
    <t>Skill_A 인디케이터 종료 시, 십자 영역 내 플레이어에게 Area Attack 데미지가 적용된다.</t>
  </si>
  <si>
    <t>면역 처리</t>
  </si>
  <si>
    <t>악몽 램프는 경직 피격에 면역 상태로 처리된다.</t>
  </si>
  <si>
    <t>어드벤처 인게임 몬스터_4.pdf - 개요</t>
  </si>
  <si>
    <t>다수 배치 시 텀</t>
  </si>
  <si>
    <t>악몽 램프 2마리 배치 시, 공격 출현 시간에 1초 이상의 텀을 두고 번갈아 공격된다.</t>
  </si>
  <si>
    <t>공격 준비 애니</t>
  </si>
  <si>
    <t>Skill_A 인디케이터 차오름 중, 플레이어를 바라보며 떨리는 공격 준비(_Skill_A_01) Loop 애니메이션이 재생된다.</t>
  </si>
  <si>
    <t>어드벤처 인게임 몬스터_4.pdf - 애니메이션</t>
  </si>
  <si>
    <t>꿈꾸는 모빌</t>
  </si>
  <si>
    <t>대기/이동</t>
  </si>
  <si>
    <t>플레이어 발견 시, 꿈꾸는 모빌 머리 위에 "!" 발견 표식이 출력되며 잠깐 대기 후 이동(속도 500~600)된다.</t>
  </si>
  <si>
    <t>어드벤처 인게임 몬스터_5.pdf - 이동</t>
  </si>
  <si>
    <t>몬스터 소환</t>
  </si>
  <si>
    <t>별 투사체 발사</t>
  </si>
  <si>
    <t>Skill_A 시전 시, 본인 주변 4.5m~9m 범위로 별모양 투사체가 발사되며 닿은 위치에 몬스터 1마리가 스폰된다.</t>
  </si>
  <si>
    <t>어드벤처 인게임 몬스터_5.pdf - Skill_A</t>
  </si>
  <si>
    <t>소환 최대 3마리 제한</t>
  </si>
  <si>
    <t>꿈꾸는 모빌은 동시 소환 가능한 몬스터를 최대 3마리까지로 제한한다.</t>
  </si>
  <si>
    <t>랜덤 몬스터 선정</t>
  </si>
  <si>
    <t>스폰되는 몬스터는 아가양, 악몽요정, 악몽램프 중 1개가 랜덤하게 선정되어 소환된다.</t>
  </si>
  <si>
    <t>Skill_B</t>
  </si>
  <si>
    <t>모여드는 항성</t>
  </si>
  <si>
    <t>항성 소환</t>
  </si>
  <si>
    <t>Skill_B 시전 시, 플레이어 중심 근처 3m 범위로 고리 행성(또는 블랙홀) 형태의 Area Attack이 소환된다.</t>
  </si>
  <si>
    <t>어드벤처 인게임 몬스터_5.pdf - Skill_B</t>
  </si>
  <si>
    <t>끌어당김 데미지</t>
  </si>
  <si>
    <t>Skill_B 발동 시, 항성 주변(반지름 5m)에 위치한 플레이어에게 데미지가 적용된다.</t>
  </si>
  <si>
    <t>꿈꾸는 모빌이 수면 적중 시, Fly 상태에서 지상으로 빠르게 추락된다.</t>
  </si>
  <si>
    <t>어드벤처 인게임 몬스터_5.pdf - 수면 및 기상</t>
  </si>
  <si>
    <t>소환 몬스터 사망</t>
  </si>
  <si>
    <t>꿈꾸는 모빌이 수면 적중 시, 본인이 소환했던 모든 몬스터가 사망 처리된다.</t>
  </si>
  <si>
    <t>쓰러진 자세</t>
  </si>
  <si>
    <t>꿈꾸는 모빌이 수면 적중 시, 고리와 모빌이 널부러진 형태로 지상에 쓰러진다.</t>
  </si>
  <si>
    <t>기상</t>
  </si>
  <si>
    <t>3초 공중 복귀</t>
  </si>
  <si>
    <t>꿈꾸는 모빌의 수면 해제 시, 약 3초에 걸쳐 공중으로 떠오르는 복귀 애니메이션이 재생된다.</t>
  </si>
  <si>
    <t>면역</t>
  </si>
  <si>
    <t>꿈꾸는 모빌은 경직 피격에 면역 상태로 처리된다.</t>
  </si>
  <si>
    <t>어드벤처 인게임 몬스터_5.pdf - 개요</t>
  </si>
  <si>
    <t>1마리 제한</t>
  </si>
  <si>
    <t>꿈꾸는 모빌은 전투 공간에 1마리만 배치되며, 동시 다중 배치되지 않는다.</t>
  </si>
  <si>
    <t>악몽의 양</t>
  </si>
  <si>
    <t>기본 이동</t>
  </si>
  <si>
    <t>악몽의 양은 기본 이동속도 600으로 플레이어 방향을 추적한다.</t>
  </si>
  <si>
    <t>어드벤처 인게임 몬스터_6.pdf - 이동</t>
  </si>
  <si>
    <t>돌진</t>
  </si>
  <si>
    <t>Skill_A 시전 시, 1초간 몸을 뒤로 빼는 돌진 준비(_Skill_A_01) 애니메이션과 함께 인디케이터가 표시된다.</t>
  </si>
  <si>
    <t>어드벤처 인게임 몬스터_6.pdf - Skill_A</t>
  </si>
  <si>
    <t>충돌 시 스턴 부여</t>
  </si>
  <si>
    <t>Skill_A 돌진이 플레이어에 적중 시, 플레이어에게 스턴이 부여된다.</t>
  </si>
  <si>
    <t>3연속 돌진</t>
  </si>
  <si>
    <t>악몽의 양은 Skill_A를 한 번에 최대 3번 연속으로 사용한다.</t>
  </si>
  <si>
    <t>난이도 분기</t>
  </si>
  <si>
    <t>고난이도 추가 투사체</t>
  </si>
  <si>
    <t>높은 난이도에서 Skill_A 돌진이 오브젝트에 충돌 시, Skill_B 투사체가 주변에 1회 추가 발동된다(튕기지 않음).</t>
  </si>
  <si>
    <t>별사탕 투사체</t>
  </si>
  <si>
    <t>Skill_B 시전 시, 12m 사거리 안에서 약 1초간 인디케이터가 잠시 표시된다.</t>
  </si>
  <si>
    <t>어드벤처 인게임 몬스터_6.pdf - Skill_B</t>
  </si>
  <si>
    <t>첫 충돌 데미지</t>
  </si>
  <si>
    <t>Skill_B 투사체가 바닥에 첫 충돌 시, 반지름 2m 범위 내 플레이어에게 데미지가 적용된다.</t>
  </si>
  <si>
    <t>2회 추가 튕김</t>
  </si>
  <si>
    <t>Skill_B 투사체는 첫 충돌 후 랜덤한 방향의 4m 거리로 2회 추가 튕긴 뒤 사라진다.</t>
  </si>
  <si>
    <t>Skill_C</t>
  </si>
  <si>
    <t>별 부르기</t>
  </si>
  <si>
    <t>Skill_C 시전 시, 플레이어 위치로 2초간 인디케이터가 출력된다.</t>
  </si>
  <si>
    <t>어드벤처 인게임 몬스터_6.pdf - Skill_C</t>
  </si>
  <si>
    <t>별똥별 낙하 데미지</t>
  </si>
  <si>
    <t>Skill_C 인디케이터 종료 시, 반지름 3.5m 범위로 별똥별이 낙하하며 Area Attack 데미지가 적용된다.</t>
  </si>
  <si>
    <t>체력/난이도 분기</t>
  </si>
  <si>
    <t>저체력 별똥별 증가</t>
  </si>
  <si>
    <t>악몽의 양이 낮은 체력 상태일 때, 울부짖는 시간이 길어지며 떨어지는 별똥별의 개수가 증가된다.</t>
  </si>
  <si>
    <t>악몽의 양은 공격을 실행하는 동안 경직 피격에 면역 상태로 처리된다.</t>
  </si>
  <si>
    <t>어드벤처 인게임 몬스터_6.pdf - 개요</t>
  </si>
  <si>
    <t>꿈을 쏟아내는 모빌</t>
  </si>
  <si>
    <t>맵 선회</t>
  </si>
  <si>
    <t>공중 7m 부유</t>
  </si>
  <si>
    <t>꿈을 쏟아내는 모빌은 지상으로부터 약 7m 높이에 떠 있는 상태로 맵 주변을 빙글빙글 선회한다.</t>
  </si>
  <si>
    <t>어드벤처 인게임 몬스터_7.pdf - 대기/이동</t>
  </si>
  <si>
    <t>타격 상태 전환</t>
  </si>
  <si>
    <t>Hide 상태</t>
  </si>
  <si>
    <t>타격 불가</t>
  </si>
  <si>
    <t>기본 상태에서 꿈을 쏟아내는 모빌은 Hide 처리되어 플레이어 공격으로 타격되지 않는다.</t>
  </si>
  <si>
    <t>어드벤처 인게임 몬스터_7.pdf - 애니메이션</t>
  </si>
  <si>
    <t>3개 투사체 동시 발사</t>
  </si>
  <si>
    <t>Skill_A 시전 시, 플레이어 주변 3m~12m 범위로 별모양 투사체 3개가 동시에 발사된다.</t>
  </si>
  <si>
    <t>어드벤처 인게임 몬스터_7.pdf - Skill_A</t>
  </si>
  <si>
    <t>3마리 동시 소환</t>
  </si>
  <si>
    <t>Skill_A 투사체가 닿은 위치마다 몬스터가 1마리씩 스폰되어 동시에 3마리가 소환된다.</t>
  </si>
  <si>
    <t>재소환 조건</t>
  </si>
  <si>
    <t>소환된 몬스터가 2마리 이하로 남았을 경우, Skill_A가 재시전된다.</t>
  </si>
  <si>
    <t>Skill_A로 스폰되는 몬스터는 아가양, 악몽요정, 노래하는 인형 중 1개가 랜덤하게 선정되어 소환된다.</t>
  </si>
  <si>
    <t>Area Attack</t>
  </si>
  <si>
    <t>15m 범위 발동</t>
  </si>
  <si>
    <t>Skill_B 시전 시, 플레이어 중심 근처 15m 범위로 Area Attack이 소환되어 데미지가 적용된다.</t>
  </si>
  <si>
    <t>어드벤처 인게임 몬스터_7.pdf - Skill_B</t>
  </si>
  <si>
    <t>꿈을 쏟아내는 모빌이 수면 적중 시, 지상으로 빠르게 추락하며 고리와 모빌이 널부러진 자세로 쓰러진다.</t>
  </si>
  <si>
    <t>어드벤처 인게임 몬스터_7.pdf - 수면 및 기상</t>
  </si>
  <si>
    <t>꿈을 쏟아내는 모빌이 수면 적중 시, 본인이 소환했던 모든 몬스터가 사망 처리된다.</t>
  </si>
  <si>
    <t>5초 지상 잔존</t>
  </si>
  <si>
    <t>수면 해제 후 약 5초 동안 지상에 가까이 잔존하며, 이 5초 동안 추가로 플레이어 공격으로 타격이 가능하다.</t>
  </si>
  <si>
    <t>공중 복귀</t>
  </si>
  <si>
    <t>5초 잔존 종료 후, 약 0.5초에 걸쳐 공중으로 떠오르는 복귀 애니메이션이 재생된다.</t>
  </si>
  <si>
    <t>소환 애니</t>
  </si>
  <si>
    <t>Skill_A 시전 시, 약 1.5초간 몸을 크게 좌우로 흔들며 도중에 투사체가 발사되는 _Skill_A_01 애니메이션이 재생된다.</t>
  </si>
  <si>
    <t>투사체 소환 애니</t>
  </si>
  <si>
    <t>Skill_B 시전 시, 약 1초간 플레이어를 바라보며 몸을 움츠리는 _Skill_B_01 애니메이션 후, 약 0.2초간 머리 별 장신구가 밝아지는 _Skill_B_02 애니메이션이 재생된다.</t>
  </si>
  <si>
    <t>거대한 악몽 램프</t>
  </si>
  <si>
    <t>고정형</t>
  </si>
  <si>
    <t>거대한 악몽 램프는 이동하지 않는 고정형 몬스터로, 위치 변경 없이 패턴을 시전한다.</t>
  </si>
  <si>
    <t>어드벤처 인게임 몬스터_8.pdf - 이동</t>
  </si>
  <si>
    <t>십자 장판</t>
  </si>
  <si>
    <t>25포인트 기반 위치 선정</t>
  </si>
  <si>
    <t>Skill_A 시전 시, 몬스터 중심 기준 좌우 12m 범위 안의 25개 포인트 중 쿠키의 위치를 기준으로 가장 가까운 포인트를 중심점으로 선정하여 십자 패턴이 생성된다.</t>
  </si>
  <si>
    <t>어드벤처 인게임 몬스터_8.pdf - Skill_A</t>
  </si>
  <si>
    <t>Skill_A 시전 시, 약 2초간 인디케이터가 차오르며 십자 패턴 위치가 표시된다.</t>
  </si>
  <si>
    <t>Skill_A 인디케이터 종료 시, 십자 패턴 영역 내 플레이어에게 Area Attack 데미지가 적용된다.</t>
  </si>
  <si>
    <t>쿠키 단독 위치 타격 분기</t>
  </si>
  <si>
    <t>Skill_A는 가끔 십자 패턴이 아닌 쿠키가 서 있는 위치 단독을 타격하는 분기 패턴으로 발동된다.</t>
  </si>
  <si>
    <t>부채꼴 빛</t>
  </si>
  <si>
    <t>Skill_B 시전 시, 쿠키가 있는 곳을 향해 약 1.8초간 인디케이터가 차오른다.</t>
  </si>
  <si>
    <t>어드벤처 인게임 몬스터_8.pdf - Skill_B</t>
  </si>
  <si>
    <t>120도 부채꼴 데미지</t>
  </si>
  <si>
    <t>Skill_B 인디케이터 종료 시, 전등의 갓이 들리며 반지름 8m, 120도 범위의 부채꼴 빛 공격이 적용된다.</t>
  </si>
  <si>
    <t>레이저</t>
  </si>
  <si>
    <t>Skill_C 시전 시, 약 1초간 램프 눈 부분에 빛이 모이며 인디케이터가 표시된다.</t>
  </si>
  <si>
    <t>어드벤처 인게임 몬스터_8.pdf - Skill_C</t>
  </si>
  <si>
    <t>직선 레이저 발사</t>
  </si>
  <si>
    <t>Skill_C 인디케이터 종료 시, 자신의 바로 앞 3m~15m 범위로 약 0.5초간 직선 레이저가 발사되어 데미지가 적용된다.</t>
  </si>
  <si>
    <t>복귀 애니</t>
  </si>
  <si>
    <t>Skill_C 레이저 발사 종료 후, 0.5초~1초에 걸쳐 원래 자세로 복귀하는 _Skill_C_02 애니메이션이 재생된다.</t>
  </si>
  <si>
    <t>어드벤처 인게임 몬스터_8.pdf - 애니메이션</t>
  </si>
  <si>
    <t>거대한 악몽 램프는 경직 피격에 면역 상태로 처리된다.</t>
  </si>
  <si>
    <t>어드벤처 인게임 몬스터_8.pdf - 개요</t>
  </si>
  <si>
    <t>어비스레이드 악몽A</t>
  </si>
  <si>
    <t>맵 디자인</t>
  </si>
  <si>
    <t>1페이즈 맵</t>
  </si>
  <si>
    <t>낙사 불가</t>
  </si>
  <si>
    <t>1페이즈 맵에서는 낙사 구역이 존재하지 않아 플레이어가 낙사되지 않는다.</t>
  </si>
  <si>
    <t>어드벤처 인게임 보스.pdf - 맵 디자인</t>
  </si>
  <si>
    <t>2페이즈 맵</t>
  </si>
  <si>
    <t>맵 가장자리 소멸</t>
  </si>
  <si>
    <t>2페이즈 진입 후 보스의 오프닝 패턴(별의 분노) 발동 시, 맵 가장자리가 소멸된다.</t>
  </si>
  <si>
    <t>어드벤처 인게임 보스.pdf - 맵 관련 이벤트</t>
  </si>
  <si>
    <t>낙사 가능 전환</t>
  </si>
  <si>
    <t>맵 가장자리 소멸 후, 전투 공간이 축소되며 낙사가 가능한 상태로 전환된다.</t>
  </si>
  <si>
    <t>낙사 시스템</t>
  </si>
  <si>
    <t>낙사 진입</t>
  </si>
  <si>
    <t>안개 붙잡힘</t>
  </si>
  <si>
    <t>플레이어 낙사 시, 낙사 구역에서 안개에 둘러싸인 상태로 둥둥 떠 붙잡혀 있는 상태가 된다.</t>
  </si>
  <si>
    <t>어드벤처 인게임 보스.pdf - 낙사구역</t>
  </si>
  <si>
    <t>즉시 데미지</t>
  </si>
  <si>
    <t>낙사 시점에 플레이어 최대 체력 비례 20%~30% 피해가 즉시 적용된다.</t>
  </si>
  <si>
    <t>낙사 중</t>
  </si>
  <si>
    <t>초당 지속 데미지</t>
  </si>
  <si>
    <t>낙사 붙잡힌 상태에서 매 초마다 플레이어 최대 체력 비례 5%~10% 피해가 지속 적용된다.</t>
  </si>
  <si>
    <t>탈출</t>
  </si>
  <si>
    <t>버튼 연타 탈출</t>
  </si>
  <si>
    <t>낙사 붙잡힌 상태에서 버튼 연타로 탈출 시, 플레이어가 필드로 복귀된다.</t>
  </si>
  <si>
    <t>누적 시 연타 횟수 증가</t>
  </si>
  <si>
    <t>개인 단위 낙사 누적 시, 탈출에 요구되는 버튼 연타 횟수가 증가된다.</t>
  </si>
  <si>
    <t>기믹 - 악몽의 허상</t>
  </si>
  <si>
    <t>허상 처리</t>
  </si>
  <si>
    <t>피해/효과 무효</t>
  </si>
  <si>
    <t>허상 공격에 피격되거나 허상 엄폐물 뒤에 위치 시, 플레이어에게 피해가 적용되지 않으며 엄폐 효과도 적용되지 않는다.</t>
  </si>
  <si>
    <t>어드벤처 인게임 보스.pdf - 악몽의 허상</t>
  </si>
  <si>
    <t>동일 색상 시각 표시</t>
  </si>
  <si>
    <t>모든 허상 요소는 동일한 색상의 시각 효과가 공통 적용되어 표시된다.</t>
  </si>
  <si>
    <t>인디케이터 구분 불가</t>
  </si>
  <si>
    <t>허상과 일반 공격은 인디케이터로 시각적 구분이 불가능하게 표시된다.</t>
  </si>
  <si>
    <t>일반 패턴</t>
  </si>
  <si>
    <t>악몽 방출</t>
  </si>
  <si>
    <t>관통 투사체 발사</t>
  </si>
  <si>
    <t>악몽 방출 시전 시, 보스가 타겟과 거리를 벌린 후 타겟 방향으로 관통 투사체를 발사한다.</t>
  </si>
  <si>
    <t>어드벤처 인게임 보스.pdf - 악몽 방출</t>
  </si>
  <si>
    <t>최대거리 도달 시 고정</t>
  </si>
  <si>
    <t>방출된 악몽 투사체는 최대 거리 도달 시, 해당 위치에 고정되어 대기된다.</t>
  </si>
  <si>
    <t>허상 투사체 혼합</t>
  </si>
  <si>
    <t>방출되는 n개의 투사체 중 일부는 허상 투사체로 섞여 발사되며, 허상 투사체가 생성한 악몽은 회수 시에도 피해가 적용되지 않는다.</t>
  </si>
  <si>
    <t>어드벤처 인게임 보스.pdf - 악몽의 허상 적용 예시</t>
  </si>
  <si>
    <t>악몽 회수</t>
  </si>
  <si>
    <t>경로 데미지</t>
  </si>
  <si>
    <t>악몽 회수 시전 시, 보스가 타겟 근처로 빠르게 이동 후 필드의 고정 악몽을 회수하며 경로에 있는 대상에게 피해를 가한다.</t>
  </si>
  <si>
    <t>어드벤처 인게임 보스.pdf - 악몽 회수</t>
  </si>
  <si>
    <t>심연의 손길</t>
  </si>
  <si>
    <t>1차 손 솟아오름</t>
  </si>
  <si>
    <t>심연의 손길 1차 공격 시, 필드 위 모든 타겟 아래에서 빠른 속도로 손이 솟아나 붙잡으려고 시도한다.</t>
  </si>
  <si>
    <t>어드벤처 인게임 보스.pdf - 심연의 손길</t>
  </si>
  <si>
    <t>속박 처리</t>
  </si>
  <si>
    <t>심연의 손길에 붙잡힌 대상은 n초 동안 속박 상태가 된다.</t>
  </si>
  <si>
    <t>2차 폭발</t>
  </si>
  <si>
    <t>캐스팅 종료 시점에 속박된 대상이 있을 경우, 손이 폭발하며 주변에 강력한 피해가 적용된다.</t>
  </si>
  <si>
    <t>속박 대상 없을 시 종료</t>
  </si>
  <si>
    <t>캐스팅 종료 시점에 속박된 대상이 없을 경우, 심연의 손길 스킬이 즉시 종료된다.</t>
  </si>
  <si>
    <t>특수 패턴</t>
  </si>
  <si>
    <t>진짜 찾기</t>
  </si>
  <si>
    <t>분신 생성</t>
  </si>
  <si>
    <t>진짜 찾기 시전 시, 본체와 완전히 동일한 외형의 분신이 생성되어 함께 캐스팅된다.</t>
  </si>
  <si>
    <t>어드벤처 인게임 보스.pdf - 진짜 찾기</t>
  </si>
  <si>
    <t>A/B 공격 분기</t>
  </si>
  <si>
    <t>본체가 A 공격을 시전할 경우, 분신은 B 공격을 시전하여 서로 다른 공격을 캐스팅한다.</t>
  </si>
  <si>
    <t>분신 타격 무효</t>
  </si>
  <si>
    <t>분신을 타격해도 보스 본체의 체력 및 무력화 수치에는 영향이 없다.</t>
  </si>
  <si>
    <t>악몽 폭주</t>
  </si>
  <si>
    <t>즉시 시전</t>
  </si>
  <si>
    <t>보스가 악몽을 흡수한 경우, 별도 애니메이션 없이 즉시 악몽 폭주가 시전된다.</t>
  </si>
  <si>
    <t>어드벤처 인게임 보스.pdf - 악몽 폭주</t>
  </si>
  <si>
    <t>흡수 수 비례 데미지</t>
  </si>
  <si>
    <t>악몽 폭주 발동 시, 동시에 흡수한 악몽의 수에 비례한 데미지(기본 데미지 × 흡수 수)가 모든 플레이어에게 적용된다.</t>
  </si>
  <si>
    <t>잠식</t>
  </si>
  <si>
    <t>덩어리 낙하</t>
  </si>
  <si>
    <t>잠식 시전 시, 보스 주변 랜덤한 위치에 하늘에서 악몽 덩어리가 묵직하게 떨어진다.</t>
  </si>
  <si>
    <t>어드벤처 인게임 보스.pdf - 잠식</t>
  </si>
  <si>
    <t>웅덩이 생성</t>
  </si>
  <si>
    <t>악몽 덩어리가 떨어진 위치에 악몽 웅덩이가 생성된다.</t>
  </si>
  <si>
    <t>이동속도 감소 + 지속 피해</t>
  </si>
  <si>
    <t>잠식 웅덩이 범위 안에 위치한 플레이어는 이동속도가 감소되며, 일정 시간마다 지��� 피해가 적용된다.</t>
  </si>
  <si>
    <t>강화 단계 크기 증가</t>
  </si>
  <si>
    <t>잠식 강화 단계에서 생성된 웅덩이는 일정 시간 동안 점점 크기가 증가하여 공간을 압박한다.</t>
  </si>
  <si>
    <t>어드벤처 인게임 보스.pdf - 잠식 강화</t>
  </si>
  <si>
    <t>강화2 허상 분기</t>
  </si>
  <si>
    <t>잠식 강화2 단계에서 큰 악몽 덩어리 4개가 지정 위치에 떨어지며, 그 중 n개는 허상 공격으로 떨어지는 동시에 소멸된다.</t>
  </si>
  <si>
    <t>어드벤처 인게임 보스.pdf - 잠식 강화2</t>
  </si>
  <si>
    <t>필살기 - 악몽 정화</t>
  </si>
  <si>
    <t>기믹 시작</t>
  </si>
  <si>
    <t>보스 중앙 이동 및 무적화</t>
  </si>
  <si>
    <t>필살기 시전 시, 보스가 필드 중앙으로 이동 후 맵 전역을 악몽으로 물들이며 무적 상태가 된다.</t>
  </si>
  <si>
    <t>어드벤처 인게임 보스.pdf - 악몽 정화</t>
  </si>
  <si>
    <t>정화 방법</t>
  </si>
  <si>
    <t>플레이어 밀쳐냄</t>
  </si>
  <si>
    <t>맵이 악몽으로 물든 후, 보스가 플레이어를 강하게 밀쳐낸다.</t>
  </si>
  <si>
    <t>이동 경로 정화</t>
  </si>
  <si>
    <t>플레이어가 악몽으로 물든 곳을 밟고 이동 시, 이동한 경로의 악몽이 정화된다.</t>
  </si>
  <si>
    <t>분신 기믹</t>
  </si>
  <si>
    <t>파괴 보호막 분신</t>
  </si>
  <si>
    <t>기믹 진행 중 파괴 보호막을 가진 보스 분신 등장 시, 제한 시간 안에 보호막 파괴 성공 시 공격이 저지되고 주변 필드가 정화된다.</t>
  </si>
  <si>
    <t>어드벤처 인게임 보스.pdf - 악몽 정화 흐름</t>
  </si>
  <si>
    <t>무력화 분신</t>
  </si>
  <si>
    <t>무력화를 요구하는 보스 분신 등장 시, 제한 시간 안에 무력화 성공 시 공격이 저지되고 주변 필드가 정화된다.</t>
  </si>
  <si>
    <t>상쇄 분신</t>
  </si>
  <si>
    <t>상쇄가 가능한 공격을 시전하는 보스 분신 등장 시, 상쇄 성공 시 공격이 저지되고 주변 필드가 정화된다.</t>
  </si>
  <si>
    <t>실패 시 광역 공격</t>
  </si>
  <si>
    <t>분신 기믹 실패 시(파괴/무력화/상쇄 실패), 분신이 광역 공격을 시전하여 주변 필드를 악몽으로 물들인다.</t>
  </si>
  <si>
    <t>정화 불가 필드</t>
  </si>
  <si>
    <t>방치 시 전환</t>
  </si>
  <si>
    <t>악몽으로 물든 구역을 일정 시간 동안 정화하지 않고 방치 시, 해당 구역이 정화 불가능한 필드로 전환된다.</t>
  </si>
  <si>
    <t>어드벤처 인게임 보스.pdf - 악몽 정화 상세</t>
  </si>
  <si>
    <t>기믹 결과</t>
  </si>
  <si>
    <t>성공 시 그로기</t>
  </si>
  <si>
    <t>필살기 종료 시점에 필드 정화 정도가 성공 기준을 충족할 경우, 보스가 그로기 상태로 전환된다.</t>
  </si>
  <si>
    <t>어드벤처 인게임 보스.pdf - 악몽 정화 결과</t>
  </si>
  <si>
    <t>실패 시 일반 몬스터 압박</t>
  </si>
  <si>
    <t>필살기 실패 시, 기믹이 종료된 후 전투가 이어지며 일반 몬스터가 지속 생성되어 플레이어를 압박한다.</t>
  </si>
  <si>
    <t>유틸 패턴</t>
  </si>
  <si>
    <t>이동기</t>
  </si>
  <si>
    <t>방향 이동</t>
  </si>
  <si>
    <t>유틸 패턴 이동기 시전 시, 보스가 정해진 방향으로 빠른 속도로 이동되며 악몽 방출/회수 패턴과 연계하여 사용된다.</t>
  </si>
  <si>
    <t>어드벤처 인게임 보스.pdf - 이동기</t>
  </si>
  <si>
    <t>텔레포트</t>
  </si>
  <si>
    <t>순간이동</t>
  </si>
  <si>
    <t>텔레포트 시전 시, 보스가 목표 지점으로 빠른 속도로 순간이동된다.</t>
  </si>
  <si>
    <t>어드벤처 인게임 보스.pdf - 텔레포트</t>
  </si>
  <si>
    <t>전조 시간 표시</t>
  </si>
  <si>
    <t>텔레포트 시전 전, 약간의 전조 시간이 보장되어 플레이어가 예측 가능한 형태로 표시된다.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</si>
</sst>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COUNTIF(I10:I179,"Pass")</f>
      </c>
      <c r="K3" t="s">
        <v>4</v>
      </c>
      <c r="L3">
        <f>COUNTIF(I10:I179,"")</f>
      </c>
      <c r="M3" s="3" t="s">
        <v>3</v>
      </c>
      <c r="N3">
        <f>COUNTIF(J10:J179,"Pass")</f>
      </c>
    </row>
    <row r="4" spans="9:14" x14ac:dyDescent="0.25">
      <c r="I4" s="4" t="s">
        <v>5</v>
      </c>
      <c r="J4">
        <f>COUNTIF(I10:I179,"N/T")</f>
      </c>
      <c r="K4" t="s">
        <v>6</v>
      </c>
      <c r="L4">
        <f>COUNTA(I10:I179)-COUNTIF(I10:I179,"")</f>
      </c>
      <c r="M4" s="4" t="s">
        <v>5</v>
      </c>
      <c r="N4">
        <f>COUNTIF(J10:J179,"N/T")</f>
      </c>
    </row>
    <row r="5" spans="9:14" x14ac:dyDescent="0.25">
      <c r="I5" s="5" t="s">
        <v>7</v>
      </c>
      <c r="J5">
        <f>COUNTIF(I10:I179,"Fail")</f>
      </c>
      <c r="K5" t="s">
        <v>8</v>
      </c>
      <c r="L5">
        <v>170</v>
      </c>
      <c r="M5" s="5" t="s">
        <v>7</v>
      </c>
      <c r="N5">
        <f>COUNTIF(J10:J179,"Fail")</f>
      </c>
    </row>
    <row r="6" spans="9:14" x14ac:dyDescent="0.25">
      <c r="I6" s="6" t="s">
        <v>9</v>
      </c>
      <c r="J6">
        <f>COUNTIF(I10:I179,"Block")</f>
      </c>
      <c r="K6" t="s">
        <v>10</v>
      </c>
      <c r="L6" s="7">
        <f>IF(L5=0,0,L4/L5)</f>
      </c>
      <c r="M6" s="6" t="s">
        <v>9</v>
      </c>
      <c r="N6">
        <f>COUNTIF(J10:J179,"Block")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 t="s">
        <v>32</v>
      </c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5" t="s">
        <v>29</v>
      </c>
      <c r="D13" s="11"/>
      <c r="E13" s="11"/>
      <c r="F13" s="11"/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0" t="s">
        <v>22</v>
      </c>
      <c r="D14" s="11"/>
      <c r="E14" s="11" t="s">
        <v>37</v>
      </c>
      <c r="F14" s="11" t="s">
        <v>38</v>
      </c>
      <c r="G14" s="12" t="s">
        <v>39</v>
      </c>
      <c r="H14" s="13" t="s">
        <v>40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41</v>
      </c>
      <c r="H15" s="13" t="s">
        <v>42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6" t="s">
        <v>43</v>
      </c>
      <c r="D16" s="11"/>
      <c r="E16" s="11"/>
      <c r="F16" s="11" t="s">
        <v>44</v>
      </c>
      <c r="G16" s="12" t="s">
        <v>45</v>
      </c>
      <c r="H16" s="13" t="s">
        <v>46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6" t="s">
        <v>43</v>
      </c>
      <c r="D17" s="11"/>
      <c r="E17" s="11"/>
      <c r="F17" s="11"/>
      <c r="G17" s="12" t="s">
        <v>47</v>
      </c>
      <c r="H17" s="13" t="s">
        <v>48</v>
      </c>
      <c r="I17" s="12"/>
      <c r="J17" s="12"/>
      <c r="K17" s="12"/>
      <c r="L17" s="12"/>
      <c r="M17" s="12"/>
      <c r="N17" s="14" t="s">
        <v>28</v>
      </c>
    </row>
    <row r="18" spans="2:14" x14ac:dyDescent="0.25">
      <c r="B18" s="9">
        <v>9</v>
      </c>
      <c r="C18" s="10" t="s">
        <v>22</v>
      </c>
      <c r="D18" s="11"/>
      <c r="E18" s="11"/>
      <c r="F18" s="12" t="s">
        <v>49</v>
      </c>
      <c r="G18" s="12" t="s">
        <v>50</v>
      </c>
      <c r="H18" s="13" t="s">
        <v>51</v>
      </c>
      <c r="I18" s="12"/>
      <c r="J18" s="12"/>
      <c r="K18" s="12"/>
      <c r="L18" s="12"/>
      <c r="M18" s="12"/>
      <c r="N18" s="14" t="s">
        <v>28</v>
      </c>
    </row>
    <row r="19" spans="2:14" x14ac:dyDescent="0.25">
      <c r="B19" s="9">
        <v>10</v>
      </c>
      <c r="C19" s="16" t="s">
        <v>43</v>
      </c>
      <c r="D19" s="11"/>
      <c r="E19" s="11"/>
      <c r="F19" s="11" t="s">
        <v>52</v>
      </c>
      <c r="G19" s="12" t="s">
        <v>53</v>
      </c>
      <c r="H19" s="13" t="s">
        <v>54</v>
      </c>
      <c r="I19" s="12"/>
      <c r="J19" s="12"/>
      <c r="K19" s="12"/>
      <c r="L19" s="12"/>
      <c r="M19" s="12"/>
      <c r="N19" s="14" t="s">
        <v>55</v>
      </c>
    </row>
    <row r="20" spans="2:14" x14ac:dyDescent="0.25">
      <c r="B20" s="9">
        <v>11</v>
      </c>
      <c r="C20" s="16" t="s">
        <v>43</v>
      </c>
      <c r="D20" s="11"/>
      <c r="E20" s="11"/>
      <c r="F20" s="11"/>
      <c r="G20" s="12" t="s">
        <v>56</v>
      </c>
      <c r="H20" s="13" t="s">
        <v>57</v>
      </c>
      <c r="I20" s="12"/>
      <c r="J20" s="12"/>
      <c r="K20" s="12"/>
      <c r="L20" s="12"/>
      <c r="M20" s="12"/>
      <c r="N20" s="14" t="s">
        <v>55</v>
      </c>
    </row>
    <row r="21" spans="2:14" x14ac:dyDescent="0.25">
      <c r="B21" s="9">
        <v>12</v>
      </c>
      <c r="C21" s="10" t="s">
        <v>22</v>
      </c>
      <c r="D21" s="11"/>
      <c r="E21" s="11" t="s">
        <v>58</v>
      </c>
      <c r="F21" s="11" t="s">
        <v>59</v>
      </c>
      <c r="G21" s="12" t="s">
        <v>60</v>
      </c>
      <c r="H21" s="13" t="s">
        <v>61</v>
      </c>
      <c r="I21" s="12"/>
      <c r="J21" s="12"/>
      <c r="K21" s="12"/>
      <c r="L21" s="12"/>
      <c r="M21" s="12"/>
      <c r="N21" s="14" t="s">
        <v>62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63</v>
      </c>
      <c r="H22" s="13" t="s">
        <v>64</v>
      </c>
      <c r="I22" s="12"/>
      <c r="J22" s="12"/>
      <c r="K22" s="12"/>
      <c r="L22" s="12"/>
      <c r="M22" s="12"/>
      <c r="N22" s="14" t="s">
        <v>62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65</v>
      </c>
      <c r="H23" s="13" t="s">
        <v>66</v>
      </c>
      <c r="I23" s="12"/>
      <c r="J23" s="12"/>
      <c r="K23" s="12"/>
      <c r="L23" s="12"/>
      <c r="M23" s="12"/>
      <c r="N23" s="14" t="s">
        <v>62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67</v>
      </c>
      <c r="G24" s="12" t="s">
        <v>68</v>
      </c>
      <c r="H24" s="13" t="s">
        <v>69</v>
      </c>
      <c r="I24" s="12"/>
      <c r="J24" s="12"/>
      <c r="K24" s="12"/>
      <c r="L24" s="12"/>
      <c r="M24" s="12"/>
      <c r="N24" s="14" t="s">
        <v>62</v>
      </c>
    </row>
    <row r="25" spans="2:14" x14ac:dyDescent="0.25">
      <c r="B25" s="9">
        <v>16</v>
      </c>
      <c r="C25" s="16" t="s">
        <v>43</v>
      </c>
      <c r="D25" s="11" t="s">
        <v>70</v>
      </c>
      <c r="E25" s="11" t="s">
        <v>71</v>
      </c>
      <c r="F25" s="11" t="s">
        <v>72</v>
      </c>
      <c r="G25" s="12" t="s">
        <v>73</v>
      </c>
      <c r="H25" s="13" t="s">
        <v>74</v>
      </c>
      <c r="I25" s="12"/>
      <c r="J25" s="12"/>
      <c r="K25" s="12"/>
      <c r="L25" s="12"/>
      <c r="M25" s="12"/>
      <c r="N25" s="14" t="s">
        <v>75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76</v>
      </c>
      <c r="H26" s="13" t="s">
        <v>77</v>
      </c>
      <c r="I26" s="12"/>
      <c r="J26" s="12"/>
      <c r="K26" s="12"/>
      <c r="L26" s="12"/>
      <c r="M26" s="12"/>
      <c r="N26" s="14" t="s">
        <v>75</v>
      </c>
    </row>
    <row r="27" spans="2:14" x14ac:dyDescent="0.25">
      <c r="B27" s="9">
        <v>18</v>
      </c>
      <c r="C27" s="10" t="s">
        <v>22</v>
      </c>
      <c r="D27" s="11"/>
      <c r="E27" s="11"/>
      <c r="F27" s="12" t="s">
        <v>78</v>
      </c>
      <c r="G27" s="12" t="s">
        <v>79</v>
      </c>
      <c r="H27" s="13" t="s">
        <v>80</v>
      </c>
      <c r="I27" s="12"/>
      <c r="J27" s="12"/>
      <c r="K27" s="12"/>
      <c r="L27" s="12"/>
      <c r="M27" s="12"/>
      <c r="N27" s="14" t="s">
        <v>75</v>
      </c>
    </row>
    <row r="28" spans="2:14" x14ac:dyDescent="0.25">
      <c r="B28" s="9">
        <v>19</v>
      </c>
      <c r="C28" s="10" t="s">
        <v>22</v>
      </c>
      <c r="D28" s="11"/>
      <c r="E28" s="11" t="s">
        <v>81</v>
      </c>
      <c r="F28" s="11" t="s">
        <v>82</v>
      </c>
      <c r="G28" s="12" t="s">
        <v>83</v>
      </c>
      <c r="H28" s="13" t="s">
        <v>84</v>
      </c>
      <c r="I28" s="12"/>
      <c r="J28" s="12"/>
      <c r="K28" s="12"/>
      <c r="L28" s="12"/>
      <c r="M28" s="12"/>
      <c r="N28" s="14" t="s">
        <v>85</v>
      </c>
    </row>
    <row r="29" spans="2:14" x14ac:dyDescent="0.25">
      <c r="B29" s="9">
        <v>20</v>
      </c>
      <c r="C29" s="16" t="s">
        <v>43</v>
      </c>
      <c r="D29" s="11"/>
      <c r="E29" s="11"/>
      <c r="F29" s="11"/>
      <c r="G29" s="12" t="s">
        <v>86</v>
      </c>
      <c r="H29" s="13" t="s">
        <v>87</v>
      </c>
      <c r="I29" s="12"/>
      <c r="J29" s="12"/>
      <c r="K29" s="12"/>
      <c r="L29" s="12"/>
      <c r="M29" s="12"/>
      <c r="N29" s="14" t="s">
        <v>88</v>
      </c>
    </row>
    <row r="30" spans="2:14" x14ac:dyDescent="0.25">
      <c r="B30" s="9">
        <v>21</v>
      </c>
      <c r="C30" s="10" t="s">
        <v>22</v>
      </c>
      <c r="D30" s="11"/>
      <c r="E30" s="11"/>
      <c r="F30" s="11" t="s">
        <v>89</v>
      </c>
      <c r="G30" s="12" t="s">
        <v>90</v>
      </c>
      <c r="H30" s="13" t="s">
        <v>91</v>
      </c>
      <c r="I30" s="12"/>
      <c r="J30" s="12"/>
      <c r="K30" s="12"/>
      <c r="L30" s="12"/>
      <c r="M30" s="12"/>
      <c r="N30" s="14" t="s">
        <v>85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92</v>
      </c>
      <c r="H31" s="13" t="s">
        <v>93</v>
      </c>
      <c r="I31" s="12"/>
      <c r="J31" s="12"/>
      <c r="K31" s="12"/>
      <c r="L31" s="12"/>
      <c r="M31" s="12"/>
      <c r="N31" s="14" t="s">
        <v>85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94</v>
      </c>
      <c r="H32" s="13" t="s">
        <v>95</v>
      </c>
      <c r="I32" s="12"/>
      <c r="J32" s="12"/>
      <c r="K32" s="12"/>
      <c r="L32" s="12"/>
      <c r="M32" s="12"/>
      <c r="N32" s="14" t="s">
        <v>85</v>
      </c>
    </row>
    <row r="33" spans="2:14" x14ac:dyDescent="0.25">
      <c r="B33" s="9">
        <v>24</v>
      </c>
      <c r="C33" s="16" t="s">
        <v>43</v>
      </c>
      <c r="D33" s="11"/>
      <c r="E33" s="11"/>
      <c r="F33" s="11"/>
      <c r="G33" s="12" t="s">
        <v>96</v>
      </c>
      <c r="H33" s="13" t="s">
        <v>97</v>
      </c>
      <c r="I33" s="12"/>
      <c r="J33" s="12"/>
      <c r="K33" s="12"/>
      <c r="L33" s="12"/>
      <c r="M33" s="12"/>
      <c r="N33" s="14" t="s">
        <v>98</v>
      </c>
    </row>
    <row r="34" spans="2:14" x14ac:dyDescent="0.25">
      <c r="B34" s="9">
        <v>25</v>
      </c>
      <c r="C34" s="15" t="s">
        <v>29</v>
      </c>
      <c r="D34" s="11"/>
      <c r="E34" s="11" t="s">
        <v>99</v>
      </c>
      <c r="F34" s="11" t="s">
        <v>100</v>
      </c>
      <c r="G34" s="12" t="s">
        <v>101</v>
      </c>
      <c r="H34" s="13" t="s">
        <v>102</v>
      </c>
      <c r="I34" s="12"/>
      <c r="J34" s="12"/>
      <c r="K34" s="12"/>
      <c r="L34" s="12"/>
      <c r="M34" s="12"/>
      <c r="N34" s="14" t="s">
        <v>103</v>
      </c>
    </row>
    <row r="35" spans="2:14" x14ac:dyDescent="0.25">
      <c r="B35" s="9">
        <v>26</v>
      </c>
      <c r="C35" s="16" t="s">
        <v>43</v>
      </c>
      <c r="D35" s="11"/>
      <c r="E35" s="11"/>
      <c r="F35" s="11"/>
      <c r="G35" s="12" t="s">
        <v>104</v>
      </c>
      <c r="H35" s="13" t="s">
        <v>105</v>
      </c>
      <c r="I35" s="12"/>
      <c r="J35" s="12"/>
      <c r="K35" s="12"/>
      <c r="L35" s="12"/>
      <c r="M35" s="12"/>
      <c r="N35" s="14" t="s">
        <v>88</v>
      </c>
    </row>
    <row r="36" spans="2:14" x14ac:dyDescent="0.25">
      <c r="B36" s="9">
        <v>27</v>
      </c>
      <c r="C36" s="15" t="s">
        <v>29</v>
      </c>
      <c r="D36" s="11"/>
      <c r="E36" s="11"/>
      <c r="F36" s="11" t="s">
        <v>106</v>
      </c>
      <c r="G36" s="12" t="s">
        <v>107</v>
      </c>
      <c r="H36" s="13" t="s">
        <v>108</v>
      </c>
      <c r="I36" s="12"/>
      <c r="J36" s="12"/>
      <c r="K36" s="12"/>
      <c r="L36" s="12"/>
      <c r="M36" s="12"/>
      <c r="N36" s="14" t="s">
        <v>103</v>
      </c>
    </row>
    <row r="37" spans="2:14" x14ac:dyDescent="0.25">
      <c r="B37" s="9">
        <v>28</v>
      </c>
      <c r="C37" s="16" t="s">
        <v>43</v>
      </c>
      <c r="D37" s="11"/>
      <c r="E37" s="11"/>
      <c r="F37" s="11"/>
      <c r="G37" s="12" t="s">
        <v>109</v>
      </c>
      <c r="H37" s="13" t="s">
        <v>110</v>
      </c>
      <c r="I37" s="12"/>
      <c r="J37" s="12"/>
      <c r="K37" s="12"/>
      <c r="L37" s="12"/>
      <c r="M37" s="12"/>
      <c r="N37" s="14" t="s">
        <v>98</v>
      </c>
    </row>
    <row r="38" spans="2:14" x14ac:dyDescent="0.25">
      <c r="B38" s="9">
        <v>29</v>
      </c>
      <c r="C38" s="10" t="s">
        <v>22</v>
      </c>
      <c r="D38" s="11"/>
      <c r="E38" s="11"/>
      <c r="F38" s="11" t="s">
        <v>111</v>
      </c>
      <c r="G38" s="12" t="s">
        <v>112</v>
      </c>
      <c r="H38" s="13" t="s">
        <v>113</v>
      </c>
      <c r="I38" s="12"/>
      <c r="J38" s="12"/>
      <c r="K38" s="12"/>
      <c r="L38" s="12"/>
      <c r="M38" s="12"/>
      <c r="N38" s="14" t="s">
        <v>75</v>
      </c>
    </row>
    <row r="39" spans="2:14" x14ac:dyDescent="0.25">
      <c r="B39" s="9">
        <v>30</v>
      </c>
      <c r="C39" s="16" t="s">
        <v>43</v>
      </c>
      <c r="D39" s="11"/>
      <c r="E39" s="11"/>
      <c r="F39" s="11"/>
      <c r="G39" s="12" t="s">
        <v>114</v>
      </c>
      <c r="H39" s="13" t="s">
        <v>115</v>
      </c>
      <c r="I39" s="12"/>
      <c r="J39" s="12"/>
      <c r="K39" s="12"/>
      <c r="L39" s="12"/>
      <c r="M39" s="12"/>
      <c r="N39" s="14" t="s">
        <v>88</v>
      </c>
    </row>
    <row r="40" spans="2:14" x14ac:dyDescent="0.25">
      <c r="B40" s="9">
        <v>31</v>
      </c>
      <c r="C40" s="10" t="s">
        <v>22</v>
      </c>
      <c r="D40" s="11"/>
      <c r="E40" s="12" t="s">
        <v>81</v>
      </c>
      <c r="F40" s="12" t="s">
        <v>82</v>
      </c>
      <c r="G40" s="12" t="s">
        <v>116</v>
      </c>
      <c r="H40" s="13" t="s">
        <v>117</v>
      </c>
      <c r="I40" s="12"/>
      <c r="J40" s="12"/>
      <c r="K40" s="12"/>
      <c r="L40" s="12"/>
      <c r="M40" s="12"/>
      <c r="N40" s="14" t="s">
        <v>98</v>
      </c>
    </row>
    <row r="41" spans="2:14" x14ac:dyDescent="0.25">
      <c r="B41" s="9">
        <v>32</v>
      </c>
      <c r="C41" s="15" t="s">
        <v>29</v>
      </c>
      <c r="D41" s="11" t="s">
        <v>118</v>
      </c>
      <c r="E41" s="11" t="s">
        <v>119</v>
      </c>
      <c r="F41" s="11" t="s">
        <v>120</v>
      </c>
      <c r="G41" s="12" t="s">
        <v>121</v>
      </c>
      <c r="H41" s="13" t="s">
        <v>122</v>
      </c>
      <c r="I41" s="12"/>
      <c r="J41" s="12"/>
      <c r="K41" s="12"/>
      <c r="L41" s="12"/>
      <c r="M41" s="12"/>
      <c r="N41" s="14" t="s">
        <v>123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124</v>
      </c>
      <c r="H42" s="13" t="s">
        <v>125</v>
      </c>
      <c r="I42" s="12"/>
      <c r="J42" s="12"/>
      <c r="K42" s="12"/>
      <c r="L42" s="12"/>
      <c r="M42" s="12"/>
      <c r="N42" s="14" t="s">
        <v>123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126</v>
      </c>
      <c r="H43" s="13" t="s">
        <v>127</v>
      </c>
      <c r="I43" s="12"/>
      <c r="J43" s="12"/>
      <c r="K43" s="12"/>
      <c r="L43" s="12"/>
      <c r="M43" s="12"/>
      <c r="N43" s="14" t="s">
        <v>123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128</v>
      </c>
      <c r="H44" s="13" t="s">
        <v>129</v>
      </c>
      <c r="I44" s="12"/>
      <c r="J44" s="12"/>
      <c r="K44" s="12"/>
      <c r="L44" s="12"/>
      <c r="M44" s="12"/>
      <c r="N44" s="14" t="s">
        <v>130</v>
      </c>
    </row>
    <row r="45" spans="2:14" x14ac:dyDescent="0.25">
      <c r="B45" s="9">
        <v>36</v>
      </c>
      <c r="C45" s="16" t="s">
        <v>43</v>
      </c>
      <c r="D45" s="11"/>
      <c r="E45" s="11"/>
      <c r="F45" s="12" t="s">
        <v>131</v>
      </c>
      <c r="G45" s="12" t="s">
        <v>132</v>
      </c>
      <c r="H45" s="13" t="s">
        <v>133</v>
      </c>
      <c r="I45" s="12"/>
      <c r="J45" s="12"/>
      <c r="K45" s="12"/>
      <c r="L45" s="12"/>
      <c r="M45" s="12"/>
      <c r="N45" s="14" t="s">
        <v>134</v>
      </c>
    </row>
    <row r="46" spans="2:14" x14ac:dyDescent="0.25">
      <c r="B46" s="9">
        <v>37</v>
      </c>
      <c r="C46" s="10" t="s">
        <v>22</v>
      </c>
      <c r="D46" s="11"/>
      <c r="E46" s="11" t="s">
        <v>135</v>
      </c>
      <c r="F46" s="12" t="s">
        <v>136</v>
      </c>
      <c r="G46" s="12" t="s">
        <v>137</v>
      </c>
      <c r="H46" s="13" t="s">
        <v>138</v>
      </c>
      <c r="I46" s="12"/>
      <c r="J46" s="12"/>
      <c r="K46" s="12"/>
      <c r="L46" s="12"/>
      <c r="M46" s="12"/>
      <c r="N46" s="14" t="s">
        <v>123</v>
      </c>
    </row>
    <row r="47" spans="2:14" x14ac:dyDescent="0.25">
      <c r="B47" s="9">
        <v>38</v>
      </c>
      <c r="C47" s="16" t="s">
        <v>43</v>
      </c>
      <c r="D47" s="11"/>
      <c r="E47" s="11"/>
      <c r="F47" s="12" t="s">
        <v>139</v>
      </c>
      <c r="G47" s="12" t="s">
        <v>140</v>
      </c>
      <c r="H47" s="13" t="s">
        <v>141</v>
      </c>
      <c r="I47" s="12"/>
      <c r="J47" s="12"/>
      <c r="K47" s="12"/>
      <c r="L47" s="12"/>
      <c r="M47" s="12"/>
      <c r="N47" s="14" t="s">
        <v>123</v>
      </c>
    </row>
    <row r="48" spans="2:14" x14ac:dyDescent="0.25">
      <c r="B48" s="9">
        <v>39</v>
      </c>
      <c r="C48" s="10" t="s">
        <v>22</v>
      </c>
      <c r="D48" s="11" t="s">
        <v>142</v>
      </c>
      <c r="E48" s="12" t="s">
        <v>143</v>
      </c>
      <c r="F48" s="12" t="s">
        <v>144</v>
      </c>
      <c r="G48" s="12" t="s">
        <v>145</v>
      </c>
      <c r="H48" s="13" t="s">
        <v>146</v>
      </c>
      <c r="I48" s="12"/>
      <c r="J48" s="12"/>
      <c r="K48" s="12"/>
      <c r="L48" s="12"/>
      <c r="M48" s="12"/>
      <c r="N48" s="14" t="s">
        <v>147</v>
      </c>
    </row>
    <row r="49" spans="2:14" x14ac:dyDescent="0.25">
      <c r="B49" s="9">
        <v>40</v>
      </c>
      <c r="C49" s="16" t="s">
        <v>43</v>
      </c>
      <c r="D49" s="11"/>
      <c r="E49" s="11" t="s">
        <v>148</v>
      </c>
      <c r="F49" s="12" t="s">
        <v>149</v>
      </c>
      <c r="G49" s="12" t="s">
        <v>150</v>
      </c>
      <c r="H49" s="13" t="s">
        <v>151</v>
      </c>
      <c r="I49" s="12"/>
      <c r="J49" s="12"/>
      <c r="K49" s="12"/>
      <c r="L49" s="12"/>
      <c r="M49" s="12"/>
      <c r="N49" s="14" t="s">
        <v>152</v>
      </c>
    </row>
    <row r="50" spans="2:14" x14ac:dyDescent="0.25">
      <c r="B50" s="9">
        <v>41</v>
      </c>
      <c r="C50" s="10" t="s">
        <v>22</v>
      </c>
      <c r="D50" s="11"/>
      <c r="E50" s="11"/>
      <c r="F50" s="12" t="s">
        <v>153</v>
      </c>
      <c r="G50" s="12" t="s">
        <v>154</v>
      </c>
      <c r="H50" s="13" t="s">
        <v>155</v>
      </c>
      <c r="I50" s="12"/>
      <c r="J50" s="12"/>
      <c r="K50" s="12"/>
      <c r="L50" s="12"/>
      <c r="M50" s="12"/>
      <c r="N50" s="14" t="s">
        <v>152</v>
      </c>
    </row>
    <row r="51" spans="2:14" x14ac:dyDescent="0.25">
      <c r="B51" s="9">
        <v>42</v>
      </c>
      <c r="C51" s="10" t="s">
        <v>22</v>
      </c>
      <c r="D51" s="11"/>
      <c r="E51" s="11" t="s">
        <v>156</v>
      </c>
      <c r="F51" s="11" t="s">
        <v>157</v>
      </c>
      <c r="G51" s="12" t="s">
        <v>158</v>
      </c>
      <c r="H51" s="13" t="s">
        <v>159</v>
      </c>
      <c r="I51" s="12"/>
      <c r="J51" s="12"/>
      <c r="K51" s="12"/>
      <c r="L51" s="12"/>
      <c r="M51" s="12"/>
      <c r="N51" s="14" t="s">
        <v>160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161</v>
      </c>
      <c r="H52" s="13" t="s">
        <v>162</v>
      </c>
      <c r="I52" s="12"/>
      <c r="J52" s="12"/>
      <c r="K52" s="12"/>
      <c r="L52" s="12"/>
      <c r="M52" s="12"/>
      <c r="N52" s="14" t="s">
        <v>160</v>
      </c>
    </row>
    <row r="53" spans="2:14" x14ac:dyDescent="0.25">
      <c r="B53" s="9">
        <v>44</v>
      </c>
      <c r="C53" s="10" t="s">
        <v>22</v>
      </c>
      <c r="D53" s="11"/>
      <c r="E53" s="11"/>
      <c r="F53" s="11" t="s">
        <v>163</v>
      </c>
      <c r="G53" s="12" t="s">
        <v>164</v>
      </c>
      <c r="H53" s="13" t="s">
        <v>165</v>
      </c>
      <c r="I53" s="12"/>
      <c r="J53" s="12"/>
      <c r="K53" s="12"/>
      <c r="L53" s="12"/>
      <c r="M53" s="12"/>
      <c r="N53" s="14" t="s">
        <v>166</v>
      </c>
    </row>
    <row r="54" spans="2:14" x14ac:dyDescent="0.25">
      <c r="B54" s="9">
        <v>45</v>
      </c>
      <c r="C54" s="16" t="s">
        <v>43</v>
      </c>
      <c r="D54" s="11"/>
      <c r="E54" s="11"/>
      <c r="F54" s="11"/>
      <c r="G54" s="12" t="s">
        <v>167</v>
      </c>
      <c r="H54" s="13" t="s">
        <v>168</v>
      </c>
      <c r="I54" s="12"/>
      <c r="J54" s="12"/>
      <c r="K54" s="12"/>
      <c r="L54" s="12"/>
      <c r="M54" s="12"/>
      <c r="N54" s="14" t="s">
        <v>166</v>
      </c>
    </row>
    <row r="55" spans="2:14" x14ac:dyDescent="0.25">
      <c r="B55" s="9">
        <v>46</v>
      </c>
      <c r="C55" s="16" t="s">
        <v>43</v>
      </c>
      <c r="D55" s="11"/>
      <c r="E55" s="12" t="s">
        <v>169</v>
      </c>
      <c r="F55" s="12" t="s">
        <v>170</v>
      </c>
      <c r="G55" s="12" t="s">
        <v>11</v>
      </c>
      <c r="H55" s="13" t="s">
        <v>171</v>
      </c>
      <c r="I55" s="12"/>
      <c r="J55" s="12"/>
      <c r="K55" s="12"/>
      <c r="L55" s="12"/>
      <c r="M55" s="12"/>
      <c r="N55" s="14" t="s">
        <v>172</v>
      </c>
    </row>
    <row r="56" spans="2:14" x14ac:dyDescent="0.25">
      <c r="B56" s="9">
        <v>47</v>
      </c>
      <c r="C56" s="10" t="s">
        <v>22</v>
      </c>
      <c r="D56" s="11" t="s">
        <v>173</v>
      </c>
      <c r="E56" s="11" t="s">
        <v>174</v>
      </c>
      <c r="F56" s="12" t="s">
        <v>144</v>
      </c>
      <c r="G56" s="12" t="s">
        <v>175</v>
      </c>
      <c r="H56" s="13" t="s">
        <v>176</v>
      </c>
      <c r="I56" s="12"/>
      <c r="J56" s="12"/>
      <c r="K56" s="12"/>
      <c r="L56" s="12"/>
      <c r="M56" s="12"/>
      <c r="N56" s="14" t="s">
        <v>177</v>
      </c>
    </row>
    <row r="57" spans="2:14" x14ac:dyDescent="0.25">
      <c r="B57" s="9">
        <v>48</v>
      </c>
      <c r="C57" s="16" t="s">
        <v>43</v>
      </c>
      <c r="D57" s="11"/>
      <c r="E57" s="11"/>
      <c r="F57" s="12" t="s">
        <v>153</v>
      </c>
      <c r="G57" s="12" t="s">
        <v>150</v>
      </c>
      <c r="H57" s="13" t="s">
        <v>178</v>
      </c>
      <c r="I57" s="12"/>
      <c r="J57" s="12"/>
      <c r="K57" s="12"/>
      <c r="L57" s="12"/>
      <c r="M57" s="12"/>
      <c r="N57" s="14" t="s">
        <v>179</v>
      </c>
    </row>
    <row r="58" spans="2:14" x14ac:dyDescent="0.25">
      <c r="B58" s="9">
        <v>49</v>
      </c>
      <c r="C58" s="10" t="s">
        <v>22</v>
      </c>
      <c r="D58" s="11"/>
      <c r="E58" s="11" t="s">
        <v>156</v>
      </c>
      <c r="F58" s="11" t="s">
        <v>180</v>
      </c>
      <c r="G58" s="12" t="s">
        <v>181</v>
      </c>
      <c r="H58" s="13" t="s">
        <v>182</v>
      </c>
      <c r="I58" s="12"/>
      <c r="J58" s="12"/>
      <c r="K58" s="12"/>
      <c r="L58" s="12"/>
      <c r="M58" s="12"/>
      <c r="N58" s="14" t="s">
        <v>183</v>
      </c>
    </row>
    <row r="59" spans="2:14" x14ac:dyDescent="0.25">
      <c r="B59" s="9">
        <v>50</v>
      </c>
      <c r="C59" s="16" t="s">
        <v>43</v>
      </c>
      <c r="D59" s="11"/>
      <c r="E59" s="11"/>
      <c r="F59" s="11"/>
      <c r="G59" s="12" t="s">
        <v>184</v>
      </c>
      <c r="H59" s="13" t="s">
        <v>185</v>
      </c>
      <c r="I59" s="12"/>
      <c r="J59" s="12"/>
      <c r="K59" s="12"/>
      <c r="L59" s="12"/>
      <c r="M59" s="12"/>
      <c r="N59" s="14" t="s">
        <v>186</v>
      </c>
    </row>
    <row r="60" spans="2:14" x14ac:dyDescent="0.25">
      <c r="B60" s="9">
        <v>51</v>
      </c>
      <c r="C60" s="15" t="s">
        <v>29</v>
      </c>
      <c r="D60" s="11"/>
      <c r="E60" s="11"/>
      <c r="F60" s="11" t="s">
        <v>187</v>
      </c>
      <c r="G60" s="12" t="s">
        <v>188</v>
      </c>
      <c r="H60" s="13" t="s">
        <v>189</v>
      </c>
      <c r="I60" s="12"/>
      <c r="J60" s="12"/>
      <c r="K60" s="12"/>
      <c r="L60" s="12"/>
      <c r="M60" s="12"/>
      <c r="N60" s="14" t="s">
        <v>183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190</v>
      </c>
      <c r="H61" s="13" t="s">
        <v>191</v>
      </c>
      <c r="I61" s="12"/>
      <c r="J61" s="12"/>
      <c r="K61" s="12"/>
      <c r="L61" s="12"/>
      <c r="M61" s="12"/>
      <c r="N61" s="14" t="s">
        <v>183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192</v>
      </c>
      <c r="H62" s="13" t="s">
        <v>193</v>
      </c>
      <c r="I62" s="12"/>
      <c r="J62" s="12"/>
      <c r="K62" s="12"/>
      <c r="L62" s="12"/>
      <c r="M62" s="12"/>
      <c r="N62" s="14" t="s">
        <v>194</v>
      </c>
    </row>
    <row r="63" spans="2:14" x14ac:dyDescent="0.25">
      <c r="B63" s="9">
        <v>54</v>
      </c>
      <c r="C63" s="10" t="s">
        <v>22</v>
      </c>
      <c r="D63" s="11"/>
      <c r="E63" s="11"/>
      <c r="F63" s="11" t="s">
        <v>195</v>
      </c>
      <c r="G63" s="12" t="s">
        <v>196</v>
      </c>
      <c r="H63" s="13" t="s">
        <v>197</v>
      </c>
      <c r="I63" s="12"/>
      <c r="J63" s="12"/>
      <c r="K63" s="12"/>
      <c r="L63" s="12"/>
      <c r="M63" s="12"/>
      <c r="N63" s="14" t="s">
        <v>198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199</v>
      </c>
      <c r="H64" s="13" t="s">
        <v>200</v>
      </c>
      <c r="I64" s="12"/>
      <c r="J64" s="12"/>
      <c r="K64" s="12"/>
      <c r="L64" s="12"/>
      <c r="M64" s="12"/>
      <c r="N64" s="14" t="s">
        <v>198</v>
      </c>
    </row>
    <row r="65" spans="2:14" x14ac:dyDescent="0.25">
      <c r="B65" s="9">
        <v>56</v>
      </c>
      <c r="C65" s="10" t="s">
        <v>22</v>
      </c>
      <c r="D65" s="11"/>
      <c r="E65" s="11"/>
      <c r="F65" s="11"/>
      <c r="G65" s="12" t="s">
        <v>201</v>
      </c>
      <c r="H65" s="13" t="s">
        <v>202</v>
      </c>
      <c r="I65" s="12"/>
      <c r="J65" s="12"/>
      <c r="K65" s="12"/>
      <c r="L65" s="12"/>
      <c r="M65" s="12"/>
      <c r="N65" s="14" t="s">
        <v>183</v>
      </c>
    </row>
    <row r="66" spans="2:14" x14ac:dyDescent="0.25">
      <c r="B66" s="9">
        <v>57</v>
      </c>
      <c r="C66" s="10" t="s">
        <v>22</v>
      </c>
      <c r="D66" s="11"/>
      <c r="E66" s="11"/>
      <c r="F66" s="11"/>
      <c r="G66" s="12" t="s">
        <v>203</v>
      </c>
      <c r="H66" s="13" t="s">
        <v>204</v>
      </c>
      <c r="I66" s="12"/>
      <c r="J66" s="12"/>
      <c r="K66" s="12"/>
      <c r="L66" s="12"/>
      <c r="M66" s="12"/>
      <c r="N66" s="14" t="s">
        <v>198</v>
      </c>
    </row>
    <row r="67" spans="2:14" x14ac:dyDescent="0.25">
      <c r="B67" s="9">
        <v>58</v>
      </c>
      <c r="C67" s="16" t="s">
        <v>43</v>
      </c>
      <c r="D67" s="11"/>
      <c r="E67" s="11"/>
      <c r="F67" s="11" t="s">
        <v>205</v>
      </c>
      <c r="G67" s="12" t="s">
        <v>206</v>
      </c>
      <c r="H67" s="13" t="s">
        <v>207</v>
      </c>
      <c r="I67" s="12"/>
      <c r="J67" s="12"/>
      <c r="K67" s="12"/>
      <c r="L67" s="12"/>
      <c r="M67" s="12"/>
      <c r="N67" s="14" t="s">
        <v>186</v>
      </c>
    </row>
    <row r="68" spans="2:14" x14ac:dyDescent="0.25">
      <c r="B68" s="9">
        <v>59</v>
      </c>
      <c r="C68" s="16" t="s">
        <v>43</v>
      </c>
      <c r="D68" s="11"/>
      <c r="E68" s="11"/>
      <c r="F68" s="11"/>
      <c r="G68" s="12" t="s">
        <v>208</v>
      </c>
      <c r="H68" s="13" t="s">
        <v>209</v>
      </c>
      <c r="I68" s="12"/>
      <c r="J68" s="12"/>
      <c r="K68" s="12"/>
      <c r="L68" s="12"/>
      <c r="M68" s="12"/>
      <c r="N68" s="14" t="s">
        <v>186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210</v>
      </c>
      <c r="H69" s="13" t="s">
        <v>211</v>
      </c>
      <c r="I69" s="12"/>
      <c r="J69" s="12"/>
      <c r="K69" s="12"/>
      <c r="L69" s="12"/>
      <c r="M69" s="12"/>
      <c r="N69" s="14" t="s">
        <v>183</v>
      </c>
    </row>
    <row r="70" spans="2:14" x14ac:dyDescent="0.25">
      <c r="B70" s="9">
        <v>61</v>
      </c>
      <c r="C70" s="16" t="s">
        <v>43</v>
      </c>
      <c r="D70" s="11"/>
      <c r="E70" s="12" t="s">
        <v>169</v>
      </c>
      <c r="F70" s="12" t="s">
        <v>212</v>
      </c>
      <c r="G70" s="12" t="s">
        <v>11</v>
      </c>
      <c r="H70" s="13" t="s">
        <v>213</v>
      </c>
      <c r="I70" s="12"/>
      <c r="J70" s="12"/>
      <c r="K70" s="12"/>
      <c r="L70" s="12"/>
      <c r="M70" s="12"/>
      <c r="N70" s="14" t="s">
        <v>194</v>
      </c>
    </row>
    <row r="71" spans="2:14" x14ac:dyDescent="0.25">
      <c r="B71" s="9">
        <v>62</v>
      </c>
      <c r="C71" s="10" t="s">
        <v>22</v>
      </c>
      <c r="D71" s="11" t="s">
        <v>214</v>
      </c>
      <c r="E71" s="12" t="s">
        <v>174</v>
      </c>
      <c r="F71" s="12" t="s">
        <v>144</v>
      </c>
      <c r="G71" s="12" t="s">
        <v>215</v>
      </c>
      <c r="H71" s="13" t="s">
        <v>216</v>
      </c>
      <c r="I71" s="12"/>
      <c r="J71" s="12"/>
      <c r="K71" s="12"/>
      <c r="L71" s="12"/>
      <c r="M71" s="12"/>
      <c r="N71" s="14" t="s">
        <v>217</v>
      </c>
    </row>
    <row r="72" spans="2:14" x14ac:dyDescent="0.25">
      <c r="B72" s="9">
        <v>63</v>
      </c>
      <c r="C72" s="16" t="s">
        <v>43</v>
      </c>
      <c r="D72" s="11"/>
      <c r="E72" s="11" t="s">
        <v>156</v>
      </c>
      <c r="F72" s="11" t="s">
        <v>218</v>
      </c>
      <c r="G72" s="12" t="s">
        <v>219</v>
      </c>
      <c r="H72" s="13" t="s">
        <v>220</v>
      </c>
      <c r="I72" s="12"/>
      <c r="J72" s="12"/>
      <c r="K72" s="12"/>
      <c r="L72" s="12"/>
      <c r="M72" s="12"/>
      <c r="N72" s="14" t="s">
        <v>221</v>
      </c>
    </row>
    <row r="73" spans="2:14" x14ac:dyDescent="0.25">
      <c r="B73" s="9">
        <v>64</v>
      </c>
      <c r="C73" s="16" t="s">
        <v>43</v>
      </c>
      <c r="D73" s="11"/>
      <c r="E73" s="11"/>
      <c r="F73" s="11"/>
      <c r="G73" s="12" t="s">
        <v>222</v>
      </c>
      <c r="H73" s="13" t="s">
        <v>223</v>
      </c>
      <c r="I73" s="12"/>
      <c r="J73" s="12"/>
      <c r="K73" s="12"/>
      <c r="L73" s="12"/>
      <c r="M73" s="12"/>
      <c r="N73" s="14" t="s">
        <v>221</v>
      </c>
    </row>
    <row r="74" spans="2:14" x14ac:dyDescent="0.25">
      <c r="B74" s="9">
        <v>65</v>
      </c>
      <c r="C74" s="15" t="s">
        <v>29</v>
      </c>
      <c r="D74" s="11"/>
      <c r="E74" s="11"/>
      <c r="F74" s="11" t="s">
        <v>119</v>
      </c>
      <c r="G74" s="12" t="s">
        <v>224</v>
      </c>
      <c r="H74" s="13" t="s">
        <v>225</v>
      </c>
      <c r="I74" s="12"/>
      <c r="J74" s="12"/>
      <c r="K74" s="12"/>
      <c r="L74" s="12"/>
      <c r="M74" s="12"/>
      <c r="N74" s="14" t="s">
        <v>226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227</v>
      </c>
      <c r="H75" s="13" t="s">
        <v>228</v>
      </c>
      <c r="I75" s="12"/>
      <c r="J75" s="12"/>
      <c r="K75" s="12"/>
      <c r="L75" s="12"/>
      <c r="M75" s="12"/>
      <c r="N75" s="14" t="s">
        <v>226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229</v>
      </c>
      <c r="H76" s="13" t="s">
        <v>230</v>
      </c>
      <c r="I76" s="12"/>
      <c r="J76" s="12"/>
      <c r="K76" s="12"/>
      <c r="L76" s="12"/>
      <c r="M76" s="12"/>
      <c r="N76" s="14" t="s">
        <v>226</v>
      </c>
    </row>
    <row r="77" spans="2:14" x14ac:dyDescent="0.25">
      <c r="B77" s="9">
        <v>68</v>
      </c>
      <c r="C77" s="16" t="s">
        <v>43</v>
      </c>
      <c r="D77" s="11"/>
      <c r="E77" s="11"/>
      <c r="F77" s="12" t="s">
        <v>231</v>
      </c>
      <c r="G77" s="12" t="s">
        <v>232</v>
      </c>
      <c r="H77" s="13" t="s">
        <v>233</v>
      </c>
      <c r="I77" s="12"/>
      <c r="J77" s="12"/>
      <c r="K77" s="12"/>
      <c r="L77" s="12"/>
      <c r="M77" s="12"/>
      <c r="N77" s="14" t="s">
        <v>221</v>
      </c>
    </row>
    <row r="78" spans="2:14" x14ac:dyDescent="0.25">
      <c r="B78" s="9">
        <v>69</v>
      </c>
      <c r="C78" s="16" t="s">
        <v>43</v>
      </c>
      <c r="D78" s="11"/>
      <c r="E78" s="11" t="s">
        <v>234</v>
      </c>
      <c r="F78" s="12" t="s">
        <v>235</v>
      </c>
      <c r="G78" s="12" t="s">
        <v>236</v>
      </c>
      <c r="H78" s="13" t="s">
        <v>237</v>
      </c>
      <c r="I78" s="12"/>
      <c r="J78" s="12"/>
      <c r="K78" s="12"/>
      <c r="L78" s="12"/>
      <c r="M78" s="12"/>
      <c r="N78" s="14" t="s">
        <v>238</v>
      </c>
    </row>
    <row r="79" spans="2:14" x14ac:dyDescent="0.25">
      <c r="B79" s="9">
        <v>70</v>
      </c>
      <c r="C79" s="10" t="s">
        <v>22</v>
      </c>
      <c r="D79" s="11"/>
      <c r="E79" s="11"/>
      <c r="F79" s="12" t="s">
        <v>58</v>
      </c>
      <c r="G79" s="12" t="s">
        <v>239</v>
      </c>
      <c r="H79" s="13" t="s">
        <v>240</v>
      </c>
      <c r="I79" s="12"/>
      <c r="J79" s="12"/>
      <c r="K79" s="12"/>
      <c r="L79" s="12"/>
      <c r="M79" s="12"/>
      <c r="N79" s="14" t="s">
        <v>238</v>
      </c>
    </row>
    <row r="80" spans="2:14" x14ac:dyDescent="0.25">
      <c r="B80" s="9">
        <v>71</v>
      </c>
      <c r="C80" s="10" t="s">
        <v>22</v>
      </c>
      <c r="D80" s="11"/>
      <c r="E80" s="11" t="s">
        <v>241</v>
      </c>
      <c r="F80" s="12" t="s">
        <v>242</v>
      </c>
      <c r="G80" s="12" t="s">
        <v>243</v>
      </c>
      <c r="H80" s="13" t="s">
        <v>244</v>
      </c>
      <c r="I80" s="12"/>
      <c r="J80" s="12"/>
      <c r="K80" s="12"/>
      <c r="L80" s="12"/>
      <c r="M80" s="12"/>
      <c r="N80" s="14" t="s">
        <v>245</v>
      </c>
    </row>
    <row r="81" spans="2:14" x14ac:dyDescent="0.25">
      <c r="B81" s="9">
        <v>72</v>
      </c>
      <c r="C81" s="10" t="s">
        <v>22</v>
      </c>
      <c r="D81" s="11"/>
      <c r="E81" s="11"/>
      <c r="F81" s="12" t="s">
        <v>246</v>
      </c>
      <c r="G81" s="12" t="s">
        <v>247</v>
      </c>
      <c r="H81" s="13" t="s">
        <v>248</v>
      </c>
      <c r="I81" s="12"/>
      <c r="J81" s="12"/>
      <c r="K81" s="12"/>
      <c r="L81" s="12"/>
      <c r="M81" s="12"/>
      <c r="N81" s="14" t="s">
        <v>245</v>
      </c>
    </row>
    <row r="82" spans="2:14" x14ac:dyDescent="0.25">
      <c r="B82" s="9">
        <v>73</v>
      </c>
      <c r="C82" s="16" t="s">
        <v>43</v>
      </c>
      <c r="D82" s="11"/>
      <c r="E82" s="12" t="s">
        <v>169</v>
      </c>
      <c r="F82" s="12" t="s">
        <v>249</v>
      </c>
      <c r="G82" s="12" t="s">
        <v>11</v>
      </c>
      <c r="H82" s="13" t="s">
        <v>250</v>
      </c>
      <c r="I82" s="12"/>
      <c r="J82" s="12"/>
      <c r="K82" s="12"/>
      <c r="L82" s="12"/>
      <c r="M82" s="12"/>
      <c r="N82" s="14" t="s">
        <v>251</v>
      </c>
    </row>
    <row r="83" spans="2:14" x14ac:dyDescent="0.25">
      <c r="B83" s="9">
        <v>74</v>
      </c>
      <c r="C83" s="10" t="s">
        <v>22</v>
      </c>
      <c r="D83" s="11" t="s">
        <v>252</v>
      </c>
      <c r="E83" s="12" t="s">
        <v>253</v>
      </c>
      <c r="F83" s="12" t="s">
        <v>254</v>
      </c>
      <c r="G83" s="12" t="s">
        <v>255</v>
      </c>
      <c r="H83" s="13" t="s">
        <v>256</v>
      </c>
      <c r="I83" s="12"/>
      <c r="J83" s="12"/>
      <c r="K83" s="12"/>
      <c r="L83" s="12"/>
      <c r="M83" s="12"/>
      <c r="N83" s="14" t="s">
        <v>257</v>
      </c>
    </row>
    <row r="84" spans="2:14" x14ac:dyDescent="0.25">
      <c r="B84" s="9">
        <v>75</v>
      </c>
      <c r="C84" s="10" t="s">
        <v>22</v>
      </c>
      <c r="D84" s="11"/>
      <c r="E84" s="11" t="s">
        <v>156</v>
      </c>
      <c r="F84" s="11" t="s">
        <v>258</v>
      </c>
      <c r="G84" s="12" t="s">
        <v>259</v>
      </c>
      <c r="H84" s="13" t="s">
        <v>260</v>
      </c>
      <c r="I84" s="12"/>
      <c r="J84" s="12"/>
      <c r="K84" s="12"/>
      <c r="L84" s="12"/>
      <c r="M84" s="12"/>
      <c r="N84" s="14" t="s">
        <v>261</v>
      </c>
    </row>
    <row r="85" spans="2:14" x14ac:dyDescent="0.25">
      <c r="B85" s="9">
        <v>76</v>
      </c>
      <c r="C85" s="16" t="s">
        <v>43</v>
      </c>
      <c r="D85" s="11"/>
      <c r="E85" s="11"/>
      <c r="F85" s="11"/>
      <c r="G85" s="12" t="s">
        <v>262</v>
      </c>
      <c r="H85" s="13" t="s">
        <v>263</v>
      </c>
      <c r="I85" s="12"/>
      <c r="J85" s="12"/>
      <c r="K85" s="12"/>
      <c r="L85" s="12"/>
      <c r="M85" s="12"/>
      <c r="N85" s="14" t="s">
        <v>261</v>
      </c>
    </row>
    <row r="86" spans="2:14" x14ac:dyDescent="0.25">
      <c r="B86" s="9">
        <v>77</v>
      </c>
      <c r="C86" s="10" t="s">
        <v>22</v>
      </c>
      <c r="D86" s="11"/>
      <c r="E86" s="11"/>
      <c r="F86" s="11"/>
      <c r="G86" s="12" t="s">
        <v>264</v>
      </c>
      <c r="H86" s="13" t="s">
        <v>265</v>
      </c>
      <c r="I86" s="12"/>
      <c r="J86" s="12"/>
      <c r="K86" s="12"/>
      <c r="L86" s="12"/>
      <c r="M86" s="12"/>
      <c r="N86" s="14" t="s">
        <v>261</v>
      </c>
    </row>
    <row r="87" spans="2:14" x14ac:dyDescent="0.25">
      <c r="B87" s="9">
        <v>78</v>
      </c>
      <c r="C87" s="10" t="s">
        <v>22</v>
      </c>
      <c r="D87" s="11"/>
      <c r="E87" s="11"/>
      <c r="F87" s="12" t="s">
        <v>266</v>
      </c>
      <c r="G87" s="12" t="s">
        <v>192</v>
      </c>
      <c r="H87" s="13" t="s">
        <v>267</v>
      </c>
      <c r="I87" s="12"/>
      <c r="J87" s="12"/>
      <c r="K87" s="12"/>
      <c r="L87" s="12"/>
      <c r="M87" s="12"/>
      <c r="N87" s="14" t="s">
        <v>268</v>
      </c>
    </row>
    <row r="88" spans="2:14" x14ac:dyDescent="0.25">
      <c r="B88" s="9">
        <v>79</v>
      </c>
      <c r="C88" s="16" t="s">
        <v>43</v>
      </c>
      <c r="D88" s="11"/>
      <c r="E88" s="12" t="s">
        <v>169</v>
      </c>
      <c r="F88" s="12" t="s">
        <v>269</v>
      </c>
      <c r="G88" s="12" t="s">
        <v>11</v>
      </c>
      <c r="H88" s="13" t="s">
        <v>270</v>
      </c>
      <c r="I88" s="12"/>
      <c r="J88" s="12"/>
      <c r="K88" s="12"/>
      <c r="L88" s="12"/>
      <c r="M88" s="12"/>
      <c r="N88" s="14" t="s">
        <v>268</v>
      </c>
    </row>
    <row r="89" spans="2:14" x14ac:dyDescent="0.25">
      <c r="B89" s="9">
        <v>80</v>
      </c>
      <c r="C89" s="16" t="s">
        <v>43</v>
      </c>
      <c r="D89" s="11"/>
      <c r="E89" s="12" t="s">
        <v>156</v>
      </c>
      <c r="F89" s="12" t="s">
        <v>258</v>
      </c>
      <c r="G89" s="12" t="s">
        <v>271</v>
      </c>
      <c r="H89" s="13" t="s">
        <v>272</v>
      </c>
      <c r="I89" s="12"/>
      <c r="J89" s="12"/>
      <c r="K89" s="12"/>
      <c r="L89" s="12"/>
      <c r="M89" s="12"/>
      <c r="N89" s="14" t="s">
        <v>273</v>
      </c>
    </row>
    <row r="90" spans="2:14" x14ac:dyDescent="0.25">
      <c r="B90" s="9">
        <v>81</v>
      </c>
      <c r="C90" s="16" t="s">
        <v>43</v>
      </c>
      <c r="D90" s="11" t="s">
        <v>274</v>
      </c>
      <c r="E90" s="12" t="s">
        <v>275</v>
      </c>
      <c r="F90" s="12" t="s">
        <v>144</v>
      </c>
      <c r="G90" s="12" t="s">
        <v>150</v>
      </c>
      <c r="H90" s="13" t="s">
        <v>276</v>
      </c>
      <c r="I90" s="12"/>
      <c r="J90" s="12"/>
      <c r="K90" s="12"/>
      <c r="L90" s="12"/>
      <c r="M90" s="12"/>
      <c r="N90" s="14" t="s">
        <v>277</v>
      </c>
    </row>
    <row r="91" spans="2:14" x14ac:dyDescent="0.25">
      <c r="B91" s="9">
        <v>82</v>
      </c>
      <c r="C91" s="15" t="s">
        <v>29</v>
      </c>
      <c r="D91" s="11"/>
      <c r="E91" s="11" t="s">
        <v>156</v>
      </c>
      <c r="F91" s="11" t="s">
        <v>278</v>
      </c>
      <c r="G91" s="12" t="s">
        <v>279</v>
      </c>
      <c r="H91" s="13" t="s">
        <v>280</v>
      </c>
      <c r="I91" s="12"/>
      <c r="J91" s="12"/>
      <c r="K91" s="12"/>
      <c r="L91" s="12"/>
      <c r="M91" s="12"/>
      <c r="N91" s="14" t="s">
        <v>281</v>
      </c>
    </row>
    <row r="92" spans="2:14" x14ac:dyDescent="0.25">
      <c r="B92" s="9">
        <v>83</v>
      </c>
      <c r="C92" s="10" t="s">
        <v>22</v>
      </c>
      <c r="D92" s="11"/>
      <c r="E92" s="11"/>
      <c r="F92" s="11"/>
      <c r="G92" s="12" t="s">
        <v>282</v>
      </c>
      <c r="H92" s="13" t="s">
        <v>283</v>
      </c>
      <c r="I92" s="12"/>
      <c r="J92" s="12"/>
      <c r="K92" s="12"/>
      <c r="L92" s="12"/>
      <c r="M92" s="12"/>
      <c r="N92" s="14" t="s">
        <v>281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284</v>
      </c>
      <c r="H93" s="13" t="s">
        <v>285</v>
      </c>
      <c r="I93" s="12"/>
      <c r="J93" s="12"/>
      <c r="K93" s="12"/>
      <c r="L93" s="12"/>
      <c r="M93" s="12"/>
      <c r="N93" s="14" t="s">
        <v>281</v>
      </c>
    </row>
    <row r="94" spans="2:14" x14ac:dyDescent="0.25">
      <c r="B94" s="9">
        <v>85</v>
      </c>
      <c r="C94" s="10" t="s">
        <v>22</v>
      </c>
      <c r="D94" s="11"/>
      <c r="E94" s="11" t="s">
        <v>286</v>
      </c>
      <c r="F94" s="11" t="s">
        <v>287</v>
      </c>
      <c r="G94" s="12" t="s">
        <v>288</v>
      </c>
      <c r="H94" s="13" t="s">
        <v>289</v>
      </c>
      <c r="I94" s="12"/>
      <c r="J94" s="12"/>
      <c r="K94" s="12"/>
      <c r="L94" s="12"/>
      <c r="M94" s="12"/>
      <c r="N94" s="14" t="s">
        <v>290</v>
      </c>
    </row>
    <row r="95" spans="2:14" x14ac:dyDescent="0.25">
      <c r="B95" s="9">
        <v>86</v>
      </c>
      <c r="C95" s="10" t="s">
        <v>22</v>
      </c>
      <c r="D95" s="11"/>
      <c r="E95" s="11"/>
      <c r="F95" s="11"/>
      <c r="G95" s="12" t="s">
        <v>291</v>
      </c>
      <c r="H95" s="13" t="s">
        <v>292</v>
      </c>
      <c r="I95" s="12"/>
      <c r="J95" s="12"/>
      <c r="K95" s="12"/>
      <c r="L95" s="12"/>
      <c r="M95" s="12"/>
      <c r="N95" s="14" t="s">
        <v>290</v>
      </c>
    </row>
    <row r="96" spans="2:14" x14ac:dyDescent="0.25">
      <c r="B96" s="9">
        <v>87</v>
      </c>
      <c r="C96" s="10" t="s">
        <v>22</v>
      </c>
      <c r="D96" s="11"/>
      <c r="E96" s="11" t="s">
        <v>234</v>
      </c>
      <c r="F96" s="11" t="s">
        <v>235</v>
      </c>
      <c r="G96" s="12" t="s">
        <v>50</v>
      </c>
      <c r="H96" s="13" t="s">
        <v>293</v>
      </c>
      <c r="I96" s="12"/>
      <c r="J96" s="12"/>
      <c r="K96" s="12"/>
      <c r="L96" s="12"/>
      <c r="M96" s="12"/>
      <c r="N96" s="14" t="s">
        <v>294</v>
      </c>
    </row>
    <row r="97" spans="2:14" x14ac:dyDescent="0.25">
      <c r="B97" s="9">
        <v>88</v>
      </c>
      <c r="C97" s="10" t="s">
        <v>22</v>
      </c>
      <c r="D97" s="11"/>
      <c r="E97" s="11"/>
      <c r="F97" s="11"/>
      <c r="G97" s="12" t="s">
        <v>295</v>
      </c>
      <c r="H97" s="13" t="s">
        <v>296</v>
      </c>
      <c r="I97" s="12"/>
      <c r="J97" s="12"/>
      <c r="K97" s="12"/>
      <c r="L97" s="12"/>
      <c r="M97" s="12"/>
      <c r="N97" s="14" t="s">
        <v>294</v>
      </c>
    </row>
    <row r="98" spans="2:14" x14ac:dyDescent="0.25">
      <c r="B98" s="9">
        <v>89</v>
      </c>
      <c r="C98" s="16" t="s">
        <v>43</v>
      </c>
      <c r="D98" s="11"/>
      <c r="E98" s="11"/>
      <c r="F98" s="11"/>
      <c r="G98" s="12" t="s">
        <v>297</v>
      </c>
      <c r="H98" s="13" t="s">
        <v>298</v>
      </c>
      <c r="I98" s="12"/>
      <c r="J98" s="12"/>
      <c r="K98" s="12"/>
      <c r="L98" s="12"/>
      <c r="M98" s="12"/>
      <c r="N98" s="14" t="s">
        <v>294</v>
      </c>
    </row>
    <row r="99" spans="2:14" x14ac:dyDescent="0.25">
      <c r="B99" s="9">
        <v>90</v>
      </c>
      <c r="C99" s="10" t="s">
        <v>22</v>
      </c>
      <c r="D99" s="11"/>
      <c r="E99" s="11"/>
      <c r="F99" s="12" t="s">
        <v>299</v>
      </c>
      <c r="G99" s="12" t="s">
        <v>300</v>
      </c>
      <c r="H99" s="13" t="s">
        <v>301</v>
      </c>
      <c r="I99" s="12"/>
      <c r="J99" s="12"/>
      <c r="K99" s="12"/>
      <c r="L99" s="12"/>
      <c r="M99" s="12"/>
      <c r="N99" s="14" t="s">
        <v>294</v>
      </c>
    </row>
    <row r="100" spans="2:14" x14ac:dyDescent="0.25">
      <c r="B100" s="9">
        <v>91</v>
      </c>
      <c r="C100" s="10" t="s">
        <v>22</v>
      </c>
      <c r="D100" s="11"/>
      <c r="E100" s="12" t="s">
        <v>302</v>
      </c>
      <c r="F100" s="12" t="s">
        <v>192</v>
      </c>
      <c r="G100" s="12" t="s">
        <v>11</v>
      </c>
      <c r="H100" s="13" t="s">
        <v>303</v>
      </c>
      <c r="I100" s="12"/>
      <c r="J100" s="12"/>
      <c r="K100" s="12"/>
      <c r="L100" s="12"/>
      <c r="M100" s="12"/>
      <c r="N100" s="14" t="s">
        <v>304</v>
      </c>
    </row>
    <row r="101" spans="2:14" x14ac:dyDescent="0.25">
      <c r="B101" s="9">
        <v>92</v>
      </c>
      <c r="C101" s="16" t="s">
        <v>43</v>
      </c>
      <c r="D101" s="11"/>
      <c r="E101" s="12" t="s">
        <v>169</v>
      </c>
      <c r="F101" s="12" t="s">
        <v>305</v>
      </c>
      <c r="G101" s="12" t="s">
        <v>11</v>
      </c>
      <c r="H101" s="13" t="s">
        <v>306</v>
      </c>
      <c r="I101" s="12"/>
      <c r="J101" s="12"/>
      <c r="K101" s="12"/>
      <c r="L101" s="12"/>
      <c r="M101" s="12"/>
      <c r="N101" s="14" t="s">
        <v>304</v>
      </c>
    </row>
    <row r="102" spans="2:14" x14ac:dyDescent="0.25">
      <c r="B102" s="9">
        <v>93</v>
      </c>
      <c r="C102" s="10" t="s">
        <v>22</v>
      </c>
      <c r="D102" s="11" t="s">
        <v>307</v>
      </c>
      <c r="E102" s="12" t="s">
        <v>275</v>
      </c>
      <c r="F102" s="12" t="s">
        <v>308</v>
      </c>
      <c r="G102" s="12" t="s">
        <v>11</v>
      </c>
      <c r="H102" s="13" t="s">
        <v>309</v>
      </c>
      <c r="I102" s="12"/>
      <c r="J102" s="12"/>
      <c r="K102" s="12"/>
      <c r="L102" s="12"/>
      <c r="M102" s="12"/>
      <c r="N102" s="14" t="s">
        <v>310</v>
      </c>
    </row>
    <row r="103" spans="2:14" x14ac:dyDescent="0.25">
      <c r="B103" s="9">
        <v>94</v>
      </c>
      <c r="C103" s="10" t="s">
        <v>22</v>
      </c>
      <c r="D103" s="11"/>
      <c r="E103" s="11" t="s">
        <v>156</v>
      </c>
      <c r="F103" s="11" t="s">
        <v>311</v>
      </c>
      <c r="G103" s="12" t="s">
        <v>259</v>
      </c>
      <c r="H103" s="13" t="s">
        <v>312</v>
      </c>
      <c r="I103" s="12"/>
      <c r="J103" s="12"/>
      <c r="K103" s="12"/>
      <c r="L103" s="12"/>
      <c r="M103" s="12"/>
      <c r="N103" s="14" t="s">
        <v>313</v>
      </c>
    </row>
    <row r="104" spans="2:14" x14ac:dyDescent="0.25">
      <c r="B104" s="9">
        <v>95</v>
      </c>
      <c r="C104" s="15" t="s">
        <v>29</v>
      </c>
      <c r="D104" s="11"/>
      <c r="E104" s="11"/>
      <c r="F104" s="11"/>
      <c r="G104" s="12" t="s">
        <v>314</v>
      </c>
      <c r="H104" s="13" t="s">
        <v>315</v>
      </c>
      <c r="I104" s="12"/>
      <c r="J104" s="12"/>
      <c r="K104" s="12"/>
      <c r="L104" s="12"/>
      <c r="M104" s="12"/>
      <c r="N104" s="14" t="s">
        <v>313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316</v>
      </c>
      <c r="H105" s="13" t="s">
        <v>317</v>
      </c>
      <c r="I105" s="12"/>
      <c r="J105" s="12"/>
      <c r="K105" s="12"/>
      <c r="L105" s="12"/>
      <c r="M105" s="12"/>
      <c r="N105" s="14" t="s">
        <v>313</v>
      </c>
    </row>
    <row r="106" spans="2:14" x14ac:dyDescent="0.25">
      <c r="B106" s="9">
        <v>97</v>
      </c>
      <c r="C106" s="10" t="s">
        <v>22</v>
      </c>
      <c r="D106" s="11"/>
      <c r="E106" s="11"/>
      <c r="F106" s="12" t="s">
        <v>318</v>
      </c>
      <c r="G106" s="12" t="s">
        <v>319</v>
      </c>
      <c r="H106" s="13" t="s">
        <v>320</v>
      </c>
      <c r="I106" s="12"/>
      <c r="J106" s="12"/>
      <c r="K106" s="12"/>
      <c r="L106" s="12"/>
      <c r="M106" s="12"/>
      <c r="N106" s="14" t="s">
        <v>313</v>
      </c>
    </row>
    <row r="107" spans="2:14" x14ac:dyDescent="0.25">
      <c r="B107" s="9">
        <v>98</v>
      </c>
      <c r="C107" s="10" t="s">
        <v>22</v>
      </c>
      <c r="D107" s="11"/>
      <c r="E107" s="11" t="s">
        <v>286</v>
      </c>
      <c r="F107" s="11" t="s">
        <v>321</v>
      </c>
      <c r="G107" s="12" t="s">
        <v>259</v>
      </c>
      <c r="H107" s="13" t="s">
        <v>322</v>
      </c>
      <c r="I107" s="12"/>
      <c r="J107" s="12"/>
      <c r="K107" s="12"/>
      <c r="L107" s="12"/>
      <c r="M107" s="12"/>
      <c r="N107" s="14" t="s">
        <v>323</v>
      </c>
    </row>
    <row r="108" spans="2:14" x14ac:dyDescent="0.25">
      <c r="B108" s="9">
        <v>99</v>
      </c>
      <c r="C108" s="10" t="s">
        <v>22</v>
      </c>
      <c r="D108" s="11"/>
      <c r="E108" s="11"/>
      <c r="F108" s="11"/>
      <c r="G108" s="12" t="s">
        <v>324</v>
      </c>
      <c r="H108" s="13" t="s">
        <v>325</v>
      </c>
      <c r="I108" s="12"/>
      <c r="J108" s="12"/>
      <c r="K108" s="12"/>
      <c r="L108" s="12"/>
      <c r="M108" s="12"/>
      <c r="N108" s="14" t="s">
        <v>323</v>
      </c>
    </row>
    <row r="109" spans="2:14" x14ac:dyDescent="0.25">
      <c r="B109" s="9">
        <v>100</v>
      </c>
      <c r="C109" s="10" t="s">
        <v>22</v>
      </c>
      <c r="D109" s="11"/>
      <c r="E109" s="11"/>
      <c r="F109" s="11"/>
      <c r="G109" s="12" t="s">
        <v>326</v>
      </c>
      <c r="H109" s="13" t="s">
        <v>327</v>
      </c>
      <c r="I109" s="12"/>
      <c r="J109" s="12"/>
      <c r="K109" s="12"/>
      <c r="L109" s="12"/>
      <c r="M109" s="12"/>
      <c r="N109" s="14" t="s">
        <v>323</v>
      </c>
    </row>
    <row r="110" spans="2:14" x14ac:dyDescent="0.25">
      <c r="B110" s="9">
        <v>101</v>
      </c>
      <c r="C110" s="10" t="s">
        <v>22</v>
      </c>
      <c r="D110" s="11"/>
      <c r="E110" s="11" t="s">
        <v>328</v>
      </c>
      <c r="F110" s="11" t="s">
        <v>329</v>
      </c>
      <c r="G110" s="12" t="s">
        <v>259</v>
      </c>
      <c r="H110" s="13" t="s">
        <v>330</v>
      </c>
      <c r="I110" s="12"/>
      <c r="J110" s="12"/>
      <c r="K110" s="12"/>
      <c r="L110" s="12"/>
      <c r="M110" s="12"/>
      <c r="N110" s="14" t="s">
        <v>331</v>
      </c>
    </row>
    <row r="111" spans="2:14" x14ac:dyDescent="0.25">
      <c r="B111" s="9">
        <v>102</v>
      </c>
      <c r="C111" s="10" t="s">
        <v>22</v>
      </c>
      <c r="D111" s="11"/>
      <c r="E111" s="11"/>
      <c r="F111" s="11"/>
      <c r="G111" s="12" t="s">
        <v>332</v>
      </c>
      <c r="H111" s="13" t="s">
        <v>333</v>
      </c>
      <c r="I111" s="12"/>
      <c r="J111" s="12"/>
      <c r="K111" s="12"/>
      <c r="L111" s="12"/>
      <c r="M111" s="12"/>
      <c r="N111" s="14" t="s">
        <v>331</v>
      </c>
    </row>
    <row r="112" spans="2:14" x14ac:dyDescent="0.25">
      <c r="B112" s="9">
        <v>103</v>
      </c>
      <c r="C112" s="16" t="s">
        <v>43</v>
      </c>
      <c r="D112" s="11"/>
      <c r="E112" s="11"/>
      <c r="F112" s="12" t="s">
        <v>334</v>
      </c>
      <c r="G112" s="12" t="s">
        <v>335</v>
      </c>
      <c r="H112" s="13" t="s">
        <v>336</v>
      </c>
      <c r="I112" s="12"/>
      <c r="J112" s="12"/>
      <c r="K112" s="12"/>
      <c r="L112" s="12"/>
      <c r="M112" s="12"/>
      <c r="N112" s="14" t="s">
        <v>331</v>
      </c>
    </row>
    <row r="113" spans="2:14" x14ac:dyDescent="0.25">
      <c r="B113" s="9">
        <v>104</v>
      </c>
      <c r="C113" s="10" t="s">
        <v>22</v>
      </c>
      <c r="D113" s="11"/>
      <c r="E113" s="12" t="s">
        <v>302</v>
      </c>
      <c r="F113" s="12" t="s">
        <v>192</v>
      </c>
      <c r="G113" s="12" t="s">
        <v>11</v>
      </c>
      <c r="H113" s="13" t="s">
        <v>337</v>
      </c>
      <c r="I113" s="12"/>
      <c r="J113" s="12"/>
      <c r="K113" s="12"/>
      <c r="L113" s="12"/>
      <c r="M113" s="12"/>
      <c r="N113" s="14" t="s">
        <v>338</v>
      </c>
    </row>
    <row r="114" spans="2:14" x14ac:dyDescent="0.25">
      <c r="B114" s="9">
        <v>105</v>
      </c>
      <c r="C114" s="16" t="s">
        <v>43</v>
      </c>
      <c r="D114" s="11" t="s">
        <v>339</v>
      </c>
      <c r="E114" s="12" t="s">
        <v>275</v>
      </c>
      <c r="F114" s="12" t="s">
        <v>340</v>
      </c>
      <c r="G114" s="12" t="s">
        <v>341</v>
      </c>
      <c r="H114" s="13" t="s">
        <v>342</v>
      </c>
      <c r="I114" s="12"/>
      <c r="J114" s="12"/>
      <c r="K114" s="12"/>
      <c r="L114" s="12"/>
      <c r="M114" s="12"/>
      <c r="N114" s="14" t="s">
        <v>343</v>
      </c>
    </row>
    <row r="115" spans="2:14" x14ac:dyDescent="0.25">
      <c r="B115" s="9">
        <v>106</v>
      </c>
      <c r="C115" s="15" t="s">
        <v>29</v>
      </c>
      <c r="D115" s="11"/>
      <c r="E115" s="12" t="s">
        <v>344</v>
      </c>
      <c r="F115" s="12" t="s">
        <v>345</v>
      </c>
      <c r="G115" s="12" t="s">
        <v>346</v>
      </c>
      <c r="H115" s="13" t="s">
        <v>347</v>
      </c>
      <c r="I115" s="12"/>
      <c r="J115" s="12"/>
      <c r="K115" s="12"/>
      <c r="L115" s="12"/>
      <c r="M115" s="12"/>
      <c r="N115" s="14" t="s">
        <v>348</v>
      </c>
    </row>
    <row r="116" spans="2:14" x14ac:dyDescent="0.25">
      <c r="B116" s="9">
        <v>107</v>
      </c>
      <c r="C116" s="15" t="s">
        <v>29</v>
      </c>
      <c r="D116" s="11"/>
      <c r="E116" s="11" t="s">
        <v>156</v>
      </c>
      <c r="F116" s="11" t="s">
        <v>278</v>
      </c>
      <c r="G116" s="12" t="s">
        <v>349</v>
      </c>
      <c r="H116" s="13" t="s">
        <v>350</v>
      </c>
      <c r="I116" s="12"/>
      <c r="J116" s="12"/>
      <c r="K116" s="12"/>
      <c r="L116" s="12"/>
      <c r="M116" s="12"/>
      <c r="N116" s="14" t="s">
        <v>351</v>
      </c>
    </row>
    <row r="117" spans="2:14" x14ac:dyDescent="0.25">
      <c r="B117" s="9">
        <v>108</v>
      </c>
      <c r="C117" s="10" t="s">
        <v>22</v>
      </c>
      <c r="D117" s="11"/>
      <c r="E117" s="11"/>
      <c r="F117" s="11"/>
      <c r="G117" s="12" t="s">
        <v>352</v>
      </c>
      <c r="H117" s="13" t="s">
        <v>353</v>
      </c>
      <c r="I117" s="12"/>
      <c r="J117" s="12"/>
      <c r="K117" s="12"/>
      <c r="L117" s="12"/>
      <c r="M117" s="12"/>
      <c r="N117" s="14" t="s">
        <v>351</v>
      </c>
    </row>
    <row r="118" spans="2:14" x14ac:dyDescent="0.25">
      <c r="B118" s="9">
        <v>109</v>
      </c>
      <c r="C118" s="10" t="s">
        <v>22</v>
      </c>
      <c r="D118" s="11"/>
      <c r="E118" s="11"/>
      <c r="F118" s="11"/>
      <c r="G118" s="12" t="s">
        <v>354</v>
      </c>
      <c r="H118" s="13" t="s">
        <v>355</v>
      </c>
      <c r="I118" s="12"/>
      <c r="J118" s="12"/>
      <c r="K118" s="12"/>
      <c r="L118" s="12"/>
      <c r="M118" s="12"/>
      <c r="N118" s="14" t="s">
        <v>351</v>
      </c>
    </row>
    <row r="119" spans="2:14" x14ac:dyDescent="0.25">
      <c r="B119" s="9">
        <v>110</v>
      </c>
      <c r="C119" s="10" t="s">
        <v>22</v>
      </c>
      <c r="D119" s="11"/>
      <c r="E119" s="11"/>
      <c r="F119" s="11"/>
      <c r="G119" s="12" t="s">
        <v>284</v>
      </c>
      <c r="H119" s="13" t="s">
        <v>356</v>
      </c>
      <c r="I119" s="12"/>
      <c r="J119" s="12"/>
      <c r="K119" s="12"/>
      <c r="L119" s="12"/>
      <c r="M119" s="12"/>
      <c r="N119" s="14" t="s">
        <v>351</v>
      </c>
    </row>
    <row r="120" spans="2:14" x14ac:dyDescent="0.25">
      <c r="B120" s="9">
        <v>111</v>
      </c>
      <c r="C120" s="10" t="s">
        <v>22</v>
      </c>
      <c r="D120" s="11"/>
      <c r="E120" s="12" t="s">
        <v>286</v>
      </c>
      <c r="F120" s="12" t="s">
        <v>357</v>
      </c>
      <c r="G120" s="12" t="s">
        <v>358</v>
      </c>
      <c r="H120" s="13" t="s">
        <v>359</v>
      </c>
      <c r="I120" s="12"/>
      <c r="J120" s="12"/>
      <c r="K120" s="12"/>
      <c r="L120" s="12"/>
      <c r="M120" s="12"/>
      <c r="N120" s="14" t="s">
        <v>360</v>
      </c>
    </row>
    <row r="121" spans="2:14" x14ac:dyDescent="0.25">
      <c r="B121" s="9">
        <v>112</v>
      </c>
      <c r="C121" s="10" t="s">
        <v>22</v>
      </c>
      <c r="D121" s="11"/>
      <c r="E121" s="11" t="s">
        <v>234</v>
      </c>
      <c r="F121" s="11" t="s">
        <v>235</v>
      </c>
      <c r="G121" s="12" t="s">
        <v>50</v>
      </c>
      <c r="H121" s="13" t="s">
        <v>361</v>
      </c>
      <c r="I121" s="12"/>
      <c r="J121" s="12"/>
      <c r="K121" s="12"/>
      <c r="L121" s="12"/>
      <c r="M121" s="12"/>
      <c r="N121" s="14" t="s">
        <v>362</v>
      </c>
    </row>
    <row r="122" spans="2:14" x14ac:dyDescent="0.25">
      <c r="B122" s="9">
        <v>113</v>
      </c>
      <c r="C122" s="10" t="s">
        <v>22</v>
      </c>
      <c r="D122" s="11"/>
      <c r="E122" s="11"/>
      <c r="F122" s="11"/>
      <c r="G122" s="12" t="s">
        <v>295</v>
      </c>
      <c r="H122" s="13" t="s">
        <v>363</v>
      </c>
      <c r="I122" s="12"/>
      <c r="J122" s="12"/>
      <c r="K122" s="12"/>
      <c r="L122" s="12"/>
      <c r="M122" s="12"/>
      <c r="N122" s="14" t="s">
        <v>362</v>
      </c>
    </row>
    <row r="123" spans="2:14" x14ac:dyDescent="0.25">
      <c r="B123" s="9">
        <v>114</v>
      </c>
      <c r="C123" s="10" t="s">
        <v>22</v>
      </c>
      <c r="D123" s="11"/>
      <c r="E123" s="11"/>
      <c r="F123" s="11" t="s">
        <v>299</v>
      </c>
      <c r="G123" s="12" t="s">
        <v>364</v>
      </c>
      <c r="H123" s="13" t="s">
        <v>365</v>
      </c>
      <c r="I123" s="12"/>
      <c r="J123" s="12"/>
      <c r="K123" s="12"/>
      <c r="L123" s="12"/>
      <c r="M123" s="12"/>
      <c r="N123" s="14" t="s">
        <v>362</v>
      </c>
    </row>
    <row r="124" spans="2:14" x14ac:dyDescent="0.25">
      <c r="B124" s="9">
        <v>115</v>
      </c>
      <c r="C124" s="10" t="s">
        <v>22</v>
      </c>
      <c r="D124" s="11"/>
      <c r="E124" s="11"/>
      <c r="F124" s="11"/>
      <c r="G124" s="12" t="s">
        <v>366</v>
      </c>
      <c r="H124" s="13" t="s">
        <v>367</v>
      </c>
      <c r="I124" s="12"/>
      <c r="J124" s="12"/>
      <c r="K124" s="12"/>
      <c r="L124" s="12"/>
      <c r="M124" s="12"/>
      <c r="N124" s="14" t="s">
        <v>348</v>
      </c>
    </row>
    <row r="125" spans="2:14" x14ac:dyDescent="0.25">
      <c r="B125" s="9">
        <v>116</v>
      </c>
      <c r="C125" s="16" t="s">
        <v>43</v>
      </c>
      <c r="D125" s="11"/>
      <c r="E125" s="12" t="s">
        <v>156</v>
      </c>
      <c r="F125" s="12" t="s">
        <v>278</v>
      </c>
      <c r="G125" s="12" t="s">
        <v>368</v>
      </c>
      <c r="H125" s="13" t="s">
        <v>369</v>
      </c>
      <c r="I125" s="12"/>
      <c r="J125" s="12"/>
      <c r="K125" s="12"/>
      <c r="L125" s="12"/>
      <c r="M125" s="12"/>
      <c r="N125" s="14" t="s">
        <v>348</v>
      </c>
    </row>
    <row r="126" spans="2:14" x14ac:dyDescent="0.25">
      <c r="B126" s="9">
        <v>117</v>
      </c>
      <c r="C126" s="16" t="s">
        <v>43</v>
      </c>
      <c r="D126" s="11"/>
      <c r="E126" s="12" t="s">
        <v>286</v>
      </c>
      <c r="F126" s="12" t="s">
        <v>357</v>
      </c>
      <c r="G126" s="12" t="s">
        <v>370</v>
      </c>
      <c r="H126" s="13" t="s">
        <v>371</v>
      </c>
      <c r="I126" s="12"/>
      <c r="J126" s="12"/>
      <c r="K126" s="12"/>
      <c r="L126" s="12"/>
      <c r="M126" s="12"/>
      <c r="N126" s="14" t="s">
        <v>348</v>
      </c>
    </row>
    <row r="127" spans="2:14" x14ac:dyDescent="0.25">
      <c r="B127" s="9">
        <v>118</v>
      </c>
      <c r="C127" s="10" t="s">
        <v>22</v>
      </c>
      <c r="D127" s="11" t="s">
        <v>372</v>
      </c>
      <c r="E127" s="12" t="s">
        <v>253</v>
      </c>
      <c r="F127" s="12" t="s">
        <v>373</v>
      </c>
      <c r="G127" s="12" t="s">
        <v>11</v>
      </c>
      <c r="H127" s="13" t="s">
        <v>374</v>
      </c>
      <c r="I127" s="12"/>
      <c r="J127" s="12"/>
      <c r="K127" s="12"/>
      <c r="L127" s="12"/>
      <c r="M127" s="12"/>
      <c r="N127" s="14" t="s">
        <v>375</v>
      </c>
    </row>
    <row r="128" spans="2:14" x14ac:dyDescent="0.25">
      <c r="B128" s="9">
        <v>119</v>
      </c>
      <c r="C128" s="10" t="s">
        <v>22</v>
      </c>
      <c r="D128" s="11"/>
      <c r="E128" s="11" t="s">
        <v>156</v>
      </c>
      <c r="F128" s="11" t="s">
        <v>376</v>
      </c>
      <c r="G128" s="12" t="s">
        <v>377</v>
      </c>
      <c r="H128" s="13" t="s">
        <v>378</v>
      </c>
      <c r="I128" s="12"/>
      <c r="J128" s="12"/>
      <c r="K128" s="12"/>
      <c r="L128" s="12"/>
      <c r="M128" s="12"/>
      <c r="N128" s="14" t="s">
        <v>379</v>
      </c>
    </row>
    <row r="129" spans="2:14" x14ac:dyDescent="0.25">
      <c r="B129" s="9">
        <v>120</v>
      </c>
      <c r="C129" s="10" t="s">
        <v>22</v>
      </c>
      <c r="D129" s="11"/>
      <c r="E129" s="11"/>
      <c r="F129" s="11"/>
      <c r="G129" s="12" t="s">
        <v>259</v>
      </c>
      <c r="H129" s="13" t="s">
        <v>380</v>
      </c>
      <c r="I129" s="12"/>
      <c r="J129" s="12"/>
      <c r="K129" s="12"/>
      <c r="L129" s="12"/>
      <c r="M129" s="12"/>
      <c r="N129" s="14" t="s">
        <v>379</v>
      </c>
    </row>
    <row r="130" spans="2:14" x14ac:dyDescent="0.25">
      <c r="B130" s="9">
        <v>121</v>
      </c>
      <c r="C130" s="10" t="s">
        <v>22</v>
      </c>
      <c r="D130" s="11"/>
      <c r="E130" s="11"/>
      <c r="F130" s="11"/>
      <c r="G130" s="12" t="s">
        <v>264</v>
      </c>
      <c r="H130" s="13" t="s">
        <v>381</v>
      </c>
      <c r="I130" s="12"/>
      <c r="J130" s="12"/>
      <c r="K130" s="12"/>
      <c r="L130" s="12"/>
      <c r="M130" s="12"/>
      <c r="N130" s="14" t="s">
        <v>379</v>
      </c>
    </row>
    <row r="131" spans="2:14" x14ac:dyDescent="0.25">
      <c r="B131" s="9">
        <v>122</v>
      </c>
      <c r="C131" s="16" t="s">
        <v>43</v>
      </c>
      <c r="D131" s="11"/>
      <c r="E131" s="11"/>
      <c r="F131" s="11"/>
      <c r="G131" s="12" t="s">
        <v>382</v>
      </c>
      <c r="H131" s="13" t="s">
        <v>383</v>
      </c>
      <c r="I131" s="12"/>
      <c r="J131" s="12"/>
      <c r="K131" s="12"/>
      <c r="L131" s="12"/>
      <c r="M131" s="12"/>
      <c r="N131" s="14" t="s">
        <v>379</v>
      </c>
    </row>
    <row r="132" spans="2:14" x14ac:dyDescent="0.25">
      <c r="B132" s="9">
        <v>123</v>
      </c>
      <c r="C132" s="10" t="s">
        <v>22</v>
      </c>
      <c r="D132" s="11"/>
      <c r="E132" s="11" t="s">
        <v>286</v>
      </c>
      <c r="F132" s="11" t="s">
        <v>384</v>
      </c>
      <c r="G132" s="12" t="s">
        <v>259</v>
      </c>
      <c r="H132" s="13" t="s">
        <v>385</v>
      </c>
      <c r="I132" s="12"/>
      <c r="J132" s="12"/>
      <c r="K132" s="12"/>
      <c r="L132" s="12"/>
      <c r="M132" s="12"/>
      <c r="N132" s="14" t="s">
        <v>386</v>
      </c>
    </row>
    <row r="133" spans="2:14" x14ac:dyDescent="0.25">
      <c r="B133" s="9">
        <v>124</v>
      </c>
      <c r="C133" s="15" t="s">
        <v>29</v>
      </c>
      <c r="D133" s="11"/>
      <c r="E133" s="11"/>
      <c r="F133" s="11"/>
      <c r="G133" s="12" t="s">
        <v>387</v>
      </c>
      <c r="H133" s="13" t="s">
        <v>388</v>
      </c>
      <c r="I133" s="12"/>
      <c r="J133" s="12"/>
      <c r="K133" s="12"/>
      <c r="L133" s="12"/>
      <c r="M133" s="12"/>
      <c r="N133" s="14" t="s">
        <v>386</v>
      </c>
    </row>
    <row r="134" spans="2:14" x14ac:dyDescent="0.25">
      <c r="B134" s="9">
        <v>125</v>
      </c>
      <c r="C134" s="10" t="s">
        <v>22</v>
      </c>
      <c r="D134" s="11"/>
      <c r="E134" s="11" t="s">
        <v>328</v>
      </c>
      <c r="F134" s="11" t="s">
        <v>389</v>
      </c>
      <c r="G134" s="12" t="s">
        <v>259</v>
      </c>
      <c r="H134" s="13" t="s">
        <v>390</v>
      </c>
      <c r="I134" s="12"/>
      <c r="J134" s="12"/>
      <c r="K134" s="12"/>
      <c r="L134" s="12"/>
      <c r="M134" s="12"/>
      <c r="N134" s="14" t="s">
        <v>391</v>
      </c>
    </row>
    <row r="135" spans="2:14" x14ac:dyDescent="0.25">
      <c r="B135" s="9">
        <v>126</v>
      </c>
      <c r="C135" s="10" t="s">
        <v>22</v>
      </c>
      <c r="D135" s="11"/>
      <c r="E135" s="11"/>
      <c r="F135" s="11"/>
      <c r="G135" s="12" t="s">
        <v>392</v>
      </c>
      <c r="H135" s="13" t="s">
        <v>393</v>
      </c>
      <c r="I135" s="12"/>
      <c r="J135" s="12"/>
      <c r="K135" s="12"/>
      <c r="L135" s="12"/>
      <c r="M135" s="12"/>
      <c r="N135" s="14" t="s">
        <v>391</v>
      </c>
    </row>
    <row r="136" spans="2:14" x14ac:dyDescent="0.25">
      <c r="B136" s="9">
        <v>127</v>
      </c>
      <c r="C136" s="16" t="s">
        <v>43</v>
      </c>
      <c r="D136" s="11"/>
      <c r="E136" s="11"/>
      <c r="F136" s="11"/>
      <c r="G136" s="12" t="s">
        <v>394</v>
      </c>
      <c r="H136" s="13" t="s">
        <v>395</v>
      </c>
      <c r="I136" s="12"/>
      <c r="J136" s="12"/>
      <c r="K136" s="12"/>
      <c r="L136" s="12"/>
      <c r="M136" s="12"/>
      <c r="N136" s="14" t="s">
        <v>396</v>
      </c>
    </row>
    <row r="137" spans="2:14" x14ac:dyDescent="0.25">
      <c r="B137" s="9">
        <v>128</v>
      </c>
      <c r="C137" s="10" t="s">
        <v>22</v>
      </c>
      <c r="D137" s="11"/>
      <c r="E137" s="12" t="s">
        <v>302</v>
      </c>
      <c r="F137" s="12" t="s">
        <v>192</v>
      </c>
      <c r="G137" s="12" t="s">
        <v>11</v>
      </c>
      <c r="H137" s="13" t="s">
        <v>397</v>
      </c>
      <c r="I137" s="12"/>
      <c r="J137" s="12"/>
      <c r="K137" s="12"/>
      <c r="L137" s="12"/>
      <c r="M137" s="12"/>
      <c r="N137" s="14" t="s">
        <v>398</v>
      </c>
    </row>
    <row r="138" spans="2:14" x14ac:dyDescent="0.25">
      <c r="B138" s="9">
        <v>129</v>
      </c>
      <c r="C138" s="15" t="s">
        <v>29</v>
      </c>
      <c r="D138" s="11" t="s">
        <v>399</v>
      </c>
      <c r="E138" s="11" t="s">
        <v>400</v>
      </c>
      <c r="F138" s="12" t="s">
        <v>401</v>
      </c>
      <c r="G138" s="12" t="s">
        <v>402</v>
      </c>
      <c r="H138" s="13" t="s">
        <v>403</v>
      </c>
      <c r="I138" s="12"/>
      <c r="J138" s="12"/>
      <c r="K138" s="12"/>
      <c r="L138" s="12"/>
      <c r="M138" s="12"/>
      <c r="N138" s="14" t="s">
        <v>404</v>
      </c>
    </row>
    <row r="139" spans="2:14" x14ac:dyDescent="0.25">
      <c r="B139" s="9">
        <v>130</v>
      </c>
      <c r="C139" s="15" t="s">
        <v>29</v>
      </c>
      <c r="D139" s="11"/>
      <c r="E139" s="11"/>
      <c r="F139" s="11" t="s">
        <v>405</v>
      </c>
      <c r="G139" s="12" t="s">
        <v>406</v>
      </c>
      <c r="H139" s="13" t="s">
        <v>407</v>
      </c>
      <c r="I139" s="12"/>
      <c r="J139" s="12"/>
      <c r="K139" s="12"/>
      <c r="L139" s="12"/>
      <c r="M139" s="12"/>
      <c r="N139" s="14" t="s">
        <v>408</v>
      </c>
    </row>
    <row r="140" spans="2:14" x14ac:dyDescent="0.25">
      <c r="B140" s="9">
        <v>131</v>
      </c>
      <c r="C140" s="15" t="s">
        <v>29</v>
      </c>
      <c r="D140" s="11"/>
      <c r="E140" s="11"/>
      <c r="F140" s="11"/>
      <c r="G140" s="12" t="s">
        <v>409</v>
      </c>
      <c r="H140" s="13" t="s">
        <v>410</v>
      </c>
      <c r="I140" s="12"/>
      <c r="J140" s="12"/>
      <c r="K140" s="12"/>
      <c r="L140" s="12"/>
      <c r="M140" s="12"/>
      <c r="N140" s="14" t="s">
        <v>408</v>
      </c>
    </row>
    <row r="141" spans="2:14" x14ac:dyDescent="0.25">
      <c r="B141" s="9">
        <v>132</v>
      </c>
      <c r="C141" s="10" t="s">
        <v>22</v>
      </c>
      <c r="D141" s="11"/>
      <c r="E141" s="11" t="s">
        <v>411</v>
      </c>
      <c r="F141" s="11" t="s">
        <v>412</v>
      </c>
      <c r="G141" s="12" t="s">
        <v>413</v>
      </c>
      <c r="H141" s="13" t="s">
        <v>414</v>
      </c>
      <c r="I141" s="12"/>
      <c r="J141" s="12"/>
      <c r="K141" s="12"/>
      <c r="L141" s="12"/>
      <c r="M141" s="12"/>
      <c r="N141" s="14" t="s">
        <v>415</v>
      </c>
    </row>
    <row r="142" spans="2:14" x14ac:dyDescent="0.25">
      <c r="B142" s="9">
        <v>133</v>
      </c>
      <c r="C142" s="10" t="s">
        <v>22</v>
      </c>
      <c r="D142" s="11"/>
      <c r="E142" s="11"/>
      <c r="F142" s="11"/>
      <c r="G142" s="12" t="s">
        <v>416</v>
      </c>
      <c r="H142" s="13" t="s">
        <v>417</v>
      </c>
      <c r="I142" s="12"/>
      <c r="J142" s="12"/>
      <c r="K142" s="12"/>
      <c r="L142" s="12"/>
      <c r="M142" s="12"/>
      <c r="N142" s="14" t="s">
        <v>415</v>
      </c>
    </row>
    <row r="143" spans="2:14" x14ac:dyDescent="0.25">
      <c r="B143" s="9">
        <v>134</v>
      </c>
      <c r="C143" s="10" t="s">
        <v>22</v>
      </c>
      <c r="D143" s="11"/>
      <c r="E143" s="11"/>
      <c r="F143" s="12" t="s">
        <v>418</v>
      </c>
      <c r="G143" s="12" t="s">
        <v>419</v>
      </c>
      <c r="H143" s="13" t="s">
        <v>420</v>
      </c>
      <c r="I143" s="12"/>
      <c r="J143" s="12"/>
      <c r="K143" s="12"/>
      <c r="L143" s="12"/>
      <c r="M143" s="12"/>
      <c r="N143" s="14" t="s">
        <v>415</v>
      </c>
    </row>
    <row r="144" spans="2:14" x14ac:dyDescent="0.25">
      <c r="B144" s="9">
        <v>135</v>
      </c>
      <c r="C144" s="10" t="s">
        <v>22</v>
      </c>
      <c r="D144" s="11"/>
      <c r="E144" s="11"/>
      <c r="F144" s="11" t="s">
        <v>421</v>
      </c>
      <c r="G144" s="12" t="s">
        <v>422</v>
      </c>
      <c r="H144" s="13" t="s">
        <v>423</v>
      </c>
      <c r="I144" s="12"/>
      <c r="J144" s="12"/>
      <c r="K144" s="12"/>
      <c r="L144" s="12"/>
      <c r="M144" s="12"/>
      <c r="N144" s="14" t="s">
        <v>415</v>
      </c>
    </row>
    <row r="145" spans="2:14" x14ac:dyDescent="0.25">
      <c r="B145" s="9">
        <v>136</v>
      </c>
      <c r="C145" s="10" t="s">
        <v>22</v>
      </c>
      <c r="D145" s="11"/>
      <c r="E145" s="11"/>
      <c r="F145" s="11"/>
      <c r="G145" s="12" t="s">
        <v>424</v>
      </c>
      <c r="H145" s="13" t="s">
        <v>425</v>
      </c>
      <c r="I145" s="12"/>
      <c r="J145" s="12"/>
      <c r="K145" s="12"/>
      <c r="L145" s="12"/>
      <c r="M145" s="12"/>
      <c r="N145" s="14" t="s">
        <v>415</v>
      </c>
    </row>
    <row r="146" spans="2:14" x14ac:dyDescent="0.25">
      <c r="B146" s="9">
        <v>137</v>
      </c>
      <c r="C146" s="15" t="s">
        <v>29</v>
      </c>
      <c r="D146" s="11"/>
      <c r="E146" s="11" t="s">
        <v>426</v>
      </c>
      <c r="F146" s="11" t="s">
        <v>427</v>
      </c>
      <c r="G146" s="12" t="s">
        <v>428</v>
      </c>
      <c r="H146" s="13" t="s">
        <v>429</v>
      </c>
      <c r="I146" s="12"/>
      <c r="J146" s="12"/>
      <c r="K146" s="12"/>
      <c r="L146" s="12"/>
      <c r="M146" s="12"/>
      <c r="N146" s="14" t="s">
        <v>430</v>
      </c>
    </row>
    <row r="147" spans="2:14" x14ac:dyDescent="0.25">
      <c r="B147" s="9">
        <v>138</v>
      </c>
      <c r="C147" s="16" t="s">
        <v>43</v>
      </c>
      <c r="D147" s="11"/>
      <c r="E147" s="11"/>
      <c r="F147" s="11"/>
      <c r="G147" s="12" t="s">
        <v>431</v>
      </c>
      <c r="H147" s="13" t="s">
        <v>432</v>
      </c>
      <c r="I147" s="12"/>
      <c r="J147" s="12"/>
      <c r="K147" s="12"/>
      <c r="L147" s="12"/>
      <c r="M147" s="12"/>
      <c r="N147" s="14" t="s">
        <v>430</v>
      </c>
    </row>
    <row r="148" spans="2:14" x14ac:dyDescent="0.25">
      <c r="B148" s="9">
        <v>139</v>
      </c>
      <c r="C148" s="10" t="s">
        <v>22</v>
      </c>
      <c r="D148" s="11"/>
      <c r="E148" s="11"/>
      <c r="F148" s="11"/>
      <c r="G148" s="12" t="s">
        <v>433</v>
      </c>
      <c r="H148" s="13" t="s">
        <v>434</v>
      </c>
      <c r="I148" s="12"/>
      <c r="J148" s="12"/>
      <c r="K148" s="12"/>
      <c r="L148" s="12"/>
      <c r="M148" s="12"/>
      <c r="N148" s="14" t="s">
        <v>430</v>
      </c>
    </row>
    <row r="149" spans="2:14" x14ac:dyDescent="0.25">
      <c r="B149" s="9">
        <v>140</v>
      </c>
      <c r="C149" s="10" t="s">
        <v>22</v>
      </c>
      <c r="D149" s="11"/>
      <c r="E149" s="11" t="s">
        <v>435</v>
      </c>
      <c r="F149" s="11" t="s">
        <v>436</v>
      </c>
      <c r="G149" s="12" t="s">
        <v>437</v>
      </c>
      <c r="H149" s="13" t="s">
        <v>438</v>
      </c>
      <c r="I149" s="12"/>
      <c r="J149" s="12"/>
      <c r="K149" s="12"/>
      <c r="L149" s="12"/>
      <c r="M149" s="12"/>
      <c r="N149" s="14" t="s">
        <v>439</v>
      </c>
    </row>
    <row r="150" spans="2:14" x14ac:dyDescent="0.25">
      <c r="B150" s="9">
        <v>141</v>
      </c>
      <c r="C150" s="10" t="s">
        <v>22</v>
      </c>
      <c r="D150" s="11"/>
      <c r="E150" s="11"/>
      <c r="F150" s="11"/>
      <c r="G150" s="12" t="s">
        <v>440</v>
      </c>
      <c r="H150" s="13" t="s">
        <v>441</v>
      </c>
      <c r="I150" s="12"/>
      <c r="J150" s="12"/>
      <c r="K150" s="12"/>
      <c r="L150" s="12"/>
      <c r="M150" s="12"/>
      <c r="N150" s="14" t="s">
        <v>439</v>
      </c>
    </row>
    <row r="151" spans="2:14" x14ac:dyDescent="0.25">
      <c r="B151" s="9">
        <v>142</v>
      </c>
      <c r="C151" s="10" t="s">
        <v>22</v>
      </c>
      <c r="D151" s="11"/>
      <c r="E151" s="11"/>
      <c r="F151" s="11"/>
      <c r="G151" s="12" t="s">
        <v>442</v>
      </c>
      <c r="H151" s="13" t="s">
        <v>443</v>
      </c>
      <c r="I151" s="12"/>
      <c r="J151" s="12"/>
      <c r="K151" s="12"/>
      <c r="L151" s="12"/>
      <c r="M151" s="12"/>
      <c r="N151" s="14" t="s">
        <v>444</v>
      </c>
    </row>
    <row r="152" spans="2:14" x14ac:dyDescent="0.25">
      <c r="B152" s="9">
        <v>143</v>
      </c>
      <c r="C152" s="10" t="s">
        <v>22</v>
      </c>
      <c r="D152" s="11"/>
      <c r="E152" s="11"/>
      <c r="F152" s="12" t="s">
        <v>445</v>
      </c>
      <c r="G152" s="12" t="s">
        <v>446</v>
      </c>
      <c r="H152" s="13" t="s">
        <v>447</v>
      </c>
      <c r="I152" s="12"/>
      <c r="J152" s="12"/>
      <c r="K152" s="12"/>
      <c r="L152" s="12"/>
      <c r="M152" s="12"/>
      <c r="N152" s="14" t="s">
        <v>448</v>
      </c>
    </row>
    <row r="153" spans="2:14" x14ac:dyDescent="0.25">
      <c r="B153" s="9">
        <v>144</v>
      </c>
      <c r="C153" s="10" t="s">
        <v>22</v>
      </c>
      <c r="D153" s="11"/>
      <c r="E153" s="11"/>
      <c r="F153" s="11" t="s">
        <v>449</v>
      </c>
      <c r="G153" s="12" t="s">
        <v>450</v>
      </c>
      <c r="H153" s="13" t="s">
        <v>451</v>
      </c>
      <c r="I153" s="12"/>
      <c r="J153" s="12"/>
      <c r="K153" s="12"/>
      <c r="L153" s="12"/>
      <c r="M153" s="12"/>
      <c r="N153" s="14" t="s">
        <v>452</v>
      </c>
    </row>
    <row r="154" spans="2:14" x14ac:dyDescent="0.25">
      <c r="B154" s="9">
        <v>145</v>
      </c>
      <c r="C154" s="10" t="s">
        <v>22</v>
      </c>
      <c r="D154" s="11"/>
      <c r="E154" s="11"/>
      <c r="F154" s="11"/>
      <c r="G154" s="12" t="s">
        <v>453</v>
      </c>
      <c r="H154" s="13" t="s">
        <v>454</v>
      </c>
      <c r="I154" s="12"/>
      <c r="J154" s="12"/>
      <c r="K154" s="12"/>
      <c r="L154" s="12"/>
      <c r="M154" s="12"/>
      <c r="N154" s="14" t="s">
        <v>452</v>
      </c>
    </row>
    <row r="155" spans="2:14" x14ac:dyDescent="0.25">
      <c r="B155" s="9">
        <v>146</v>
      </c>
      <c r="C155" s="15" t="s">
        <v>29</v>
      </c>
      <c r="D155" s="11"/>
      <c r="E155" s="11"/>
      <c r="F155" s="11"/>
      <c r="G155" s="12" t="s">
        <v>455</v>
      </c>
      <c r="H155" s="13" t="s">
        <v>456</v>
      </c>
      <c r="I155" s="12"/>
      <c r="J155" s="12"/>
      <c r="K155" s="12"/>
      <c r="L155" s="12"/>
      <c r="M155" s="12"/>
      <c r="N155" s="14" t="s">
        <v>452</v>
      </c>
    </row>
    <row r="156" spans="2:14" x14ac:dyDescent="0.25">
      <c r="B156" s="9">
        <v>147</v>
      </c>
      <c r="C156" s="10" t="s">
        <v>22</v>
      </c>
      <c r="D156" s="11"/>
      <c r="E156" s="11"/>
      <c r="F156" s="11"/>
      <c r="G156" s="12" t="s">
        <v>457</v>
      </c>
      <c r="H156" s="13" t="s">
        <v>458</v>
      </c>
      <c r="I156" s="12"/>
      <c r="J156" s="12"/>
      <c r="K156" s="12"/>
      <c r="L156" s="12"/>
      <c r="M156" s="12"/>
      <c r="N156" s="14" t="s">
        <v>452</v>
      </c>
    </row>
    <row r="157" spans="2:14" x14ac:dyDescent="0.25">
      <c r="B157" s="9">
        <v>148</v>
      </c>
      <c r="C157" s="10" t="s">
        <v>22</v>
      </c>
      <c r="D157" s="11"/>
      <c r="E157" s="11" t="s">
        <v>459</v>
      </c>
      <c r="F157" s="11" t="s">
        <v>460</v>
      </c>
      <c r="G157" s="12" t="s">
        <v>461</v>
      </c>
      <c r="H157" s="13" t="s">
        <v>462</v>
      </c>
      <c r="I157" s="12"/>
      <c r="J157" s="12"/>
      <c r="K157" s="12"/>
      <c r="L157" s="12"/>
      <c r="M157" s="12"/>
      <c r="N157" s="14" t="s">
        <v>463</v>
      </c>
    </row>
    <row r="158" spans="2:14" x14ac:dyDescent="0.25">
      <c r="B158" s="9">
        <v>149</v>
      </c>
      <c r="C158" s="10" t="s">
        <v>22</v>
      </c>
      <c r="D158" s="11"/>
      <c r="E158" s="11"/>
      <c r="F158" s="11"/>
      <c r="G158" s="12" t="s">
        <v>464</v>
      </c>
      <c r="H158" s="13" t="s">
        <v>465</v>
      </c>
      <c r="I158" s="12"/>
      <c r="J158" s="12"/>
      <c r="K158" s="12"/>
      <c r="L158" s="12"/>
      <c r="M158" s="12"/>
      <c r="N158" s="14" t="s">
        <v>463</v>
      </c>
    </row>
    <row r="159" spans="2:14" x14ac:dyDescent="0.25">
      <c r="B159" s="9">
        <v>150</v>
      </c>
      <c r="C159" s="15" t="s">
        <v>29</v>
      </c>
      <c r="D159" s="11"/>
      <c r="E159" s="11"/>
      <c r="F159" s="11"/>
      <c r="G159" s="12" t="s">
        <v>466</v>
      </c>
      <c r="H159" s="13" t="s">
        <v>467</v>
      </c>
      <c r="I159" s="12"/>
      <c r="J159" s="12"/>
      <c r="K159" s="12"/>
      <c r="L159" s="12"/>
      <c r="M159" s="12"/>
      <c r="N159" s="14" t="s">
        <v>463</v>
      </c>
    </row>
    <row r="160" spans="2:14" x14ac:dyDescent="0.25">
      <c r="B160" s="9">
        <v>151</v>
      </c>
      <c r="C160" s="10" t="s">
        <v>22</v>
      </c>
      <c r="D160" s="11"/>
      <c r="E160" s="11"/>
      <c r="F160" s="11" t="s">
        <v>468</v>
      </c>
      <c r="G160" s="12" t="s">
        <v>469</v>
      </c>
      <c r="H160" s="13" t="s">
        <v>470</v>
      </c>
      <c r="I160" s="12"/>
      <c r="J160" s="12"/>
      <c r="K160" s="12"/>
      <c r="L160" s="12"/>
      <c r="M160" s="12"/>
      <c r="N160" s="14" t="s">
        <v>471</v>
      </c>
    </row>
    <row r="161" spans="2:14" x14ac:dyDescent="0.25">
      <c r="B161" s="9">
        <v>152</v>
      </c>
      <c r="C161" s="10" t="s">
        <v>22</v>
      </c>
      <c r="D161" s="11"/>
      <c r="E161" s="11"/>
      <c r="F161" s="11"/>
      <c r="G161" s="12" t="s">
        <v>472</v>
      </c>
      <c r="H161" s="13" t="s">
        <v>473</v>
      </c>
      <c r="I161" s="12"/>
      <c r="J161" s="12"/>
      <c r="K161" s="12"/>
      <c r="L161" s="12"/>
      <c r="M161" s="12"/>
      <c r="N161" s="14" t="s">
        <v>471</v>
      </c>
    </row>
    <row r="162" spans="2:14" x14ac:dyDescent="0.25">
      <c r="B162" s="9">
        <v>153</v>
      </c>
      <c r="C162" s="10" t="s">
        <v>22</v>
      </c>
      <c r="D162" s="11"/>
      <c r="E162" s="11"/>
      <c r="F162" s="11" t="s">
        <v>474</v>
      </c>
      <c r="G162" s="12" t="s">
        <v>475</v>
      </c>
      <c r="H162" s="13" t="s">
        <v>476</v>
      </c>
      <c r="I162" s="12"/>
      <c r="J162" s="12"/>
      <c r="K162" s="12"/>
      <c r="L162" s="12"/>
      <c r="M162" s="12"/>
      <c r="N162" s="14" t="s">
        <v>477</v>
      </c>
    </row>
    <row r="163" spans="2:14" x14ac:dyDescent="0.25">
      <c r="B163" s="9">
        <v>154</v>
      </c>
      <c r="C163" s="10" t="s">
        <v>22</v>
      </c>
      <c r="D163" s="11"/>
      <c r="E163" s="11"/>
      <c r="F163" s="11"/>
      <c r="G163" s="12" t="s">
        <v>478</v>
      </c>
      <c r="H163" s="13" t="s">
        <v>479</v>
      </c>
      <c r="I163" s="12"/>
      <c r="J163" s="12"/>
      <c r="K163" s="12"/>
      <c r="L163" s="12"/>
      <c r="M163" s="12"/>
      <c r="N163" s="14" t="s">
        <v>477</v>
      </c>
    </row>
    <row r="164" spans="2:14" x14ac:dyDescent="0.25">
      <c r="B164" s="9">
        <v>155</v>
      </c>
      <c r="C164" s="10" t="s">
        <v>22</v>
      </c>
      <c r="D164" s="11"/>
      <c r="E164" s="11"/>
      <c r="F164" s="11"/>
      <c r="G164" s="12" t="s">
        <v>480</v>
      </c>
      <c r="H164" s="13" t="s">
        <v>481</v>
      </c>
      <c r="I164" s="12"/>
      <c r="J164" s="12"/>
      <c r="K164" s="12"/>
      <c r="L164" s="12"/>
      <c r="M164" s="12"/>
      <c r="N164" s="14" t="s">
        <v>477</v>
      </c>
    </row>
    <row r="165" spans="2:14" x14ac:dyDescent="0.25">
      <c r="B165" s="9">
        <v>156</v>
      </c>
      <c r="C165" s="16" t="s">
        <v>43</v>
      </c>
      <c r="D165" s="11"/>
      <c r="E165" s="11"/>
      <c r="F165" s="11"/>
      <c r="G165" s="12" t="s">
        <v>482</v>
      </c>
      <c r="H165" s="13" t="s">
        <v>483</v>
      </c>
      <c r="I165" s="12"/>
      <c r="J165" s="12"/>
      <c r="K165" s="12"/>
      <c r="L165" s="12"/>
      <c r="M165" s="12"/>
      <c r="N165" s="14" t="s">
        <v>484</v>
      </c>
    </row>
    <row r="166" spans="2:14" x14ac:dyDescent="0.25">
      <c r="B166" s="9">
        <v>157</v>
      </c>
      <c r="C166" s="10" t="s">
        <v>22</v>
      </c>
      <c r="D166" s="11"/>
      <c r="E166" s="11"/>
      <c r="F166" s="11"/>
      <c r="G166" s="12" t="s">
        <v>485</v>
      </c>
      <c r="H166" s="13" t="s">
        <v>486</v>
      </c>
      <c r="I166" s="12"/>
      <c r="J166" s="12"/>
      <c r="K166" s="12"/>
      <c r="L166" s="12"/>
      <c r="M166" s="12"/>
      <c r="N166" s="14" t="s">
        <v>487</v>
      </c>
    </row>
    <row r="167" spans="2:14" x14ac:dyDescent="0.25">
      <c r="B167" s="9">
        <v>158</v>
      </c>
      <c r="C167" s="15" t="s">
        <v>29</v>
      </c>
      <c r="D167" s="11"/>
      <c r="E167" s="11" t="s">
        <v>488</v>
      </c>
      <c r="F167" s="12" t="s">
        <v>489</v>
      </c>
      <c r="G167" s="12" t="s">
        <v>490</v>
      </c>
      <c r="H167" s="13" t="s">
        <v>491</v>
      </c>
      <c r="I167" s="12"/>
      <c r="J167" s="12"/>
      <c r="K167" s="12"/>
      <c r="L167" s="12"/>
      <c r="M167" s="12"/>
      <c r="N167" s="14" t="s">
        <v>492</v>
      </c>
    </row>
    <row r="168" spans="2:14" x14ac:dyDescent="0.25">
      <c r="B168" s="9">
        <v>159</v>
      </c>
      <c r="C168" s="10" t="s">
        <v>22</v>
      </c>
      <c r="D168" s="11"/>
      <c r="E168" s="11"/>
      <c r="F168" s="11" t="s">
        <v>493</v>
      </c>
      <c r="G168" s="12" t="s">
        <v>494</v>
      </c>
      <c r="H168" s="13" t="s">
        <v>495</v>
      </c>
      <c r="I168" s="12"/>
      <c r="J168" s="12"/>
      <c r="K168" s="12"/>
      <c r="L168" s="12"/>
      <c r="M168" s="12"/>
      <c r="N168" s="14" t="s">
        <v>492</v>
      </c>
    </row>
    <row r="169" spans="2:14" x14ac:dyDescent="0.25">
      <c r="B169" s="9">
        <v>160</v>
      </c>
      <c r="C169" s="10" t="s">
        <v>22</v>
      </c>
      <c r="D169" s="11"/>
      <c r="E169" s="11"/>
      <c r="F169" s="11"/>
      <c r="G169" s="12" t="s">
        <v>496</v>
      </c>
      <c r="H169" s="13" t="s">
        <v>497</v>
      </c>
      <c r="I169" s="12"/>
      <c r="J169" s="12"/>
      <c r="K169" s="12"/>
      <c r="L169" s="12"/>
      <c r="M169" s="12"/>
      <c r="N169" s="14" t="s">
        <v>492</v>
      </c>
    </row>
    <row r="170" spans="2:14" x14ac:dyDescent="0.25">
      <c r="B170" s="9">
        <v>161</v>
      </c>
      <c r="C170" s="10" t="s">
        <v>22</v>
      </c>
      <c r="D170" s="11"/>
      <c r="E170" s="11"/>
      <c r="F170" s="11" t="s">
        <v>498</v>
      </c>
      <c r="G170" s="12" t="s">
        <v>499</v>
      </c>
      <c r="H170" s="13" t="s">
        <v>500</v>
      </c>
      <c r="I170" s="12"/>
      <c r="J170" s="12"/>
      <c r="K170" s="12"/>
      <c r="L170" s="12"/>
      <c r="M170" s="12"/>
      <c r="N170" s="14" t="s">
        <v>501</v>
      </c>
    </row>
    <row r="171" spans="2:14" x14ac:dyDescent="0.25">
      <c r="B171" s="9">
        <v>162</v>
      </c>
      <c r="C171" s="10" t="s">
        <v>22</v>
      </c>
      <c r="D171" s="11"/>
      <c r="E171" s="11"/>
      <c r="F171" s="11"/>
      <c r="G171" s="12" t="s">
        <v>502</v>
      </c>
      <c r="H171" s="13" t="s">
        <v>503</v>
      </c>
      <c r="I171" s="12"/>
      <c r="J171" s="12"/>
      <c r="K171" s="12"/>
      <c r="L171" s="12"/>
      <c r="M171" s="12"/>
      <c r="N171" s="14" t="s">
        <v>501</v>
      </c>
    </row>
    <row r="172" spans="2:14" x14ac:dyDescent="0.25">
      <c r="B172" s="9">
        <v>163</v>
      </c>
      <c r="C172" s="10" t="s">
        <v>22</v>
      </c>
      <c r="D172" s="11"/>
      <c r="E172" s="11"/>
      <c r="F172" s="11"/>
      <c r="G172" s="12" t="s">
        <v>504</v>
      </c>
      <c r="H172" s="13" t="s">
        <v>505</v>
      </c>
      <c r="I172" s="12"/>
      <c r="J172" s="12"/>
      <c r="K172" s="12"/>
      <c r="L172" s="12"/>
      <c r="M172" s="12"/>
      <c r="N172" s="14" t="s">
        <v>501</v>
      </c>
    </row>
    <row r="173" spans="2:14" x14ac:dyDescent="0.25">
      <c r="B173" s="9">
        <v>164</v>
      </c>
      <c r="C173" s="10" t="s">
        <v>22</v>
      </c>
      <c r="D173" s="11"/>
      <c r="E173" s="11"/>
      <c r="F173" s="11"/>
      <c r="G173" s="12" t="s">
        <v>506</v>
      </c>
      <c r="H173" s="13" t="s">
        <v>507</v>
      </c>
      <c r="I173" s="12"/>
      <c r="J173" s="12"/>
      <c r="K173" s="12"/>
      <c r="L173" s="12"/>
      <c r="M173" s="12"/>
      <c r="N173" s="14" t="s">
        <v>501</v>
      </c>
    </row>
    <row r="174" spans="2:14" x14ac:dyDescent="0.25">
      <c r="B174" s="9">
        <v>165</v>
      </c>
      <c r="C174" s="10" t="s">
        <v>22</v>
      </c>
      <c r="D174" s="11"/>
      <c r="E174" s="11"/>
      <c r="F174" s="12" t="s">
        <v>508</v>
      </c>
      <c r="G174" s="12" t="s">
        <v>509</v>
      </c>
      <c r="H174" s="13" t="s">
        <v>510</v>
      </c>
      <c r="I174" s="12"/>
      <c r="J174" s="12"/>
      <c r="K174" s="12"/>
      <c r="L174" s="12"/>
      <c r="M174" s="12"/>
      <c r="N174" s="14" t="s">
        <v>511</v>
      </c>
    </row>
    <row r="175" spans="2:14" x14ac:dyDescent="0.25">
      <c r="B175" s="9">
        <v>166</v>
      </c>
      <c r="C175" s="15" t="s">
        <v>29</v>
      </c>
      <c r="D175" s="11"/>
      <c r="E175" s="11"/>
      <c r="F175" s="11" t="s">
        <v>512</v>
      </c>
      <c r="G175" s="12" t="s">
        <v>513</v>
      </c>
      <c r="H175" s="13" t="s">
        <v>514</v>
      </c>
      <c r="I175" s="12"/>
      <c r="J175" s="12"/>
      <c r="K175" s="12"/>
      <c r="L175" s="12"/>
      <c r="M175" s="12"/>
      <c r="N175" s="14" t="s">
        <v>515</v>
      </c>
    </row>
    <row r="176" spans="2:14" x14ac:dyDescent="0.25">
      <c r="B176" s="9">
        <v>167</v>
      </c>
      <c r="C176" s="10" t="s">
        <v>22</v>
      </c>
      <c r="D176" s="11"/>
      <c r="E176" s="11"/>
      <c r="F176" s="11"/>
      <c r="G176" s="12" t="s">
        <v>516</v>
      </c>
      <c r="H176" s="13" t="s">
        <v>517</v>
      </c>
      <c r="I176" s="12"/>
      <c r="J176" s="12"/>
      <c r="K176" s="12"/>
      <c r="L176" s="12"/>
      <c r="M176" s="12"/>
      <c r="N176" s="14" t="s">
        <v>515</v>
      </c>
    </row>
    <row r="177" spans="2:14" x14ac:dyDescent="0.25">
      <c r="B177" s="9">
        <v>168</v>
      </c>
      <c r="C177" s="10" t="s">
        <v>22</v>
      </c>
      <c r="D177" s="11"/>
      <c r="E177" s="11" t="s">
        <v>518</v>
      </c>
      <c r="F177" s="12" t="s">
        <v>519</v>
      </c>
      <c r="G177" s="12" t="s">
        <v>520</v>
      </c>
      <c r="H177" s="13" t="s">
        <v>521</v>
      </c>
      <c r="I177" s="12"/>
      <c r="J177" s="12"/>
      <c r="K177" s="12"/>
      <c r="L177" s="12"/>
      <c r="M177" s="12"/>
      <c r="N177" s="14" t="s">
        <v>522</v>
      </c>
    </row>
    <row r="178" spans="2:14" x14ac:dyDescent="0.25">
      <c r="B178" s="9">
        <v>169</v>
      </c>
      <c r="C178" s="10" t="s">
        <v>22</v>
      </c>
      <c r="D178" s="11"/>
      <c r="E178" s="11"/>
      <c r="F178" s="11" t="s">
        <v>523</v>
      </c>
      <c r="G178" s="12" t="s">
        <v>524</v>
      </c>
      <c r="H178" s="13" t="s">
        <v>525</v>
      </c>
      <c r="I178" s="12"/>
      <c r="J178" s="12"/>
      <c r="K178" s="12"/>
      <c r="L178" s="12"/>
      <c r="M178" s="12"/>
      <c r="N178" s="14" t="s">
        <v>526</v>
      </c>
    </row>
    <row r="179" spans="2:14" x14ac:dyDescent="0.25">
      <c r="B179" s="9">
        <v>170</v>
      </c>
      <c r="C179" s="16" t="s">
        <v>43</v>
      </c>
      <c r="D179" s="11"/>
      <c r="E179" s="11"/>
      <c r="F179" s="11"/>
      <c r="G179" s="12" t="s">
        <v>527</v>
      </c>
      <c r="H179" s="13" t="s">
        <v>528</v>
      </c>
      <c r="I179" s="12"/>
      <c r="J179" s="12"/>
      <c r="K179" s="12"/>
      <c r="L179" s="12"/>
      <c r="M179" s="12"/>
      <c r="N179" s="14" t="s">
        <v>526</v>
      </c>
    </row>
  </sheetData>
  <mergeCells count="93">
    <mergeCell ref="D10:D24"/>
    <mergeCell ref="E10:E13"/>
    <mergeCell ref="F10:F11"/>
    <mergeCell ref="F12:F13"/>
    <mergeCell ref="E14:E20"/>
    <mergeCell ref="F14:F15"/>
    <mergeCell ref="F16:F17"/>
    <mergeCell ref="F19:F20"/>
    <mergeCell ref="E21:E24"/>
    <mergeCell ref="F21:F23"/>
    <mergeCell ref="D25:D40"/>
    <mergeCell ref="E25:E27"/>
    <mergeCell ref="F25:F26"/>
    <mergeCell ref="E28:E33"/>
    <mergeCell ref="F28:F29"/>
    <mergeCell ref="F30:F33"/>
    <mergeCell ref="E34:E39"/>
    <mergeCell ref="F34:F35"/>
    <mergeCell ref="F36:F37"/>
    <mergeCell ref="F38:F39"/>
    <mergeCell ref="D41:D47"/>
    <mergeCell ref="E41:E45"/>
    <mergeCell ref="F41:F44"/>
    <mergeCell ref="E46:E47"/>
    <mergeCell ref="D48:D55"/>
    <mergeCell ref="E49:E50"/>
    <mergeCell ref="E51:E54"/>
    <mergeCell ref="F51:F52"/>
    <mergeCell ref="F53:F54"/>
    <mergeCell ref="D56:D70"/>
    <mergeCell ref="E56:E57"/>
    <mergeCell ref="E58:E69"/>
    <mergeCell ref="F58:F59"/>
    <mergeCell ref="F60:F62"/>
    <mergeCell ref="F63:F66"/>
    <mergeCell ref="F67:F69"/>
    <mergeCell ref="D71:D82"/>
    <mergeCell ref="E72:E77"/>
    <mergeCell ref="F72:F73"/>
    <mergeCell ref="F74:F76"/>
    <mergeCell ref="E78:E79"/>
    <mergeCell ref="E80:E81"/>
    <mergeCell ref="D83:D89"/>
    <mergeCell ref="E84:E87"/>
    <mergeCell ref="F84:F86"/>
    <mergeCell ref="D90:D101"/>
    <mergeCell ref="E91:E93"/>
    <mergeCell ref="F91:F93"/>
    <mergeCell ref="E94:E95"/>
    <mergeCell ref="F94:F95"/>
    <mergeCell ref="E96:E99"/>
    <mergeCell ref="F96:F98"/>
    <mergeCell ref="D102:D113"/>
    <mergeCell ref="E103:E106"/>
    <mergeCell ref="F103:F105"/>
    <mergeCell ref="E107:E109"/>
    <mergeCell ref="F107:F109"/>
    <mergeCell ref="E110:E112"/>
    <mergeCell ref="F110:F111"/>
    <mergeCell ref="D114:D126"/>
    <mergeCell ref="E116:E119"/>
    <mergeCell ref="F116:F119"/>
    <mergeCell ref="E121:E124"/>
    <mergeCell ref="F121:F122"/>
    <mergeCell ref="F123:F124"/>
    <mergeCell ref="D127:D137"/>
    <mergeCell ref="E128:E131"/>
    <mergeCell ref="F128:F131"/>
    <mergeCell ref="E132:E133"/>
    <mergeCell ref="F132:F133"/>
    <mergeCell ref="E134:E136"/>
    <mergeCell ref="F134:F136"/>
    <mergeCell ref="D138:D179"/>
    <mergeCell ref="E138:E140"/>
    <mergeCell ref="F139:F140"/>
    <mergeCell ref="E141:E145"/>
    <mergeCell ref="F141:F142"/>
    <mergeCell ref="F144:F145"/>
    <mergeCell ref="E146:E148"/>
    <mergeCell ref="F146:F148"/>
    <mergeCell ref="E149:E156"/>
    <mergeCell ref="F149:F151"/>
    <mergeCell ref="F153:F156"/>
    <mergeCell ref="E157:E166"/>
    <mergeCell ref="F157:F159"/>
    <mergeCell ref="F160:F161"/>
    <mergeCell ref="F162:F166"/>
    <mergeCell ref="E167:E176"/>
    <mergeCell ref="F168:F169"/>
    <mergeCell ref="F170:F173"/>
    <mergeCell ref="F175:F176"/>
    <mergeCell ref="E177:E179"/>
    <mergeCell ref="F178:F179"/>
  </mergeCells>
  <dataValidations count="1">
    <dataValidation type="list" allowBlank="1" showErrorMessage="1" errorTitle="잘못된 값" error="Pass, Fail, N/T, Block 중 하나를 선택하세요." sqref="I10:J17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비용 테스트2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2026-05-21T09:38:00Z</dcterms:created>
  <dcterms:modified xsi:type="dcterms:W3CDTF">2026-05-21T09:38:00Z</dcterms:modified>
</cp:coreProperties>
</file>