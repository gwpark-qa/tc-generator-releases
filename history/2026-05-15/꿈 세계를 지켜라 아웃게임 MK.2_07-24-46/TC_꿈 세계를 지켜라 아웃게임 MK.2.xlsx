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꿈 세계를 지켜라 아웃게임 MK.2" state="visible" r:id="rId4"/>
  </sheets>
  <calcPr calcId="171027"/>
</workbook>
</file>

<file path=xl/sharedStrings.xml><?xml version="1.0" encoding="utf-8"?>
<sst xmlns="http://schemas.openxmlformats.org/spreadsheetml/2006/main" count="882" uniqueCount="521">
  <si>
    <t>(C)꿈 세계를 지켜라 아웃게임 MK.2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</si>
  <si>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</si>
  <si>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</si>
  <si>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</si>
  <si>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</si>
  <si>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</si>
  <si>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</si>
  <si>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</si>
  <si>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</si>
  <si>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</si>
  <si>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</si>
  <si>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</si>
  <si>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</si>
  <si>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</si>
  <si>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</si>
  <si>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</si>
  <si>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</si>
  <si>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</si>
  <si>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</si>
  <si>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</si>
  <si>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</si>
  <si>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</si>
  <si>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</si>
  <si>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이벤트 진입</t>
  </si>
  <si>
    <t>모드리스트</t>
  </si>
  <si>
    <t>노출 조건</t>
  </si>
  <si>
    <t>이벤트 시작 시 노출</t>
  </si>
  <si>
    <t>이벤트 starttime 도래 시, 모드리스트 내 '이벤트' 탭 하위에 이벤트 모드가 노출된다.</t>
  </si>
  <si>
    <t>기획서 2. 이벤트 시작/종료 처리</t>
  </si>
  <si>
    <t>이벤트 종료 시 제거</t>
  </si>
  <si>
    <t>이벤트 endtime 도래 시, 모드리스트에서 이벤트 모드 이미지가 제거된다.</t>
  </si>
  <si>
    <t>Normal</t>
  </si>
  <si>
    <t>알림 표기</t>
  </si>
  <si>
    <t>NEW 배지</t>
  </si>
  <si>
    <t>이벤트 모드리스트 첫 노출 시, 이벤트 모드 타이틀에 NEW 배지가 출력된다.</t>
  </si>
  <si>
    <t>기획서 모드리스트 NEW</t>
  </si>
  <si>
    <t>느낌표닷</t>
  </si>
  <si>
    <t>이벤트 시작 시, 모드리스트의 이벤트 모드 타이틀에 느낌표닷이 출력된다.</t>
  </si>
  <si>
    <t>기획서 레드닷 알림 노출 조건</t>
  </si>
  <si>
    <t>레드닷</t>
  </si>
  <si>
    <t>수령 가능한 이벤트 보상 보유 시, 모드리스트의 이벤트 모드 타이틀에 레드닷이 출력된다.</t>
  </si>
  <si>
    <t>상자 슬롯 진행도</t>
  </si>
  <si>
    <t>보유 상자 없음</t>
  </si>
  <si>
    <t>보유한 상자가 없을 시, 모드리스트의 상자 슬롯이 '상자 없음' 상태로 표기된다.</t>
  </si>
  <si>
    <t>기획서 상자 슬롯 진행도</t>
  </si>
  <si>
    <t>여는 중</t>
  </si>
  <si>
    <t>슬롯에 상자가 장착되어 정화 진행 중인 경우, 모드리스트의 상자 슬롯에 상자 남은 시간이 표기된다.</t>
  </si>
  <si>
    <t>열림 가능</t>
  </si>
  <si>
    <t>모든 보상을 받을 수 있는 슬롯이 있을 시, 모드리스트의 상자 슬롯에 강조색 및 레드닷이 표기된다.</t>
  </si>
  <si>
    <t>화면 전환</t>
  </si>
  <si>
    <t>플레이 로비 진입</t>
  </si>
  <si>
    <t>모드리스트에서 이벤트 모드 타이틀 터치 시, 이벤트 모드의 플레이 로비로 진입된다.</t>
  </si>
  <si>
    <t>기획서 진입 경로</t>
  </si>
  <si>
    <t>Critical</t>
  </si>
  <si>
    <t>예외 처리</t>
  </si>
  <si>
    <t>이벤트 종료 처리</t>
  </si>
  <si>
    <t>대기 중 강제 이동</t>
  </si>
  <si>
    <t>이벤트 종료 시점에 이벤트 모드 내에서 대기 중일 시, 기차 로비로 강제 이동된다.</t>
  </si>
  <si>
    <t>기획서 이벤트 종료 처리</t>
  </si>
  <si>
    <t>매칭 중 강제 종료</t>
  </si>
  <si>
    <t>이벤트 종료 시점에 매칭 중일 시, 매칭이 취소되고 기차 로비로 강제 이동된다.</t>
  </si>
  <si>
    <t>기획서 매칭 중 이벤트 종료</t>
  </si>
  <si>
    <t>인게임 중 정상 완료</t>
  </si>
  <si>
    <t>매칭 완료 후 인게임 플레이 중 이벤트 기간이 종료될 시, 해당 판은 종료까지 진행 후 결과 처리된다.</t>
  </si>
  <si>
    <t>기획서 인게임 중 이벤트 종료</t>
  </si>
  <si>
    <t>토스트 메시지 출력</t>
  </si>
  <si>
    <t>이벤트 종료로 기차 로비로 강제 이동될 시, '이벤트가 종료되어 기차 로비로 이동합니다' 토스트 메시지가 출력된다.</t>
  </si>
  <si>
    <t>미수령 보상 처리</t>
  </si>
  <si>
    <t>우편 지급</t>
  </si>
  <si>
    <t>이벤트 종료 시점에 미수령 보상이 있을 시, 해당 보상이 유저 메일로 지급된다.</t>
  </si>
  <si>
    <t>기획서 미수령 보상 처리</t>
  </si>
  <si>
    <t>플레이 로비</t>
  </si>
  <si>
    <t>타이틀 영역</t>
  </si>
  <si>
    <t>이벤트 타이틀</t>
  </si>
  <si>
    <t>플레이 로비 진입 시, 상단에 이벤트 모드 타이틀이 출력된다.</t>
  </si>
  <si>
    <t>기획서 6. 플레이 로비 화면</t>
  </si>
  <si>
    <t>시즌 정보</t>
  </si>
  <si>
    <t>플레이 로비에서 현재 시즌 정보(시즌 N) 및 시즌별 서브 타이틀이 출력된다.</t>
  </si>
  <si>
    <t>기획서 모드리스트 UI</t>
  </si>
  <si>
    <t>타임바</t>
  </si>
  <si>
    <t>남은 시간 표기</t>
  </si>
  <si>
    <t>플레이 로비 상단 타임바에 이벤트 종료까지 남은 시간이 2단위로 표기된다.</t>
  </si>
  <si>
    <t>기획서 타임바</t>
  </si>
  <si>
    <t>1일 이하 빨간색 표기</t>
  </si>
  <si>
    <t>이벤트 종료까지 남은 시간이 1일 이하일 시, 타임바가 빨간색으로 표기된다.</t>
  </si>
  <si>
    <t>유저 정보 영역</t>
  </si>
  <si>
    <t>쿠키 모델링</t>
  </si>
  <si>
    <t>플레이 로비에서 각 유저가 선택한 쿠키의 모델링이 출력된다.</t>
  </si>
  <si>
    <t>기획서 유저 정보</t>
  </si>
  <si>
    <t>idle 애니메이션 재생</t>
  </si>
  <si>
    <t>플레이 로비에 표시된 쿠키 모델링은 idle 애니메이션이 재생된다.</t>
  </si>
  <si>
    <t>기획서 쿠키 표시 규칙</t>
  </si>
  <si>
    <t>칭호/닉네임/길드명</t>
  </si>
  <si>
    <t>플레이 로비에서 각 유저의 칭호, 닉네임, 길드명이 출력된다.</t>
  </si>
  <si>
    <t>유저 상태</t>
  </si>
  <si>
    <t>준비 중 표시</t>
  </si>
  <si>
    <t>PLAY 버튼을 누르기 전의 유저는 '준비 중' 상태로 표시된다.</t>
  </si>
  <si>
    <t>기획서 상태 정보</t>
  </si>
  <si>
    <t>READY 표시</t>
  </si>
  <si>
    <t>PLAY 버튼을 누른 유저는 'READY' 상태로 강조색과 함께 표시된다.</t>
  </si>
  <si>
    <t>쿠키 설정 중 표시</t>
  </si>
  <si>
    <t>쿠키 선택 화면에 있는 유저는 '쿠키 설정 중' 상태로 표시된다.</t>
  </si>
  <si>
    <t>기능 버튼</t>
  </si>
  <si>
    <t>가이드북 버튼</t>
  </si>
  <si>
    <t>플레이 로비에서 가이드북 버튼 터치 시, 가이드북 화면으로 전환된다.</t>
  </si>
  <si>
    <t>기획서 13. 가이드북</t>
  </si>
  <si>
    <t>랭킹 버튼</t>
  </si>
  <si>
    <t>플레이 로비에서 랭킹 버튼 터치 시, 랭킹장 화면으로 전환된다.</t>
  </si>
  <si>
    <t>기획서 9. 랭킹장</t>
  </si>
  <si>
    <t>도감 버튼</t>
  </si>
  <si>
    <t>플레이 로비에서 도감 버튼 터치 시, 도감 화면으로 전환된다.</t>
  </si>
  <si>
    <t>기획서 10. 도감</t>
  </si>
  <si>
    <t>채팅 버튼</t>
  </si>
  <si>
    <t>플레이 로비에서 채팅 버튼 터치 시, 채팅 화면이 출력된다.</t>
  </si>
  <si>
    <t>기획서 플레이 로비</t>
  </si>
  <si>
    <t>PLAY 버튼/매칭</t>
  </si>
  <si>
    <t>매칭 전 상태</t>
  </si>
  <si>
    <t>PLAY 버튼 표기</t>
  </si>
  <si>
    <t>매칭 전 상태일 시, 하단에 'PLAY' 버튼이 출력된다.</t>
  </si>
  <si>
    <t>기획서 플레이 버튼</t>
  </si>
  <si>
    <t>전원 PLAY 미선택 시 매칭 차단</t>
  </si>
  <si>
    <t>파티 내 모든 유저가 PLAY 버튼을 누르지 않을 시, 매칭이 시작되지 않는다.</t>
  </si>
  <si>
    <t>기획서 매칭 규칙</t>
  </si>
  <si>
    <t>매칭 중 상태</t>
  </si>
  <si>
    <t>매칭 진행 시간 표기</t>
  </si>
  <si>
    <t>매칭 중일 시, PLAY 버튼 영역에 '매칭 중...' 텍스트와 매칭 진행 시간(mm:ss)이 출력된다.</t>
  </si>
  <si>
    <t>기획서 플레이 버튼 매칭 중</t>
  </si>
  <si>
    <t>매칭 유저 시각 표시</t>
  </si>
  <si>
    <t>매칭 중일 시, 매칭된 유저의 슬롯이 강조색으로 표시된다.</t>
  </si>
  <si>
    <t>매칭 취소 버튼</t>
  </si>
  <si>
    <t>매칭 중 우측 X 버튼 터치 시, 매칭이 취소되고 매칭 전 상태로 전환된다.</t>
  </si>
  <si>
    <t>기획서 매칭 취소 버튼</t>
  </si>
  <si>
    <t>매칭 완료 상태</t>
  </si>
  <si>
    <t>인게임 이동</t>
  </si>
  <si>
    <t>3명의 유저가 모두 매칭될 시, 매칭 완료 상태로 표시되고 인게임 로딩 화면으로 전환된다.</t>
  </si>
  <si>
    <t>기획서 매칭 완료</t>
  </si>
  <si>
    <t>3인 파티 매칭</t>
  </si>
  <si>
    <t>매칭 단계 스킵</t>
  </si>
  <si>
    <t>3명이 파티를 이루어 PLAY 시, 매칭 단계를 건너뛰고 바로 인게임 로딩 화면으로 전환된다.</t>
  </si>
  <si>
    <t>매칭 lock 처리</t>
  </si>
  <si>
    <t>종료 30분 전 매칭 차단</t>
  </si>
  <si>
    <t>이벤트 종료 30분 전 시점부터, 신규 매칭이 차단된다.</t>
  </si>
  <si>
    <t>기획서 매칭 lock</t>
  </si>
  <si>
    <t>파티 초대</t>
  </si>
  <si>
    <t>파티 초대 진입</t>
  </si>
  <si>
    <t>플레이 로비에서 파티 초대 버튼 터치 시, 파티 초대 팝업이 출력된다.</t>
  </si>
  <si>
    <t>기획서 파티 초대</t>
  </si>
  <si>
    <t>친구 탭</t>
  </si>
  <si>
    <t>친구 초대</t>
  </si>
  <si>
    <t>파티 초대 팝업의 친구 탭에서 친구 선택 후 초대 시, 해당 친구에게 파티 초대가 발송된다.</t>
  </si>
  <si>
    <t>기획서 파티 초대 방식</t>
  </si>
  <si>
    <t>내 길드 탭</t>
  </si>
  <si>
    <t>길드원 초대</t>
  </si>
  <si>
    <t>파티 초대 팝업의 내 길드 탭에서 길드원 선택 후 초대 시, 해당 길드원에게 파티 초대가 발송된다.</t>
  </si>
  <si>
    <t>최근 함께한 유저 탭</t>
  </si>
  <si>
    <t>유저 초대</t>
  </si>
  <si>
    <t>파티 초대 팝업의 최근 함께한 유저 탭에서 유저 선택 후 초대 시, 해당 유저에게 파티 초대가 발송된다.</t>
  </si>
  <si>
    <t>ID로 참가</t>
  </si>
  <si>
    <t>파티 ID 생성</t>
  </si>
  <si>
    <t>파티 생성 시, 임의의 플레이어에게 공유 가능한 파티 ID가 생성된다.</t>
  </si>
  <si>
    <t>ID 입력 참가</t>
  </si>
  <si>
    <t>파티 ID 입력 후 참가 시, 해당 파티에 입장된다.</t>
  </si>
  <si>
    <t>파티 변동</t>
  </si>
  <si>
    <t>인원 변경 시 레디 취소</t>
  </si>
  <si>
    <t>파티 조합 및 구성원 변경 시, 모든 파티원의 레디 상태가 자동으로 취소된다.</t>
  </si>
  <si>
    <t>기획서 준비 규칙</t>
  </si>
  <si>
    <t>초대 거절 처리</t>
  </si>
  <si>
    <t>초대받은 플레이어가 거절 시, 파티 초대가 취소된다.</t>
  </si>
  <si>
    <t>기획서 예외 규칙</t>
  </si>
  <si>
    <t>쿠키 선택</t>
  </si>
  <si>
    <t>쿠키 리스트 화면</t>
  </si>
  <si>
    <t>좌측 쿠키 정보</t>
  </si>
  <si>
    <t>쿠키 선택 화면 좌측 영역에 현재 선택된 쿠키의 모델링이 출력된다.</t>
  </si>
  <si>
    <t>기획서 7. 쿠키 선택 화면</t>
  </si>
  <si>
    <t>타입/성급/레벨 출력</t>
  </si>
  <si>
    <t>쿠키 선택 화면 좌측 영역에 선택된 쿠키의 타입, 성급, 레벨 정보가 출력된다.</t>
  </si>
  <si>
    <t>자세히 보기 버튼</t>
  </si>
  <si>
    <t>쿠키 선택 화면에서 자세히 보기 버튼 터치 시, 쿠키 정보창 팝업이 출력된다.</t>
  </si>
  <si>
    <t>기획서 자세히 보기 화면</t>
  </si>
  <si>
    <t>우측 쿠키 리스트</t>
  </si>
  <si>
    <t>스틸 버튼</t>
  </si>
  <si>
    <t>쿠키 선택 화면 우측 리스트의 쿠키 스틸 버튼 터치 시, 사용할 쿠키가 변경된다.</t>
  </si>
  <si>
    <t>기획서 쿠키 리스트</t>
  </si>
  <si>
    <t>성급/레벨/타입 출력</t>
  </si>
  <si>
    <t>쿠키 선택 화면 우측 리스트에 각 쿠키의 성급, 레벨, 타입이 출력된다.</t>
  </si>
  <si>
    <t>자세히 보기 팝업</t>
  </si>
  <si>
    <t>쿠키 정보 출력</t>
  </si>
  <si>
    <t>자세히 보기 팝업에서 쿠키 체험하기와 동일한 쿠키 상세 정보가 출력된다.</t>
  </si>
  <si>
    <t>무작위 픽</t>
  </si>
  <si>
    <t>최상단 정렬</t>
  </si>
  <si>
    <t>쿠키 선택 리스트에서 무작위 픽 항목이 최상단에 정렬되어 출력된다.</t>
  </si>
  <si>
    <t>기획서 무작위 픽</t>
  </si>
  <si>
    <t>히든 쿠키 안내 툴팁</t>
  </si>
  <si>
    <t>무작위 픽 항목의 태그 또는 인포 버튼 터치 시, 낮은 확률로 히든 쿠키가 등장한다는 툴팁이 출력된다.</t>
  </si>
  <si>
    <t>다른 유저 선택 쿠키 제외</t>
  </si>
  <si>
    <t>무작위 픽 결과는 보유 쿠키 중 다른 유저가 선택하지 않은 쿠키에서 랜덤하게 선택된다.</t>
  </si>
  <si>
    <t>선택 완료 후 공개</t>
  </si>
  <si>
    <t>무작위 픽 사용 시, 모든 유저의 선택 단계 종료 후 선택된 쿠키가 공개된다.</t>
  </si>
  <si>
    <t>플레이 로비 복귀</t>
  </si>
  <si>
    <t>쿠키 선택 화면에서 뒤로가기 시, 플레이 로비 화면으로 전환된다.</t>
  </si>
  <si>
    <t>쿠키 선택 완료 시, 플레이 로비 화면으로 전환된다.</t>
  </si>
  <si>
    <t>유실물 센터</t>
  </si>
  <si>
    <t>슬롯 영역</t>
  </si>
  <si>
    <t>수령 가능 슬롯</t>
  </si>
  <si>
    <t>레드닷 표기</t>
  </si>
  <si>
    <t>슬롯의 타이머가 완료되어 수령 가능 상태일 시, 해당 슬롯에 레드닷이 표기된다.</t>
  </si>
  <si>
    <t>기획서 슬롯 (1) 수령 가능</t>
  </si>
  <si>
    <t>보상 랜덤 1개 획득</t>
  </si>
  <si>
    <t>수령 가능 슬롯 터치 시, 보상 리스트 중 1개의 보상이 랜덤으로 지급된다.</t>
  </si>
  <si>
    <t>진행 중 슬롯</t>
  </si>
  <si>
    <t>상자 아이콘 출력</t>
  </si>
  <si>
    <t>슬롯에 상자가 장착되어 진행 중일 시, 해당 슬롯에 상자 아이콘이 레어리티별 배경과 함께 출력된다.</t>
  </si>
  <si>
    <t>기획서 슬롯 (2) 진행중</t>
  </si>
  <si>
    <t>진행 중인 슬롯에 상자 오픈까지 남은 시간이 표기된다.</t>
  </si>
  <si>
    <t>슬롯 장착 해제 차단</t>
  </si>
  <si>
    <t>슬롯에 한번 장착된 상자는, 정화 완료 전까지 장착 해제가 차단된다.</t>
  </si>
  <si>
    <t>기획서 슬롯 장착 규칙</t>
  </si>
  <si>
    <t>빈 슬롯</t>
  </si>
  <si>
    <t>노란닷 표기</t>
  </si>
  <si>
    <t>상자가 장착되지 않은 빈 슬롯에 느낌표닷이 표기된다.</t>
  </si>
  <si>
    <t>기획서 슬롯 (3) 빈 슬롯</t>
  </si>
  <si>
    <t>상자 선택 팝업 진입</t>
  </si>
  <si>
    <t>빈 슬롯 터치 시, 상자 선택 팝업이 출력된다.</t>
  </si>
  <si>
    <t>상자 선택 팝업</t>
  </si>
  <si>
    <t>상자 리스트</t>
  </si>
  <si>
    <t>상자별 보유 개수 표기</t>
  </si>
  <si>
    <t>상자 선택 팝업의 상자 리스트에 각 상자별 보유 개수가 표기된다.</t>
  </si>
  <si>
    <t>기획서 상자 리스트</t>
  </si>
  <si>
    <t>미보유 표기</t>
  </si>
  <si>
    <t>상자 보유 개수가 0인 경우, 해당 상자가 미보유로 표기된다.</t>
  </si>
  <si>
    <t>선택 시 강조색 테두리</t>
  </si>
  <si>
    <t>상자 리스트에서 상자 선택 시, 해당 상자에 강조색 테두리가 표시된다.</t>
  </si>
  <si>
    <t>선택하기 버튼</t>
  </si>
  <si>
    <t>버튼 활성화/비활성화</t>
  </si>
  <si>
    <t>상자 리스트에서 상자 선택 시, 하단의 선택하기 버튼이 활성화된다.</t>
  </si>
  <si>
    <t>슬롯 장착 처리</t>
  </si>
  <si>
    <t>상자 선택 팝업에서 선택하기 버튼 터치 시, 선택된 상자가 슬롯에 장착되고 정화 타이머가 시작된다.</t>
  </si>
  <si>
    <t>상세 확률 팝업</t>
  </si>
  <si>
    <t>보상 리스트 확률 탭</t>
  </si>
  <si>
    <t>상자 선택 팝업의 상세 확률 버튼 터치 후 보상 리스트 확률 탭 진입 시, 현재 남은 보상들의 확률이 노출된다.</t>
  </si>
  <si>
    <t>기획서 상세 확률 팝업</t>
  </si>
  <si>
    <t>대체 보상 확률 탭</t>
  </si>
  <si>
    <t>상세 확률 팝업의 대체 보상 확률 탭 진입 시, 대체 보상의 개별 확률이 노출된다.</t>
  </si>
  <si>
    <t>시간 단축권 사용 팝업</t>
  </si>
  <si>
    <t>좌측 상자 정보</t>
  </si>
  <si>
    <t>상자 이미지 출력</t>
  </si>
  <si>
    <t>시간 단축권 사용 팝업의 좌측에 선택한 상자의 이미지가 출력된다.</t>
  </si>
  <si>
    <t>기획서 시간 단축권 사용 팝업</t>
  </si>
  <si>
    <t>남은 시간 프로그레스</t>
  </si>
  <si>
    <t>시간 단축권 사용 팝업의 좌측에 상자 남은 시간 프로그레스바가 진행한 시간/총 필요 시간 형태로 표기된다.</t>
  </si>
  <si>
    <t>우측 사용권 정보</t>
  </si>
  <si>
    <t>시간 단축권 사용 팝업��� 우측에 사용권 아이템 이름과 디스크립션이 출력된다.</t>
  </si>
  <si>
    <t>토글바</t>
  </si>
  <si>
    <t>사용 수량 조정</t>
  </si>
  <si>
    <t>시간 단축권 사용 팝업의 토글바 조작 시, 사용 횟수가 조정된다.</t>
  </si>
  <si>
    <t>기획서 토글바</t>
  </si>
  <si>
    <t>필요 수량 초과 제한</t>
  </si>
  <si>
    <t>시간 단축권 사용 팝업의 토글바에서 상자 남은 시간 이상의 사용 수량이 선택되지 않는다.</t>
  </si>
  <si>
    <t>MAX 버튼</t>
  </si>
  <si>
    <t>시간 단축권 사용 팝업의 MAX 버튼 터치 시, 사용 가능한 최대치가 자동으로 선택된다.</t>
  </si>
  <si>
    <t>사용하기 버튼</t>
  </si>
  <si>
    <t>남은 시간 차감</t>
  </si>
  <si>
    <t>시간 단축권 사용 팝업의 사용하기 버튼 터치 시, 시간 단축권이 차감되고 상자 오픈 남은 시간이 감소된다.</t>
  </si>
  <si>
    <t>기획서 사용하기 버튼</t>
  </si>
  <si>
    <t>보상 획득 연출</t>
  </si>
  <si>
    <t>상자 오픈 연출</t>
  </si>
  <si>
    <t>수령 가능 슬롯 터치 시, 상자가 페이드 아웃되는 오픈 연출이 재생된다.</t>
  </si>
  <si>
    <t>기획서 보상 획득 연출</t>
  </si>
  <si>
    <t>보상 팝업 노출</t>
  </si>
  <si>
    <t>상자 오픈 연출 종료 후, 획득한 보상 팝업이 출력된다.</t>
  </si>
  <si>
    <t>푸시 알람 발송</t>
  </si>
  <si>
    <t>슬롯의 상자 정화 완료 시, 푸시 알람이 발송된다.</t>
  </si>
  <si>
    <t>기획서 보상 시스템</t>
  </si>
  <si>
    <t>유실물 게시판</t>
  </si>
  <si>
    <t>타이틀/마일스톤 진행도</t>
  </si>
  <si>
    <t>유실물 게시판 진입 시, 타이틀과 유실물 획득 마일스톤 진행도(획득량/다음 마일스톤 보상량)가 표기된다.</t>
  </si>
  <si>
    <t>기획서 9. 유실물 리스트 팝업</t>
  </si>
  <si>
    <t>보상 리스트</t>
  </si>
  <si>
    <t>정렬 규칙</t>
  </si>
  <si>
    <t>유실물 게시판의 보상 리스트가 레어리티 내림차순으로 정렬되며, 같은 아이템일 경우 개수 내림차순으로 정렬된다.</t>
  </si>
  <si>
    <t>기획서 유실물 리스트</t>
  </si>
  <si>
    <t>획득량 프로그레스</t>
  </si>
  <si>
    <t>유실물 게시판의 각 보상 아이템 하단에 획득량 프로그레스(획득한 보상량/총 제공량)가 표시된다.</t>
  </si>
  <si>
    <t>수령 완료 표시</t>
  </si>
  <si>
    <t>유실물 게시판의 보상 리스트에서 수령 완료된 아이템은 완료 마크와 함께 딤드 처리된다.</t>
  </si>
  <si>
    <t>아이템 툴팁</t>
  </si>
  <si>
    <t>유실물 게시판의 보상 아이템 터치 시, 해당 아이템의 툴팁이 출력된다.</t>
  </si>
  <si>
    <t>마일스톤 영역</t>
  </si>
  <si>
    <t>마일스톤 포인트 표기</t>
  </si>
  <si>
    <t>유실물 게시판의 마일스톤 프로그레스 바 위에 각 마일스톤 포인트와 보상이 말풍선으로 표기된다.</t>
  </si>
  <si>
    <t>기획서 마일스톤</t>
  </si>
  <si>
    <t>좌우 스크롤</t>
  </si>
  <si>
    <t>유실물 게시판의 마일스톤 영역이 좌우 스크롤로 탐색된다.</t>
  </si>
  <si>
    <t>수령 가능 레드닷</t>
  </si>
  <si>
    <t>마일스톤 영역에서 수령 가능한 보상이 있을 시, 해당 영역에 레드닷이 표기된다.</t>
  </si>
  <si>
    <t>한번에 받기</t>
  </si>
  <si>
    <t>마일스톤 영역의 한번에 받기 터치 시, 수령 가능한 모든 보상이 한번에 지급된다.</t>
  </si>
  <si>
    <t>대체 보상 리스트</t>
  </si>
  <si>
    <t>모든 보상 수령 완료 시 전환</t>
  </si>
  <si>
    <t>유실물 리스트의 모든 보상을 수령 완료한 유저에게 대체 보상 리스트가 노출된다.</t>
  </si>
  <si>
    <t>기획서 대체 보상 리스트</t>
  </si>
  <si>
    <t>주간 스탬프</t>
  </si>
  <si>
    <t>진행도 UI</t>
  </si>
  <si>
    <t>미완료 보상 표시</t>
  </si>
  <si>
    <t>주간 스탬프에서 아직 달성되지 않은 보상은 딤드 처리되어 표시된다.</t>
  </si>
  <si>
    <t>기획서 11. 주간 미션</t>
  </si>
  <si>
    <t>완료 보상 표시</t>
  </si>
  <si>
    <t>주간 스탬프에서 달성 완료된 보상은 완료 상태로 표시된다.</t>
  </si>
  <si>
    <t>주간 스탬프에 수령 가능한 보상이 있을 시, 햄버거 메뉴 또는 진입점에 레드닷이 표기된다.</t>
  </si>
  <si>
    <t>주간 스탬프 팝업</t>
  </si>
  <si>
    <t>팝업 진입</t>
  </si>
  <si>
    <t>주간 스탬프 버튼 터치 시, 주간 스탬프 팝업이 출력된다.</t>
  </si>
  <si>
    <t>진행도 확인</t>
  </si>
  <si>
    <t>주간 스탬프 팝업에서 현재 주간 미션 진행도와 남은 시간이 출력된다.</t>
  </si>
  <si>
    <t>보상 수령</t>
  </si>
  <si>
    <t>주간 스탬프 팝업에서 달성된 보상 영역 터치 시, 해당 보상이 지급된다.</t>
  </si>
  <si>
    <t>초기화 처리</t>
  </si>
  <si>
    <t>매주 수요일 9:00 초기화</t>
  </si>
  <si>
    <t>매주 수요일 09:00 KST 시점에 주간 스탬프 수집 현황이 초기화된다.</t>
  </si>
  <si>
    <t>도감</t>
  </si>
  <si>
    <t>쿠키 도감</t>
  </si>
  <si>
    <t>쿠키 패널</t>
  </si>
  <si>
    <t>잠금 해제 쿠키</t>
  </si>
  <si>
    <t>잠금 해제된 쿠키는 도감의 쿠키 패널에 컬러 이미지로 표시된다.</t>
  </si>
  <si>
    <t>기획서 쿠키 도감</t>
  </si>
  <si>
    <t>잠금 쿠키</t>
  </si>
  <si>
    <t>해금되지 않은 쿠키는 도감의 쿠키 패널에 채도 빠진 회색 이미지와 잠금 아이콘이 표기된다.</t>
  </si>
  <si>
    <t>선택된 쿠키 강조</t>
  </si>
  <si>
    <t>도감에서 현재 선택된 쿠키의 패널에 강조색 테두리가 표시된다.</t>
  </si>
  <si>
    <t>미션 달성 아이콘</t>
  </si>
  <si>
    <t>쿠키 미션을 달성한 쿠키의 프로필에 별도의 미션 달성 아이콘이 표시된다.</t>
  </si>
  <si>
    <t>정보 미확인 느낌표닷</t>
  </si>
  <si>
    <t>해금 후 정보를 확인하지 않은 쿠키 패널에 느낌표닷이 표기되며, 탭하여 정보 확인 시 느낌표닷이 제거된다.</t>
  </si>
  <si>
    <t>정보 패널</t>
  </si>
  <si>
    <t>해금 쿠키 정보 출력</t>
  </si>
  <si>
    <t>잠금 해제된 쿠키 선택 시, 정보 패널에 쿠키 이름과 도전 미션 달성 여부가 출력된다.</t>
  </si>
  <si>
    <t>기획서 쿠키 도감 정보 패널</t>
  </si>
  <si>
    <t>잠금 쿠키 해금 조건 출력</t>
  </si>
  <si>
    <t>잠금 쿠키 선택 시, 정보 패널에 해금 조건과 해금까지 남은 진행도(진행량/요구량)가 출력된다.</t>
  </si>
  <si>
    <t>쿠키 도감 정보 패널의 자세히 보기 버튼 터치 시, 쿠키 상세 정보가 출력된다.</t>
  </si>
  <si>
    <t>쿠키 미션 달성도</t>
  </si>
  <si>
    <t>진행 중 표시</t>
  </si>
  <si>
    <t>쿠키 미션 달성도에서 아직 달성도를 만족하지 못한 구간은 진행 중 상태로 표시된다.</t>
  </si>
  <si>
    <t>기획서 도감 달성도</t>
  </si>
  <si>
    <t>수령 가능 표시</t>
  </si>
  <si>
    <t>쿠키 미션 달성도에서 보상 수령 가능 구간은 강조색과 레드닷으로 표시되며, 터치 시 보상이 지급된다.</t>
  </si>
  <si>
    <t>쿠키 미션 달성도에서 보상 수령이 완료된 구간은 딤 처리되고 완료 마크가 표시된다.</t>
  </si>
  <si>
    <t>드래프트 도감</t>
  </si>
  <si>
    <t>드래프트 패널</t>
  </si>
  <si>
    <t>사용한 적 있는 드래프트</t>
  </si>
  <si>
    <t>인게임에서 사용한 적 있는 드래프트는 도감에 컬러 이미지로 출력된다.</t>
  </si>
  <si>
    <t>기획서 드래프트 도감</t>
  </si>
  <si>
    <t>사용한 적 없는 드래프트</t>
  </si>
  <si>
    <t>인게임에서 사용한 적 없는 드래프트는 도감에 ???로 표시된다.</t>
  </si>
  <si>
    <t>히든 드래프트</t>
  </si>
  <si>
    <t>사용한 적 없는 히든 드래프트는 이미지가 숨김 처리되고 ???로 표시된다.</t>
  </si>
  <si>
    <t>선택된 드래프트 강조</t>
  </si>
  <si>
    <t>도감에서 현재 선택된 드래프트 패널에 강조색 테두리가 표시된다.</t>
  </si>
  <si>
    <t>드래프트 상세 출력</t>
  </si>
  <si>
    <t>드래프트 패널 선택 시, 정보 패널에 해당 드래프트의 상세 정보가 출력된다.</t>
  </si>
  <si>
    <t>드래프트 미션 달성도</t>
  </si>
  <si>
    <t>드래프트 미션 달성도에서 사용해본 드래프트 수에 따라 달성 보상이 지급된다.</t>
  </si>
  <si>
    <t>기획서 드래프트 미션 달성도</t>
  </si>
  <si>
    <t>신규 항목 알림</t>
  </si>
  <si>
    <t>토스트 노출</t>
  </si>
  <si>
    <t>신규 달성한 수집 요소가 있을 시, 각 도감 요소에 느낌표닷이 표기된다.</t>
  </si>
  <si>
    <t>기획서 도감 주요 기능</t>
  </si>
  <si>
    <t>시즌 초기화</t>
  </si>
  <si>
    <t>이벤트 시즌 변경 시, 도감의 모든 수집 정보가 초기화된다.</t>
  </si>
  <si>
    <t>가이드북</t>
  </si>
  <si>
    <t>이벤트 타이틀 모드 탭</t>
  </si>
  <si>
    <t>가이드북의 이벤트 타이틀 모드 탭 진입 시, 이벤트 모드 관련 상세 내용이 출력된다.</t>
  </si>
  <si>
    <t>라운드 규칙 탭</t>
  </si>
  <si>
    <t>가이드북의 라운드 규칙 탭 진입 시, 난이도별 규칙 상세 내용이 출력된다.</t>
  </si>
  <si>
    <t>보상 상자 탭</t>
  </si>
  <si>
    <t>가이드북의 보상 상자 탭 진입 시, 보상 상자 획득 방법과 종류/확률 및 단축권 사용 방법이 출력된다.</t>
  </si>
  <si>
    <t>가이드북의 보상 상자 탭에서 단축권 획득 방법과 사용 방법이 안내된다.</t>
  </si>
  <si>
    <t>랭킹</t>
  </si>
  <si>
    <t>랭킹 탭</t>
  </si>
  <si>
    <t>리더보드 리스트</t>
  </si>
  <si>
    <t>상위 1000위 노출</t>
  </si>
  <si>
    <t>랭킹 탭 진입 시, 상위 1000위까지의 유저 리스트가 내림차순으로 노출된다.</t>
  </si>
  <si>
    <t>상위 10위 노란색 강조</t>
  </si>
  <si>
    <t>랭킹 리스트의 상위 10위 유저는 노란색 강조색으��� 표시된다.</t>
  </si>
  <si>
    <t>기획서 랭킹 리스트</t>
  </si>
  <si>
    <t>본인 초록색 강조</t>
  </si>
  <si>
    <t>랭킹 리스트에서 본인의 행은 초록색 강조색으로 표시된다.</t>
  </si>
  <si>
    <t>본인 100위 이상 표기</t>
  </si>
  <si>
    <t>본인이 1000위 이상인 경우, 순위 정보 대신 위치 비율(nn.n%)이 표기된다.</t>
  </si>
  <si>
    <t>무기록자 텍스트 노출</t>
  </si>
  <si>
    <t>본인의 기록이 없는 경우, 순위 정보 대신 '(이벤트 모드명)에 참여하여 점수를 획득하세요!' 텍스트가 출력된다.</t>
  </si>
  <si>
    <t>본인 정보 영역</t>
  </si>
  <si>
    <t>기록 없음 표기</t>
  </si>
  <si>
    <t>점수 기록이 없는 본인 정보 영역에는 '기록 없음'으로 표기된다.</t>
  </si>
  <si>
    <t>기획서 등급 보상</t>
  </si>
  <si>
    <t>랭킹 보상 탭</t>
  </si>
  <si>
    <t>등급 보상 표기</t>
  </si>
  <si>
    <t>랭킹 보상 탭에서 등급별(C/B/A/S/S+/L/N) 아이콘과 달성 기준, 보상이 표기된다.</t>
  </si>
  <si>
    <t>현재 등급 강조</t>
  </si>
  <si>
    <t>랭킹 보상 탭에서 본인이 현재 위치한 랭크에 강조색 테두리가 표시된다.</t>
  </si>
  <si>
    <t>수령 완료 딤 처리</t>
  </si>
  <si>
    <t>랭킹 보상 탭에서 보상 수령 시, 해당 보상이 지급되며 딤 처리와 체크 마크로 표시된다.</t>
  </si>
  <si>
    <t>한번에 수령</t>
  </si>
  <si>
    <t>랭킹 보상 탭의 보상 위치 터치 시, 활성화된 보상이 모두 한번에 수령된다.</t>
  </si>
  <si>
    <t>랭크 최초 달성 보상</t>
  </si>
  <si>
    <t>랭크 최초 달성 시, 해당 랭크의 보상이 강제로 지급된다.</t>
  </si>
  <si>
    <t>기획서 추가 시스템 요소 랭크</t>
  </si>
  <si>
    <t>인게임 로딩</t>
  </si>
  <si>
    <t>로딩창</t>
  </si>
  <si>
    <t>유저 카드</t>
  </si>
  <si>
    <t>칭호/닉네임/길드 출력</t>
  </si>
  <si>
    <t>인게임 로딩창의 유저 카드에 참여 유저의 칭호, 닉네임, 길드명이 출력된다.</t>
  </si>
  <si>
    <t>기획서 11. 로딩창</t>
  </si>
  <si>
    <t>인게임 로딩창의 유저 카드에 선택한 쿠키 이미지와 쿠키 이름이 출력된다.</t>
  </si>
  <si>
    <t>무작위 픽 공개</t>
  </si>
  <si>
    <t>무작위 픽으로 게임을 시작했을 시, 로딩 화면에서 선택된 쿠키가 공개되어 출력된다.</t>
  </si>
  <si>
    <t>로딩 문구</t>
  </si>
  <si>
    <t>인게임 로딩창에 콘텐츠 관련 팁 문구가 출력된다.</t>
  </si>
  <si>
    <t>로딩 바</t>
  </si>
  <si>
    <t>인게임 로딩창 하단에 로딩 프로그레스 바가 표시된다.</t>
  </si>
  <si>
    <t>결과창</t>
  </si>
  <si>
    <t>타이틀/점수 영역</t>
  </si>
  <si>
    <t>RESULT 타이틀</t>
  </si>
  <si>
    <t>인게임 완료 후 결과창 진입 시, 상단에 'RESULT' 타이틀이 출력된다.</t>
  </si>
  <si>
    <t>기획서 12. RESULT 화면</t>
  </si>
  <si>
    <t>클리어 라운드 표기</t>
  </si>
  <si>
    <t>결과창에 클리어 한 마지막 라운드 기준으로 '라운드 N'이 표기된다.</t>
  </si>
  <si>
    <t>플레이 타임</t>
  </si>
  <si>
    <t>결과창에 라운드 합산 플레이 타임이 출력된다.</t>
  </si>
  <si>
    <t>점수/Grade</t>
  </si>
  <si>
    <t>결과창에 플레이 타임을 환산한 점수와 해당 점수로 달성한 Grade가 출력된다.</t>
  </si>
  <si>
    <t>New Record 표기</t>
  </si>
  <si>
    <t>본인의 최고 달성 점수 갱신 시, 결과창에 'New Record'가 표기된다.</t>
  </si>
  <si>
    <t>쿠키 영역</t>
  </si>
  <si>
    <t>본인 중앙 배치</t>
  </si>
  <si>
    <t>결과창의 쿠키 영역에서 본인이 사용한 쿠키가 중앙에 배치되고 다른 유저의 쿠키가 양옆에 배치된다.</t>
  </si>
  <si>
    <t>닉네임 색상 구분</t>
  </si>
  <si>
    <t>결과창의 쿠키 영역에서 본인 닉네임은 초록색, 다른 유저 닉네임은 흰색으로 표기된다.</t>
  </si>
  <si>
    <t>성공 모션 재생</t>
  </si>
  <si>
    <t>결과창의 쿠키 영역에서 각 쿠키의 성공 모션이 재생된다.</t>
  </si>
  <si>
    <t>Disconnected 표기</t>
  </si>
  <si>
    <t>인게임 도중 연결이 끊어진 유저의 쿠키에는 'Disconnected'로 표기된다.</t>
  </si>
  <si>
    <t>플레이 정보 영역</t>
  </si>
  <si>
    <t>별사탕/처치/소생 표기</t>
  </si>
  <si>
    <t>결과창의 플레이 정보 영역에 별사탕 넣은 수, 몬스터 처치 수, 파티원 살린 수가 표기된다.</t>
  </si>
  <si>
    <t>기획서 결과창 플레이 정보</t>
  </si>
  <si>
    <t>드래프트 사용 목록</t>
  </si>
  <si>
    <t>결과창에 유저가 이번 플레이에 사용한 드래프트 목록(메인 최대 3개)이 표시된다.</t>
  </si>
  <si>
    <t>기획서 결과창 드래프트</t>
  </si>
  <si>
    <t>보상 영역</t>
  </si>
  <si>
    <t>획득 보상 출력</t>
  </si>
  <si>
    <t>결과창의 보상 영역에 이번 플레이에서 획득한 보상이 BG/아이���/카운트와 함께 표시된다.</t>
  </si>
  <si>
    <t>기획서 결과창 보상</t>
  </si>
  <si>
    <t>보상 툴팁</t>
  </si>
  <si>
    <t>결과창의 보상 아이템 터치 시, 해당 보상의 툴팁이 출력된다.</t>
  </si>
  <si>
    <t>하단 공통 영역</t>
  </si>
  <si>
    <t>이모지 버튼</t>
  </si>
  <si>
    <t>결과창 하단의 이모지 버튼 터치 시, 이모지가 출력된다.</t>
  </si>
  <si>
    <t>기획서 하단 멀티 공통 영역</t>
  </si>
  <si>
    <t>신고하기 버튼</t>
  </si>
  <si>
    <t>결과창 하단의 신고하기 버튼 터치 시, 신고하기 화면이 출력된다.</t>
  </si>
  <si>
    <t>유저 상태 표시</t>
  </si>
  <si>
    <t>다시하기 체크 마크</t>
  </si>
  <si>
    <t>결과창에서 유저가 다시하기 버튼을 눌렀을 시, 해당 유저에 체크 마크가 표시된다.</t>
  </si>
  <si>
    <t>나감 X 마크</t>
  </si>
  <si>
    <t>결과창에서 유저가 나갔을 시, 해당 유저에 X 마크가 표시된다.</t>
  </si>
  <si>
    <t>다시하기 버튼</t>
  </si>
  <si>
    <t>제한시간 내 동작</t>
  </si>
  <si>
    <t>결과창에서 제한시간 내에 다시하기 버튼 터치 시, 다시하기를 누른 멤버와 함께 매칭이 진행된다.</t>
  </si>
  <si>
    <t>기획서 다시하기 버튼</t>
  </si>
  <si>
    <t>전원 다시하기 처리</t>
  </si>
  <si>
    <t>파티 내 모든 유저가 다시하기 선택 시, 로딩창이 출력된다.</t>
  </si>
  <si>
    <t>일부 유저 다시하기 처리</t>
  </si>
  <si>
    <t>파티 내 일부 유저가 나간 후 다시하기 선택 시, 매칭 로딩창이 출력된다.</t>
  </si>
  <si>
    <t>제한시간 종료 비활성화</t>
  </si>
  <si>
    <t>결과창의 다시하기 제한시간 종료 시, 다시하기 버튼이 회색으로 비활성화된다.</t>
  </si>
  <si>
    <t>나가기 버튼</t>
  </si>
  <si>
    <t>플레이 로비 이동</t>
  </si>
  <si>
    <t>결과창에서 나가기 버튼 터치 시, 결과창이 닫히고 플레이 로비로 이동된다.</t>
  </si>
  <si>
    <t>기획서 나가기 버튼</t>
  </si>
  <si>
    <t>함께한 유저 다시 초대 팝업</t>
  </si>
  <si>
    <t>유저 리스트 표기</t>
  </si>
  <si>
    <t>결과창에서 나가기 후 플레이 로비 이동 시, 함께한 유저 다시 초대 팝업이 출력되며 유저 닉네임/점수 리스트가 표시된다.</t>
  </si>
  <si>
    <t>기획서 함께한 유저 다시 초대</t>
  </si>
  <si>
    <t>친구 초대 버튼</t>
  </si>
  <si>
    <t>함께한 유저 다시 초대 팝업의 친구 초대 버튼 터치 시, 해당 유저에게 친구 초대가 발송된다.</t>
  </si>
  <si>
    <t>파티 초대 버튼</t>
  </si>
  <si>
    <t>함께한 유저 다시 초대 팝업의 파티 초대 버튼 터치 시, 해당 유저에게 파티 초대가 발송된다.</t>
  </si>
  <si>
    <t>오늘 하루 보지 않기</t>
  </si>
  <si>
    <t>함께한 유저 다시 초대 팝업에서 '오늘 하루동안 보지 않기' 체크 시, 당일 동안 해당 팝업이 재노출되지 않는다.</t>
  </si>
  <si>
    <t>튜토리얼</t>
  </si>
  <si>
    <t>일기페이 가이드</t>
  </si>
  <si>
    <t>발동 조건</t>
  </si>
  <si>
    <t>유실물 보유 후 트랜짓 입장</t>
  </si>
  <si>
    <t>유실물 상자를 보유한 상태로 이벤트 모드에 입장 시, 일기페이 가이드 튜토리얼이 발동된다.</t>
  </si>
  <si>
    <t>기획서 14. 튜토리얼 검수</t>
  </si>
  <si>
    <t>가이드 멘트 출력</t>
  </si>
  <si>
    <t>작전 보고록 안내</t>
  </si>
  <si>
    <t>튜토리얼 진행 시, '효의 작전 브리핑을 시작할게!' 및 쿠키 선택 안내 가이드 멘트가 순차적으로 출력된다.</t>
  </si>
  <si>
    <t>유실물 정화 안내</t>
  </si>
  <si>
    <t>튜토리얼 진행 시, '유실물을 찾았구나!' 및 유실물 정화 안내 가이드 멘트가 출력된다.</t>
  </si>
  <si>
    <t>네트워크 이슈</t>
  </si>
  <si>
    <t>개별 디스커넥션</t>
  </si>
  <si>
    <t>방 존재 시 복귀</t>
  </si>
  <si>
    <t>개별 디스커넥션 발생 후 방이 존재할 시, 재접속 시 해당 방으로 복귀된다.</t>
  </si>
  <si>
    <t>기획서 16. 예외/에러 케이스</t>
  </si>
  <si>
    <t>방 종료 시 보상/기록 제외</t>
  </si>
  <si>
    <t>개별 디스커넥션 발생 후 방이 이미 종료되었을 시, 해당 판의 보상 및 퀘스트 기록이 반영되지 않는다.</t>
  </si>
  <si>
    <t>전원 디스커넥션</t>
  </si>
  <si>
    <t>인게임 종료 처리</t>
  </si>
  <si>
    <t>모든 유저 디스커넥션 발생 시, 인게임 플레이가 종료되고 모든 유저의 보상 및 퀘스트 기록이 반영되지 않는다.</t>
  </si>
  <si>
    <t>중단하기 투표</t>
  </si>
  <si>
    <t>일시정지 화면 진입</t>
  </si>
  <si>
    <t>인게임 일시정지 화면에서 중단하기 버튼 터치 시, 중단하기 투표가 시작된다.</t>
  </si>
  <si>
    <t>기획서 중단하기</t>
  </si>
  <si>
    <t>3명 파티 투표</t>
  </si>
  <si>
    <t>3명 파티에서 중단하기 투표 시, 2명 이상 동의할 경우 플레이가 중단된다.</t>
  </si>
  <si>
    <t>2명 파티 투표</t>
  </si>
  <si>
    <t>2명 파티에서 중단하기 투표 시, 2명 모두 동의할 경우 플레이가 중단된다.</t>
  </si>
  <si>
    <t>1명 파티 투표</t>
  </si>
  <si>
    <t>1명 파티에서 중단하기 투표 시, 본인 동의 시 즉시 플레이가 중단된다.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</si>
</sst>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COUNTIF(I10:I181,"Pass")</f>
      </c>
      <c r="K3" t="s">
        <v>4</v>
      </c>
      <c r="L3">
        <f>COUNTIF(I10:I181,"")</f>
      </c>
      <c r="M3" s="3" t="s">
        <v>3</v>
      </c>
      <c r="N3">
        <f>COUNTIF(J10:J181,"Pass")</f>
      </c>
    </row>
    <row r="4" spans="9:14" x14ac:dyDescent="0.25">
      <c r="I4" s="4" t="s">
        <v>5</v>
      </c>
      <c r="J4">
        <f>COUNTIF(I10:I181,"N/T")</f>
      </c>
      <c r="K4" t="s">
        <v>6</v>
      </c>
      <c r="L4">
        <f>COUNTA(I10:I181)-COUNTIF(I10:I181,"")</f>
      </c>
      <c r="M4" s="4" t="s">
        <v>5</v>
      </c>
      <c r="N4">
        <f>COUNTIF(J10:J181,"N/T")</f>
      </c>
    </row>
    <row r="5" spans="9:14" x14ac:dyDescent="0.25">
      <c r="I5" s="5" t="s">
        <v>7</v>
      </c>
      <c r="J5">
        <f>COUNTIF(I10:I181,"Fail")</f>
      </c>
      <c r="K5" t="s">
        <v>8</v>
      </c>
      <c r="L5">
        <v>172</v>
      </c>
      <c r="M5" s="5" t="s">
        <v>7</v>
      </c>
      <c r="N5">
        <f>COUNTIF(J10:J181,"Fail")</f>
      </c>
    </row>
    <row r="6" spans="9:14" x14ac:dyDescent="0.25">
      <c r="I6" s="6" t="s">
        <v>9</v>
      </c>
      <c r="J6">
        <f>COUNTIF(I10:I181,"Block")</f>
      </c>
      <c r="K6" t="s">
        <v>10</v>
      </c>
      <c r="L6" s="7">
        <f>IF(L5=0,0,L4/L5)</f>
      </c>
      <c r="M6" s="6" t="s">
        <v>9</v>
      </c>
      <c r="N6">
        <f>COUNTIF(J10:J181,"Block")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5" t="s">
        <v>31</v>
      </c>
      <c r="D12" s="11"/>
      <c r="E12" s="11"/>
      <c r="F12" s="11" t="s">
        <v>32</v>
      </c>
      <c r="G12" s="12" t="s">
        <v>33</v>
      </c>
      <c r="H12" s="13" t="s">
        <v>34</v>
      </c>
      <c r="I12" s="12"/>
      <c r="J12" s="12"/>
      <c r="K12" s="12"/>
      <c r="L12" s="12"/>
      <c r="M12" s="12"/>
      <c r="N12" s="14" t="s">
        <v>35</v>
      </c>
    </row>
    <row r="13" spans="2:14" x14ac:dyDescent="0.25">
      <c r="B13" s="9">
        <v>4</v>
      </c>
      <c r="C13" s="10" t="s">
        <v>22</v>
      </c>
      <c r="D13" s="11"/>
      <c r="E13" s="11"/>
      <c r="F13" s="11"/>
      <c r="G13" s="12" t="s">
        <v>36</v>
      </c>
      <c r="H13" s="13" t="s">
        <v>37</v>
      </c>
      <c r="I13" s="12"/>
      <c r="J13" s="12"/>
      <c r="K13" s="12"/>
      <c r="L13" s="12"/>
      <c r="M13" s="12"/>
      <c r="N13" s="14" t="s">
        <v>38</v>
      </c>
    </row>
    <row r="14" spans="2:14" x14ac:dyDescent="0.25">
      <c r="B14" s="9">
        <v>5</v>
      </c>
      <c r="C14" s="10" t="s">
        <v>22</v>
      </c>
      <c r="D14" s="11"/>
      <c r="E14" s="11"/>
      <c r="F14" s="11"/>
      <c r="G14" s="12" t="s">
        <v>39</v>
      </c>
      <c r="H14" s="13" t="s">
        <v>40</v>
      </c>
      <c r="I14" s="12"/>
      <c r="J14" s="12"/>
      <c r="K14" s="12"/>
      <c r="L14" s="12"/>
      <c r="M14" s="12"/>
      <c r="N14" s="14" t="s">
        <v>38</v>
      </c>
    </row>
    <row r="15" spans="2:14" x14ac:dyDescent="0.25">
      <c r="B15" s="9">
        <v>6</v>
      </c>
      <c r="C15" s="15" t="s">
        <v>31</v>
      </c>
      <c r="D15" s="11"/>
      <c r="E15" s="11"/>
      <c r="F15" s="11" t="s">
        <v>41</v>
      </c>
      <c r="G15" s="12" t="s">
        <v>42</v>
      </c>
      <c r="H15" s="13" t="s">
        <v>43</v>
      </c>
      <c r="I15" s="12"/>
      <c r="J15" s="12"/>
      <c r="K15" s="12"/>
      <c r="L15" s="12"/>
      <c r="M15" s="12"/>
      <c r="N15" s="14" t="s">
        <v>44</v>
      </c>
    </row>
    <row r="16" spans="2:14" x14ac:dyDescent="0.25">
      <c r="B16" s="9">
        <v>7</v>
      </c>
      <c r="C16" s="15" t="s">
        <v>31</v>
      </c>
      <c r="D16" s="11"/>
      <c r="E16" s="11"/>
      <c r="F16" s="11"/>
      <c r="G16" s="12" t="s">
        <v>45</v>
      </c>
      <c r="H16" s="13" t="s">
        <v>46</v>
      </c>
      <c r="I16" s="12"/>
      <c r="J16" s="12"/>
      <c r="K16" s="12"/>
      <c r="L16" s="12"/>
      <c r="M16" s="12"/>
      <c r="N16" s="14" t="s">
        <v>44</v>
      </c>
    </row>
    <row r="17" spans="2:14" x14ac:dyDescent="0.25">
      <c r="B17" s="9">
        <v>8</v>
      </c>
      <c r="C17" s="10" t="s">
        <v>22</v>
      </c>
      <c r="D17" s="11"/>
      <c r="E17" s="11"/>
      <c r="F17" s="11"/>
      <c r="G17" s="12" t="s">
        <v>47</v>
      </c>
      <c r="H17" s="13" t="s">
        <v>48</v>
      </c>
      <c r="I17" s="12"/>
      <c r="J17" s="12"/>
      <c r="K17" s="12"/>
      <c r="L17" s="12"/>
      <c r="M17" s="12"/>
      <c r="N17" s="14" t="s">
        <v>44</v>
      </c>
    </row>
    <row r="18" spans="2:14" x14ac:dyDescent="0.25">
      <c r="B18" s="9">
        <v>9</v>
      </c>
      <c r="C18" s="10" t="s">
        <v>22</v>
      </c>
      <c r="D18" s="11"/>
      <c r="E18" s="11"/>
      <c r="F18" s="12" t="s">
        <v>49</v>
      </c>
      <c r="G18" s="12" t="s">
        <v>50</v>
      </c>
      <c r="H18" s="13" t="s">
        <v>51</v>
      </c>
      <c r="I18" s="12"/>
      <c r="J18" s="12"/>
      <c r="K18" s="12"/>
      <c r="L18" s="12"/>
      <c r="M18" s="12"/>
      <c r="N18" s="14" t="s">
        <v>52</v>
      </c>
    </row>
    <row r="19" spans="2:14" x14ac:dyDescent="0.25">
      <c r="B19" s="9">
        <v>10</v>
      </c>
      <c r="C19" s="16" t="s">
        <v>53</v>
      </c>
      <c r="D19" s="11"/>
      <c r="E19" s="11" t="s">
        <v>54</v>
      </c>
      <c r="F19" s="11" t="s">
        <v>55</v>
      </c>
      <c r="G19" s="12" t="s">
        <v>56</v>
      </c>
      <c r="H19" s="13" t="s">
        <v>57</v>
      </c>
      <c r="I19" s="12"/>
      <c r="J19" s="12"/>
      <c r="K19" s="12"/>
      <c r="L19" s="12"/>
      <c r="M19" s="12"/>
      <c r="N19" s="14" t="s">
        <v>58</v>
      </c>
    </row>
    <row r="20" spans="2:14" x14ac:dyDescent="0.25">
      <c r="B20" s="9">
        <v>11</v>
      </c>
      <c r="C20" s="16" t="s">
        <v>53</v>
      </c>
      <c r="D20" s="11"/>
      <c r="E20" s="11"/>
      <c r="F20" s="11"/>
      <c r="G20" s="12" t="s">
        <v>59</v>
      </c>
      <c r="H20" s="13" t="s">
        <v>60</v>
      </c>
      <c r="I20" s="12"/>
      <c r="J20" s="12"/>
      <c r="K20" s="12"/>
      <c r="L20" s="12"/>
      <c r="M20" s="12"/>
      <c r="N20" s="14" t="s">
        <v>61</v>
      </c>
    </row>
    <row r="21" spans="2:14" x14ac:dyDescent="0.25">
      <c r="B21" s="9">
        <v>12</v>
      </c>
      <c r="C21" s="10" t="s">
        <v>22</v>
      </c>
      <c r="D21" s="11"/>
      <c r="E21" s="11"/>
      <c r="F21" s="11"/>
      <c r="G21" s="12" t="s">
        <v>62</v>
      </c>
      <c r="H21" s="13" t="s">
        <v>63</v>
      </c>
      <c r="I21" s="12"/>
      <c r="J21" s="12"/>
      <c r="K21" s="12"/>
      <c r="L21" s="12"/>
      <c r="M21" s="12"/>
      <c r="N21" s="14" t="s">
        <v>64</v>
      </c>
    </row>
    <row r="22" spans="2:14" x14ac:dyDescent="0.25">
      <c r="B22" s="9">
        <v>13</v>
      </c>
      <c r="C22" s="15" t="s">
        <v>31</v>
      </c>
      <c r="D22" s="11"/>
      <c r="E22" s="11"/>
      <c r="F22" s="11"/>
      <c r="G22" s="12" t="s">
        <v>65</v>
      </c>
      <c r="H22" s="13" t="s">
        <v>66</v>
      </c>
      <c r="I22" s="12"/>
      <c r="J22" s="12"/>
      <c r="K22" s="12"/>
      <c r="L22" s="12"/>
      <c r="M22" s="12"/>
      <c r="N22" s="14" t="s">
        <v>58</v>
      </c>
    </row>
    <row r="23" spans="2:14" x14ac:dyDescent="0.25">
      <c r="B23" s="9">
        <v>14</v>
      </c>
      <c r="C23" s="10" t="s">
        <v>22</v>
      </c>
      <c r="D23" s="11"/>
      <c r="E23" s="11"/>
      <c r="F23" s="12" t="s">
        <v>67</v>
      </c>
      <c r="G23" s="12" t="s">
        <v>68</v>
      </c>
      <c r="H23" s="13" t="s">
        <v>69</v>
      </c>
      <c r="I23" s="12"/>
      <c r="J23" s="12"/>
      <c r="K23" s="12"/>
      <c r="L23" s="12"/>
      <c r="M23" s="12"/>
      <c r="N23" s="14" t="s">
        <v>70</v>
      </c>
    </row>
    <row r="24" spans="2:14" x14ac:dyDescent="0.25">
      <c r="B24" s="9">
        <v>15</v>
      </c>
      <c r="C24" s="15" t="s">
        <v>31</v>
      </c>
      <c r="D24" s="11" t="s">
        <v>71</v>
      </c>
      <c r="E24" s="11" t="s">
        <v>72</v>
      </c>
      <c r="F24" s="12" t="s">
        <v>73</v>
      </c>
      <c r="G24" s="12" t="s">
        <v>11</v>
      </c>
      <c r="H24" s="13" t="s">
        <v>74</v>
      </c>
      <c r="I24" s="12"/>
      <c r="J24" s="12"/>
      <c r="K24" s="12"/>
      <c r="L24" s="12"/>
      <c r="M24" s="12"/>
      <c r="N24" s="14" t="s">
        <v>75</v>
      </c>
    </row>
    <row r="25" spans="2:14" x14ac:dyDescent="0.25">
      <c r="B25" s="9">
        <v>16</v>
      </c>
      <c r="C25" s="15" t="s">
        <v>31</v>
      </c>
      <c r="D25" s="11"/>
      <c r="E25" s="11"/>
      <c r="F25" s="12" t="s">
        <v>76</v>
      </c>
      <c r="G25" s="12" t="s">
        <v>11</v>
      </c>
      <c r="H25" s="13" t="s">
        <v>77</v>
      </c>
      <c r="I25" s="12"/>
      <c r="J25" s="12"/>
      <c r="K25" s="12"/>
      <c r="L25" s="12"/>
      <c r="M25" s="12"/>
      <c r="N25" s="14" t="s">
        <v>78</v>
      </c>
    </row>
    <row r="26" spans="2:14" x14ac:dyDescent="0.25">
      <c r="B26" s="9">
        <v>17</v>
      </c>
      <c r="C26" s="10" t="s">
        <v>22</v>
      </c>
      <c r="D26" s="11"/>
      <c r="E26" s="11"/>
      <c r="F26" s="11" t="s">
        <v>79</v>
      </c>
      <c r="G26" s="12" t="s">
        <v>80</v>
      </c>
      <c r="H26" s="13" t="s">
        <v>81</v>
      </c>
      <c r="I26" s="12"/>
      <c r="J26" s="12"/>
      <c r="K26" s="12"/>
      <c r="L26" s="12"/>
      <c r="M26" s="12"/>
      <c r="N26" s="14" t="s">
        <v>82</v>
      </c>
    </row>
    <row r="27" spans="2:14" x14ac:dyDescent="0.25">
      <c r="B27" s="9">
        <v>18</v>
      </c>
      <c r="C27" s="15" t="s">
        <v>31</v>
      </c>
      <c r="D27" s="11"/>
      <c r="E27" s="11"/>
      <c r="F27" s="11"/>
      <c r="G27" s="12" t="s">
        <v>83</v>
      </c>
      <c r="H27" s="13" t="s">
        <v>84</v>
      </c>
      <c r="I27" s="12"/>
      <c r="J27" s="12"/>
      <c r="K27" s="12"/>
      <c r="L27" s="12"/>
      <c r="M27" s="12"/>
      <c r="N27" s="14" t="s">
        <v>82</v>
      </c>
    </row>
    <row r="28" spans="2:14" x14ac:dyDescent="0.25">
      <c r="B28" s="9">
        <v>19</v>
      </c>
      <c r="C28" s="10" t="s">
        <v>22</v>
      </c>
      <c r="D28" s="11"/>
      <c r="E28" s="11" t="s">
        <v>85</v>
      </c>
      <c r="F28" s="11" t="s">
        <v>86</v>
      </c>
      <c r="G28" s="12" t="s">
        <v>11</v>
      </c>
      <c r="H28" s="13" t="s">
        <v>87</v>
      </c>
      <c r="I28" s="12"/>
      <c r="J28" s="12"/>
      <c r="K28" s="12"/>
      <c r="L28" s="12"/>
      <c r="M28" s="12"/>
      <c r="N28" s="14" t="s">
        <v>88</v>
      </c>
    </row>
    <row r="29" spans="2:14" x14ac:dyDescent="0.25">
      <c r="B29" s="9">
        <v>20</v>
      </c>
      <c r="C29" s="15" t="s">
        <v>31</v>
      </c>
      <c r="D29" s="11"/>
      <c r="E29" s="11"/>
      <c r="F29" s="11"/>
      <c r="G29" s="12" t="s">
        <v>89</v>
      </c>
      <c r="H29" s="13" t="s">
        <v>90</v>
      </c>
      <c r="I29" s="12"/>
      <c r="J29" s="12"/>
      <c r="K29" s="12"/>
      <c r="L29" s="12"/>
      <c r="M29" s="12"/>
      <c r="N29" s="14" t="s">
        <v>91</v>
      </c>
    </row>
    <row r="30" spans="2:14" x14ac:dyDescent="0.25">
      <c r="B30" s="9">
        <v>21</v>
      </c>
      <c r="C30" s="15" t="s">
        <v>31</v>
      </c>
      <c r="D30" s="11"/>
      <c r="E30" s="11"/>
      <c r="F30" s="12" t="s">
        <v>92</v>
      </c>
      <c r="G30" s="12" t="s">
        <v>11</v>
      </c>
      <c r="H30" s="13" t="s">
        <v>93</v>
      </c>
      <c r="I30" s="12"/>
      <c r="J30" s="12"/>
      <c r="K30" s="12"/>
      <c r="L30" s="12"/>
      <c r="M30" s="12"/>
      <c r="N30" s="14" t="s">
        <v>88</v>
      </c>
    </row>
    <row r="31" spans="2:14" x14ac:dyDescent="0.25">
      <c r="B31" s="9">
        <v>22</v>
      </c>
      <c r="C31" s="10" t="s">
        <v>22</v>
      </c>
      <c r="D31" s="11"/>
      <c r="E31" s="11"/>
      <c r="F31" s="11" t="s">
        <v>94</v>
      </c>
      <c r="G31" s="12" t="s">
        <v>95</v>
      </c>
      <c r="H31" s="13" t="s">
        <v>96</v>
      </c>
      <c r="I31" s="12"/>
      <c r="J31" s="12"/>
      <c r="K31" s="12"/>
      <c r="L31" s="12"/>
      <c r="M31" s="12"/>
      <c r="N31" s="14" t="s">
        <v>97</v>
      </c>
    </row>
    <row r="32" spans="2:14" x14ac:dyDescent="0.25">
      <c r="B32" s="9">
        <v>23</v>
      </c>
      <c r="C32" s="10" t="s">
        <v>22</v>
      </c>
      <c r="D32" s="11"/>
      <c r="E32" s="11"/>
      <c r="F32" s="11"/>
      <c r="G32" s="12" t="s">
        <v>98</v>
      </c>
      <c r="H32" s="13" t="s">
        <v>99</v>
      </c>
      <c r="I32" s="12"/>
      <c r="J32" s="12"/>
      <c r="K32" s="12"/>
      <c r="L32" s="12"/>
      <c r="M32" s="12"/>
      <c r="N32" s="14" t="s">
        <v>97</v>
      </c>
    </row>
    <row r="33" spans="2:14" x14ac:dyDescent="0.25">
      <c r="B33" s="9">
        <v>24</v>
      </c>
      <c r="C33" s="10" t="s">
        <v>22</v>
      </c>
      <c r="D33" s="11"/>
      <c r="E33" s="11"/>
      <c r="F33" s="11"/>
      <c r="G33" s="12" t="s">
        <v>100</v>
      </c>
      <c r="H33" s="13" t="s">
        <v>101</v>
      </c>
      <c r="I33" s="12"/>
      <c r="J33" s="12"/>
      <c r="K33" s="12"/>
      <c r="L33" s="12"/>
      <c r="M33" s="12"/>
      <c r="N33" s="14" t="s">
        <v>97</v>
      </c>
    </row>
    <row r="34" spans="2:14" x14ac:dyDescent="0.25">
      <c r="B34" s="9">
        <v>25</v>
      </c>
      <c r="C34" s="10" t="s">
        <v>22</v>
      </c>
      <c r="D34" s="11"/>
      <c r="E34" s="11" t="s">
        <v>102</v>
      </c>
      <c r="F34" s="12" t="s">
        <v>103</v>
      </c>
      <c r="G34" s="12" t="s">
        <v>11</v>
      </c>
      <c r="H34" s="13" t="s">
        <v>104</v>
      </c>
      <c r="I34" s="12"/>
      <c r="J34" s="12"/>
      <c r="K34" s="12"/>
      <c r="L34" s="12"/>
      <c r="M34" s="12"/>
      <c r="N34" s="14" t="s">
        <v>105</v>
      </c>
    </row>
    <row r="35" spans="2:14" x14ac:dyDescent="0.25">
      <c r="B35" s="9">
        <v>26</v>
      </c>
      <c r="C35" s="10" t="s">
        <v>22</v>
      </c>
      <c r="D35" s="11"/>
      <c r="E35" s="11"/>
      <c r="F35" s="12" t="s">
        <v>106</v>
      </c>
      <c r="G35" s="12" t="s">
        <v>11</v>
      </c>
      <c r="H35" s="13" t="s">
        <v>107</v>
      </c>
      <c r="I35" s="12"/>
      <c r="J35" s="12"/>
      <c r="K35" s="12"/>
      <c r="L35" s="12"/>
      <c r="M35" s="12"/>
      <c r="N35" s="14" t="s">
        <v>108</v>
      </c>
    </row>
    <row r="36" spans="2:14" x14ac:dyDescent="0.25">
      <c r="B36" s="9">
        <v>27</v>
      </c>
      <c r="C36" s="10" t="s">
        <v>22</v>
      </c>
      <c r="D36" s="11"/>
      <c r="E36" s="11"/>
      <c r="F36" s="12" t="s">
        <v>109</v>
      </c>
      <c r="G36" s="12" t="s">
        <v>11</v>
      </c>
      <c r="H36" s="13" t="s">
        <v>110</v>
      </c>
      <c r="I36" s="12"/>
      <c r="J36" s="12"/>
      <c r="K36" s="12"/>
      <c r="L36" s="12"/>
      <c r="M36" s="12"/>
      <c r="N36" s="14" t="s">
        <v>111</v>
      </c>
    </row>
    <row r="37" spans="2:14" x14ac:dyDescent="0.25">
      <c r="B37" s="9">
        <v>28</v>
      </c>
      <c r="C37" s="15" t="s">
        <v>31</v>
      </c>
      <c r="D37" s="11"/>
      <c r="E37" s="11"/>
      <c r="F37" s="12" t="s">
        <v>112</v>
      </c>
      <c r="G37" s="12" t="s">
        <v>11</v>
      </c>
      <c r="H37" s="13" t="s">
        <v>113</v>
      </c>
      <c r="I37" s="12"/>
      <c r="J37" s="12"/>
      <c r="K37" s="12"/>
      <c r="L37" s="12"/>
      <c r="M37" s="12"/>
      <c r="N37" s="14" t="s">
        <v>114</v>
      </c>
    </row>
    <row r="38" spans="2:14" x14ac:dyDescent="0.25">
      <c r="B38" s="9">
        <v>29</v>
      </c>
      <c r="C38" s="10" t="s">
        <v>22</v>
      </c>
      <c r="D38" s="11"/>
      <c r="E38" s="11" t="s">
        <v>115</v>
      </c>
      <c r="F38" s="11" t="s">
        <v>116</v>
      </c>
      <c r="G38" s="12" t="s">
        <v>117</v>
      </c>
      <c r="H38" s="13" t="s">
        <v>118</v>
      </c>
      <c r="I38" s="12"/>
      <c r="J38" s="12"/>
      <c r="K38" s="12"/>
      <c r="L38" s="12"/>
      <c r="M38" s="12"/>
      <c r="N38" s="14" t="s">
        <v>119</v>
      </c>
    </row>
    <row r="39" spans="2:14" x14ac:dyDescent="0.25">
      <c r="B39" s="9">
        <v>30</v>
      </c>
      <c r="C39" s="10" t="s">
        <v>22</v>
      </c>
      <c r="D39" s="11"/>
      <c r="E39" s="11"/>
      <c r="F39" s="11"/>
      <c r="G39" s="12" t="s">
        <v>120</v>
      </c>
      <c r="H39" s="13" t="s">
        <v>121</v>
      </c>
      <c r="I39" s="12"/>
      <c r="J39" s="12"/>
      <c r="K39" s="12"/>
      <c r="L39" s="12"/>
      <c r="M39" s="12"/>
      <c r="N39" s="14" t="s">
        <v>122</v>
      </c>
    </row>
    <row r="40" spans="2:14" x14ac:dyDescent="0.25">
      <c r="B40" s="9">
        <v>31</v>
      </c>
      <c r="C40" s="10" t="s">
        <v>22</v>
      </c>
      <c r="D40" s="11"/>
      <c r="E40" s="11"/>
      <c r="F40" s="11" t="s">
        <v>123</v>
      </c>
      <c r="G40" s="12" t="s">
        <v>124</v>
      </c>
      <c r="H40" s="13" t="s">
        <v>125</v>
      </c>
      <c r="I40" s="12"/>
      <c r="J40" s="12"/>
      <c r="K40" s="12"/>
      <c r="L40" s="12"/>
      <c r="M40" s="12"/>
      <c r="N40" s="14" t="s">
        <v>126</v>
      </c>
    </row>
    <row r="41" spans="2:14" x14ac:dyDescent="0.25">
      <c r="B41" s="9">
        <v>32</v>
      </c>
      <c r="C41" s="15" t="s">
        <v>31</v>
      </c>
      <c r="D41" s="11"/>
      <c r="E41" s="11"/>
      <c r="F41" s="11"/>
      <c r="G41" s="12" t="s">
        <v>127</v>
      </c>
      <c r="H41" s="13" t="s">
        <v>128</v>
      </c>
      <c r="I41" s="12"/>
      <c r="J41" s="12"/>
      <c r="K41" s="12"/>
      <c r="L41" s="12"/>
      <c r="M41" s="12"/>
      <c r="N41" s="14" t="s">
        <v>126</v>
      </c>
    </row>
    <row r="42" spans="2:14" x14ac:dyDescent="0.25">
      <c r="B42" s="9">
        <v>33</v>
      </c>
      <c r="C42" s="10" t="s">
        <v>22</v>
      </c>
      <c r="D42" s="11"/>
      <c r="E42" s="11"/>
      <c r="F42" s="11"/>
      <c r="G42" s="12" t="s">
        <v>129</v>
      </c>
      <c r="H42" s="13" t="s">
        <v>130</v>
      </c>
      <c r="I42" s="12"/>
      <c r="J42" s="12"/>
      <c r="K42" s="12"/>
      <c r="L42" s="12"/>
      <c r="M42" s="12"/>
      <c r="N42" s="14" t="s">
        <v>131</v>
      </c>
    </row>
    <row r="43" spans="2:14" x14ac:dyDescent="0.25">
      <c r="B43" s="9">
        <v>34</v>
      </c>
      <c r="C43" s="16" t="s">
        <v>53</v>
      </c>
      <c r="D43" s="11"/>
      <c r="E43" s="11"/>
      <c r="F43" s="12" t="s">
        <v>132</v>
      </c>
      <c r="G43" s="12" t="s">
        <v>133</v>
      </c>
      <c r="H43" s="13" t="s">
        <v>134</v>
      </c>
      <c r="I43" s="12"/>
      <c r="J43" s="12"/>
      <c r="K43" s="12"/>
      <c r="L43" s="12"/>
      <c r="M43" s="12"/>
      <c r="N43" s="14" t="s">
        <v>135</v>
      </c>
    </row>
    <row r="44" spans="2:14" x14ac:dyDescent="0.25">
      <c r="B44" s="9">
        <v>35</v>
      </c>
      <c r="C44" s="10" t="s">
        <v>22</v>
      </c>
      <c r="D44" s="11"/>
      <c r="E44" s="11"/>
      <c r="F44" s="12" t="s">
        <v>136</v>
      </c>
      <c r="G44" s="12" t="s">
        <v>137</v>
      </c>
      <c r="H44" s="13" t="s">
        <v>138</v>
      </c>
      <c r="I44" s="12"/>
      <c r="J44" s="12"/>
      <c r="K44" s="12"/>
      <c r="L44" s="12"/>
      <c r="M44" s="12"/>
      <c r="N44" s="14" t="s">
        <v>122</v>
      </c>
    </row>
    <row r="45" spans="2:14" x14ac:dyDescent="0.25">
      <c r="B45" s="9">
        <v>36</v>
      </c>
      <c r="C45" s="16" t="s">
        <v>53</v>
      </c>
      <c r="D45" s="11"/>
      <c r="E45" s="11"/>
      <c r="F45" s="12" t="s">
        <v>139</v>
      </c>
      <c r="G45" s="12" t="s">
        <v>140</v>
      </c>
      <c r="H45" s="13" t="s">
        <v>141</v>
      </c>
      <c r="I45" s="12"/>
      <c r="J45" s="12"/>
      <c r="K45" s="12"/>
      <c r="L45" s="12"/>
      <c r="M45" s="12"/>
      <c r="N45" s="14" t="s">
        <v>142</v>
      </c>
    </row>
    <row r="46" spans="2:14" x14ac:dyDescent="0.25">
      <c r="B46" s="9">
        <v>37</v>
      </c>
      <c r="C46" s="10" t="s">
        <v>22</v>
      </c>
      <c r="D46" s="11"/>
      <c r="E46" s="11" t="s">
        <v>143</v>
      </c>
      <c r="F46" s="12" t="s">
        <v>144</v>
      </c>
      <c r="G46" s="12" t="s">
        <v>11</v>
      </c>
      <c r="H46" s="13" t="s">
        <v>145</v>
      </c>
      <c r="I46" s="12"/>
      <c r="J46" s="12"/>
      <c r="K46" s="12"/>
      <c r="L46" s="12"/>
      <c r="M46" s="12"/>
      <c r="N46" s="14" t="s">
        <v>146</v>
      </c>
    </row>
    <row r="47" spans="2:14" x14ac:dyDescent="0.25">
      <c r="B47" s="9">
        <v>38</v>
      </c>
      <c r="C47" s="10" t="s">
        <v>22</v>
      </c>
      <c r="D47" s="11"/>
      <c r="E47" s="11"/>
      <c r="F47" s="12" t="s">
        <v>147</v>
      </c>
      <c r="G47" s="12" t="s">
        <v>148</v>
      </c>
      <c r="H47" s="13" t="s">
        <v>149</v>
      </c>
      <c r="I47" s="12"/>
      <c r="J47" s="12"/>
      <c r="K47" s="12"/>
      <c r="L47" s="12"/>
      <c r="M47" s="12"/>
      <c r="N47" s="14" t="s">
        <v>150</v>
      </c>
    </row>
    <row r="48" spans="2:14" x14ac:dyDescent="0.25">
      <c r="B48" s="9">
        <v>39</v>
      </c>
      <c r="C48" s="10" t="s">
        <v>22</v>
      </c>
      <c r="D48" s="11"/>
      <c r="E48" s="11"/>
      <c r="F48" s="12" t="s">
        <v>151</v>
      </c>
      <c r="G48" s="12" t="s">
        <v>152</v>
      </c>
      <c r="H48" s="13" t="s">
        <v>153</v>
      </c>
      <c r="I48" s="12"/>
      <c r="J48" s="12"/>
      <c r="K48" s="12"/>
      <c r="L48" s="12"/>
      <c r="M48" s="12"/>
      <c r="N48" s="14" t="s">
        <v>150</v>
      </c>
    </row>
    <row r="49" spans="2:14" x14ac:dyDescent="0.25">
      <c r="B49" s="9">
        <v>40</v>
      </c>
      <c r="C49" s="10" t="s">
        <v>22</v>
      </c>
      <c r="D49" s="11"/>
      <c r="E49" s="11"/>
      <c r="F49" s="12" t="s">
        <v>154</v>
      </c>
      <c r="G49" s="12" t="s">
        <v>155</v>
      </c>
      <c r="H49" s="13" t="s">
        <v>156</v>
      </c>
      <c r="I49" s="12"/>
      <c r="J49" s="12"/>
      <c r="K49" s="12"/>
      <c r="L49" s="12"/>
      <c r="M49" s="12"/>
      <c r="N49" s="14" t="s">
        <v>150</v>
      </c>
    </row>
    <row r="50" spans="2:14" x14ac:dyDescent="0.25">
      <c r="B50" s="9">
        <v>41</v>
      </c>
      <c r="C50" s="10" t="s">
        <v>22</v>
      </c>
      <c r="D50" s="11"/>
      <c r="E50" s="11"/>
      <c r="F50" s="11" t="s">
        <v>157</v>
      </c>
      <c r="G50" s="12" t="s">
        <v>158</v>
      </c>
      <c r="H50" s="13" t="s">
        <v>159</v>
      </c>
      <c r="I50" s="12"/>
      <c r="J50" s="12"/>
      <c r="K50" s="12"/>
      <c r="L50" s="12"/>
      <c r="M50" s="12"/>
      <c r="N50" s="14" t="s">
        <v>150</v>
      </c>
    </row>
    <row r="51" spans="2:14" x14ac:dyDescent="0.25">
      <c r="B51" s="9">
        <v>42</v>
      </c>
      <c r="C51" s="10" t="s">
        <v>22</v>
      </c>
      <c r="D51" s="11"/>
      <c r="E51" s="11"/>
      <c r="F51" s="11"/>
      <c r="G51" s="12" t="s">
        <v>160</v>
      </c>
      <c r="H51" s="13" t="s">
        <v>161</v>
      </c>
      <c r="I51" s="12"/>
      <c r="J51" s="12"/>
      <c r="K51" s="12"/>
      <c r="L51" s="12"/>
      <c r="M51" s="12"/>
      <c r="N51" s="14" t="s">
        <v>150</v>
      </c>
    </row>
    <row r="52" spans="2:14" x14ac:dyDescent="0.25">
      <c r="B52" s="9">
        <v>43</v>
      </c>
      <c r="C52" s="10" t="s">
        <v>22</v>
      </c>
      <c r="D52" s="11"/>
      <c r="E52" s="11"/>
      <c r="F52" s="11" t="s">
        <v>162</v>
      </c>
      <c r="G52" s="12" t="s">
        <v>163</v>
      </c>
      <c r="H52" s="13" t="s">
        <v>164</v>
      </c>
      <c r="I52" s="12"/>
      <c r="J52" s="12"/>
      <c r="K52" s="12"/>
      <c r="L52" s="12"/>
      <c r="M52" s="12"/>
      <c r="N52" s="14" t="s">
        <v>165</v>
      </c>
    </row>
    <row r="53" spans="2:14" x14ac:dyDescent="0.25">
      <c r="B53" s="9">
        <v>44</v>
      </c>
      <c r="C53" s="15" t="s">
        <v>31</v>
      </c>
      <c r="D53" s="11"/>
      <c r="E53" s="11"/>
      <c r="F53" s="11"/>
      <c r="G53" s="12" t="s">
        <v>166</v>
      </c>
      <c r="H53" s="13" t="s">
        <v>167</v>
      </c>
      <c r="I53" s="12"/>
      <c r="J53" s="12"/>
      <c r="K53" s="12"/>
      <c r="L53" s="12"/>
      <c r="M53" s="12"/>
      <c r="N53" s="14" t="s">
        <v>168</v>
      </c>
    </row>
    <row r="54" spans="2:14" x14ac:dyDescent="0.25">
      <c r="B54" s="9">
        <v>45</v>
      </c>
      <c r="C54" s="10" t="s">
        <v>22</v>
      </c>
      <c r="D54" s="11" t="s">
        <v>169</v>
      </c>
      <c r="E54" s="11" t="s">
        <v>170</v>
      </c>
      <c r="F54" s="11" t="s">
        <v>171</v>
      </c>
      <c r="G54" s="12" t="s">
        <v>86</v>
      </c>
      <c r="H54" s="13" t="s">
        <v>172</v>
      </c>
      <c r="I54" s="12"/>
      <c r="J54" s="12"/>
      <c r="K54" s="12"/>
      <c r="L54" s="12"/>
      <c r="M54" s="12"/>
      <c r="N54" s="14" t="s">
        <v>173</v>
      </c>
    </row>
    <row r="55" spans="2:14" x14ac:dyDescent="0.25">
      <c r="B55" s="9">
        <v>46</v>
      </c>
      <c r="C55" s="15" t="s">
        <v>31</v>
      </c>
      <c r="D55" s="11"/>
      <c r="E55" s="11"/>
      <c r="F55" s="11"/>
      <c r="G55" s="12" t="s">
        <v>174</v>
      </c>
      <c r="H55" s="13" t="s">
        <v>175</v>
      </c>
      <c r="I55" s="12"/>
      <c r="J55" s="12"/>
      <c r="K55" s="12"/>
      <c r="L55" s="12"/>
      <c r="M55" s="12"/>
      <c r="N55" s="14" t="s">
        <v>173</v>
      </c>
    </row>
    <row r="56" spans="2:14" x14ac:dyDescent="0.25">
      <c r="B56" s="9">
        <v>47</v>
      </c>
      <c r="C56" s="10" t="s">
        <v>22</v>
      </c>
      <c r="D56" s="11"/>
      <c r="E56" s="11"/>
      <c r="F56" s="11"/>
      <c r="G56" s="12" t="s">
        <v>176</v>
      </c>
      <c r="H56" s="13" t="s">
        <v>177</v>
      </c>
      <c r="I56" s="12"/>
      <c r="J56" s="12"/>
      <c r="K56" s="12"/>
      <c r="L56" s="12"/>
      <c r="M56" s="12"/>
      <c r="N56" s="14" t="s">
        <v>178</v>
      </c>
    </row>
    <row r="57" spans="2:14" x14ac:dyDescent="0.25">
      <c r="B57" s="9">
        <v>48</v>
      </c>
      <c r="C57" s="10" t="s">
        <v>22</v>
      </c>
      <c r="D57" s="11"/>
      <c r="E57" s="11"/>
      <c r="F57" s="11" t="s">
        <v>179</v>
      </c>
      <c r="G57" s="12" t="s">
        <v>180</v>
      </c>
      <c r="H57" s="13" t="s">
        <v>181</v>
      </c>
      <c r="I57" s="12"/>
      <c r="J57" s="12"/>
      <c r="K57" s="12"/>
      <c r="L57" s="12"/>
      <c r="M57" s="12"/>
      <c r="N57" s="14" t="s">
        <v>182</v>
      </c>
    </row>
    <row r="58" spans="2:14" x14ac:dyDescent="0.25">
      <c r="B58" s="9">
        <v>49</v>
      </c>
      <c r="C58" s="15" t="s">
        <v>31</v>
      </c>
      <c r="D58" s="11"/>
      <c r="E58" s="11"/>
      <c r="F58" s="11"/>
      <c r="G58" s="12" t="s">
        <v>183</v>
      </c>
      <c r="H58" s="13" t="s">
        <v>184</v>
      </c>
      <c r="I58" s="12"/>
      <c r="J58" s="12"/>
      <c r="K58" s="12"/>
      <c r="L58" s="12"/>
      <c r="M58" s="12"/>
      <c r="N58" s="14" t="s">
        <v>182</v>
      </c>
    </row>
    <row r="59" spans="2:14" x14ac:dyDescent="0.25">
      <c r="B59" s="9">
        <v>50</v>
      </c>
      <c r="C59" s="16" t="s">
        <v>53</v>
      </c>
      <c r="D59" s="11"/>
      <c r="E59" s="12" t="s">
        <v>185</v>
      </c>
      <c r="F59" s="12" t="s">
        <v>186</v>
      </c>
      <c r="G59" s="12" t="s">
        <v>11</v>
      </c>
      <c r="H59" s="13" t="s">
        <v>187</v>
      </c>
      <c r="I59" s="12"/>
      <c r="J59" s="12"/>
      <c r="K59" s="12"/>
      <c r="L59" s="12"/>
      <c r="M59" s="12"/>
      <c r="N59" s="14" t="s">
        <v>178</v>
      </c>
    </row>
    <row r="60" spans="2:14" x14ac:dyDescent="0.25">
      <c r="B60" s="9">
        <v>51</v>
      </c>
      <c r="C60" s="10" t="s">
        <v>22</v>
      </c>
      <c r="D60" s="11"/>
      <c r="E60" s="11" t="s">
        <v>188</v>
      </c>
      <c r="F60" s="12" t="s">
        <v>189</v>
      </c>
      <c r="G60" s="12" t="s">
        <v>11</v>
      </c>
      <c r="H60" s="13" t="s">
        <v>190</v>
      </c>
      <c r="I60" s="12"/>
      <c r="J60" s="12"/>
      <c r="K60" s="12"/>
      <c r="L60" s="12"/>
      <c r="M60" s="12"/>
      <c r="N60" s="14" t="s">
        <v>191</v>
      </c>
    </row>
    <row r="61" spans="2:14" x14ac:dyDescent="0.25">
      <c r="B61" s="9">
        <v>52</v>
      </c>
      <c r="C61" s="15" t="s">
        <v>31</v>
      </c>
      <c r="D61" s="11"/>
      <c r="E61" s="11"/>
      <c r="F61" s="12" t="s">
        <v>192</v>
      </c>
      <c r="G61" s="12" t="s">
        <v>11</v>
      </c>
      <c r="H61" s="13" t="s">
        <v>193</v>
      </c>
      <c r="I61" s="12"/>
      <c r="J61" s="12"/>
      <c r="K61" s="12"/>
      <c r="L61" s="12"/>
      <c r="M61" s="12"/>
      <c r="N61" s="14" t="s">
        <v>191</v>
      </c>
    </row>
    <row r="62" spans="2:14" x14ac:dyDescent="0.25">
      <c r="B62" s="9">
        <v>53</v>
      </c>
      <c r="C62" s="10" t="s">
        <v>22</v>
      </c>
      <c r="D62" s="11"/>
      <c r="E62" s="11"/>
      <c r="F62" s="12" t="s">
        <v>194</v>
      </c>
      <c r="G62" s="12" t="s">
        <v>11</v>
      </c>
      <c r="H62" s="13" t="s">
        <v>195</v>
      </c>
      <c r="I62" s="12"/>
      <c r="J62" s="12"/>
      <c r="K62" s="12"/>
      <c r="L62" s="12"/>
      <c r="M62" s="12"/>
      <c r="N62" s="14" t="s">
        <v>191</v>
      </c>
    </row>
    <row r="63" spans="2:14" x14ac:dyDescent="0.25">
      <c r="B63" s="9">
        <v>54</v>
      </c>
      <c r="C63" s="10" t="s">
        <v>22</v>
      </c>
      <c r="D63" s="11"/>
      <c r="E63" s="11"/>
      <c r="F63" s="12" t="s">
        <v>196</v>
      </c>
      <c r="G63" s="12" t="s">
        <v>11</v>
      </c>
      <c r="H63" s="13" t="s">
        <v>197</v>
      </c>
      <c r="I63" s="12"/>
      <c r="J63" s="12"/>
      <c r="K63" s="12"/>
      <c r="L63" s="12"/>
      <c r="M63" s="12"/>
      <c r="N63" s="14" t="s">
        <v>191</v>
      </c>
    </row>
    <row r="64" spans="2:14" x14ac:dyDescent="0.25">
      <c r="B64" s="9">
        <v>55</v>
      </c>
      <c r="C64" s="15" t="s">
        <v>31</v>
      </c>
      <c r="D64" s="11"/>
      <c r="E64" s="11"/>
      <c r="F64" s="11" t="s">
        <v>198</v>
      </c>
      <c r="G64" s="12" t="s">
        <v>11</v>
      </c>
      <c r="H64" s="13" t="s">
        <v>199</v>
      </c>
      <c r="I64" s="12"/>
      <c r="J64" s="12"/>
      <c r="K64" s="12"/>
      <c r="L64" s="12"/>
      <c r="M64" s="12"/>
      <c r="N64" s="14" t="s">
        <v>173</v>
      </c>
    </row>
    <row r="65" spans="2:14" x14ac:dyDescent="0.25">
      <c r="B65" s="9">
        <v>56</v>
      </c>
      <c r="C65" s="10" t="s">
        <v>22</v>
      </c>
      <c r="D65" s="11"/>
      <c r="E65" s="12" t="s">
        <v>49</v>
      </c>
      <c r="F65" s="11"/>
      <c r="G65" s="12" t="s">
        <v>11</v>
      </c>
      <c r="H65" s="13" t="s">
        <v>200</v>
      </c>
      <c r="I65" s="12"/>
      <c r="J65" s="12"/>
      <c r="K65" s="12"/>
      <c r="L65" s="12"/>
      <c r="M65" s="12"/>
      <c r="N65" s="14" t="s">
        <v>173</v>
      </c>
    </row>
    <row r="66" spans="2:14" x14ac:dyDescent="0.25">
      <c r="B66" s="9">
        <v>57</v>
      </c>
      <c r="C66" s="10" t="s">
        <v>22</v>
      </c>
      <c r="D66" s="11" t="s">
        <v>201</v>
      </c>
      <c r="E66" s="11" t="s">
        <v>202</v>
      </c>
      <c r="F66" s="11" t="s">
        <v>203</v>
      </c>
      <c r="G66" s="12" t="s">
        <v>204</v>
      </c>
      <c r="H66" s="13" t="s">
        <v>205</v>
      </c>
      <c r="I66" s="12"/>
      <c r="J66" s="12"/>
      <c r="K66" s="12"/>
      <c r="L66" s="12"/>
      <c r="M66" s="12"/>
      <c r="N66" s="14" t="s">
        <v>206</v>
      </c>
    </row>
    <row r="67" spans="2:14" x14ac:dyDescent="0.25">
      <c r="B67" s="9">
        <v>58</v>
      </c>
      <c r="C67" s="16" t="s">
        <v>53</v>
      </c>
      <c r="D67" s="11"/>
      <c r="E67" s="11"/>
      <c r="F67" s="11"/>
      <c r="G67" s="12" t="s">
        <v>207</v>
      </c>
      <c r="H67" s="13" t="s">
        <v>208</v>
      </c>
      <c r="I67" s="12"/>
      <c r="J67" s="12"/>
      <c r="K67" s="12"/>
      <c r="L67" s="12"/>
      <c r="M67" s="12"/>
      <c r="N67" s="14" t="s">
        <v>206</v>
      </c>
    </row>
    <row r="68" spans="2:14" x14ac:dyDescent="0.25">
      <c r="B68" s="9">
        <v>59</v>
      </c>
      <c r="C68" s="10" t="s">
        <v>22</v>
      </c>
      <c r="D68" s="11"/>
      <c r="E68" s="11"/>
      <c r="F68" s="11" t="s">
        <v>209</v>
      </c>
      <c r="G68" s="12" t="s">
        <v>210</v>
      </c>
      <c r="H68" s="13" t="s">
        <v>211</v>
      </c>
      <c r="I68" s="12"/>
      <c r="J68" s="12"/>
      <c r="K68" s="12"/>
      <c r="L68" s="12"/>
      <c r="M68" s="12"/>
      <c r="N68" s="14" t="s">
        <v>212</v>
      </c>
    </row>
    <row r="69" spans="2:14" x14ac:dyDescent="0.25">
      <c r="B69" s="9">
        <v>60</v>
      </c>
      <c r="C69" s="10" t="s">
        <v>22</v>
      </c>
      <c r="D69" s="11"/>
      <c r="E69" s="11"/>
      <c r="F69" s="11"/>
      <c r="G69" s="12" t="s">
        <v>80</v>
      </c>
      <c r="H69" s="13" t="s">
        <v>213</v>
      </c>
      <c r="I69" s="12"/>
      <c r="J69" s="12"/>
      <c r="K69" s="12"/>
      <c r="L69" s="12"/>
      <c r="M69" s="12"/>
      <c r="N69" s="14" t="s">
        <v>212</v>
      </c>
    </row>
    <row r="70" spans="2:14" x14ac:dyDescent="0.25">
      <c r="B70" s="9">
        <v>61</v>
      </c>
      <c r="C70" s="16" t="s">
        <v>53</v>
      </c>
      <c r="D70" s="11"/>
      <c r="E70" s="11"/>
      <c r="F70" s="11"/>
      <c r="G70" s="12" t="s">
        <v>214</v>
      </c>
      <c r="H70" s="13" t="s">
        <v>215</v>
      </c>
      <c r="I70" s="12"/>
      <c r="J70" s="12"/>
      <c r="K70" s="12"/>
      <c r="L70" s="12"/>
      <c r="M70" s="12"/>
      <c r="N70" s="14" t="s">
        <v>216</v>
      </c>
    </row>
    <row r="71" spans="2:14" x14ac:dyDescent="0.25">
      <c r="B71" s="9">
        <v>62</v>
      </c>
      <c r="C71" s="15" t="s">
        <v>31</v>
      </c>
      <c r="D71" s="11"/>
      <c r="E71" s="11"/>
      <c r="F71" s="11" t="s">
        <v>217</v>
      </c>
      <c r="G71" s="12" t="s">
        <v>218</v>
      </c>
      <c r="H71" s="13" t="s">
        <v>219</v>
      </c>
      <c r="I71" s="12"/>
      <c r="J71" s="12"/>
      <c r="K71" s="12"/>
      <c r="L71" s="12"/>
      <c r="M71" s="12"/>
      <c r="N71" s="14" t="s">
        <v>220</v>
      </c>
    </row>
    <row r="72" spans="2:14" x14ac:dyDescent="0.25">
      <c r="B72" s="9">
        <v>63</v>
      </c>
      <c r="C72" s="10" t="s">
        <v>22</v>
      </c>
      <c r="D72" s="11"/>
      <c r="E72" s="11"/>
      <c r="F72" s="11"/>
      <c r="G72" s="12" t="s">
        <v>221</v>
      </c>
      <c r="H72" s="13" t="s">
        <v>222</v>
      </c>
      <c r="I72" s="12"/>
      <c r="J72" s="12"/>
      <c r="K72" s="12"/>
      <c r="L72" s="12"/>
      <c r="M72" s="12"/>
      <c r="N72" s="14" t="s">
        <v>220</v>
      </c>
    </row>
    <row r="73" spans="2:14" x14ac:dyDescent="0.25">
      <c r="B73" s="9">
        <v>64</v>
      </c>
      <c r="C73" s="10" t="s">
        <v>22</v>
      </c>
      <c r="D73" s="11"/>
      <c r="E73" s="11" t="s">
        <v>223</v>
      </c>
      <c r="F73" s="11" t="s">
        <v>224</v>
      </c>
      <c r="G73" s="12" t="s">
        <v>225</v>
      </c>
      <c r="H73" s="13" t="s">
        <v>226</v>
      </c>
      <c r="I73" s="12"/>
      <c r="J73" s="12"/>
      <c r="K73" s="12"/>
      <c r="L73" s="12"/>
      <c r="M73" s="12"/>
      <c r="N73" s="14" t="s">
        <v>227</v>
      </c>
    </row>
    <row r="74" spans="2:14" x14ac:dyDescent="0.25">
      <c r="B74" s="9">
        <v>65</v>
      </c>
      <c r="C74" s="15" t="s">
        <v>31</v>
      </c>
      <c r="D74" s="11"/>
      <c r="E74" s="11"/>
      <c r="F74" s="11"/>
      <c r="G74" s="12" t="s">
        <v>228</v>
      </c>
      <c r="H74" s="13" t="s">
        <v>229</v>
      </c>
      <c r="I74" s="12"/>
      <c r="J74" s="12"/>
      <c r="K74" s="12"/>
      <c r="L74" s="12"/>
      <c r="M74" s="12"/>
      <c r="N74" s="14" t="s">
        <v>227</v>
      </c>
    </row>
    <row r="75" spans="2:14" x14ac:dyDescent="0.25">
      <c r="B75" s="9">
        <v>66</v>
      </c>
      <c r="C75" s="15" t="s">
        <v>31</v>
      </c>
      <c r="D75" s="11"/>
      <c r="E75" s="11"/>
      <c r="F75" s="11"/>
      <c r="G75" s="12" t="s">
        <v>230</v>
      </c>
      <c r="H75" s="13" t="s">
        <v>231</v>
      </c>
      <c r="I75" s="12"/>
      <c r="J75" s="12"/>
      <c r="K75" s="12"/>
      <c r="L75" s="12"/>
      <c r="M75" s="12"/>
      <c r="N75" s="14" t="s">
        <v>227</v>
      </c>
    </row>
    <row r="76" spans="2:14" x14ac:dyDescent="0.25">
      <c r="B76" s="9">
        <v>67</v>
      </c>
      <c r="C76" s="10" t="s">
        <v>22</v>
      </c>
      <c r="D76" s="11"/>
      <c r="E76" s="11"/>
      <c r="F76" s="11" t="s">
        <v>232</v>
      </c>
      <c r="G76" s="12" t="s">
        <v>233</v>
      </c>
      <c r="H76" s="13" t="s">
        <v>234</v>
      </c>
      <c r="I76" s="12"/>
      <c r="J76" s="12"/>
      <c r="K76" s="12"/>
      <c r="L76" s="12"/>
      <c r="M76" s="12"/>
      <c r="N76" s="14" t="s">
        <v>227</v>
      </c>
    </row>
    <row r="77" spans="2:14" x14ac:dyDescent="0.25">
      <c r="B77" s="9">
        <v>68</v>
      </c>
      <c r="C77" s="16" t="s">
        <v>53</v>
      </c>
      <c r="D77" s="11"/>
      <c r="E77" s="11"/>
      <c r="F77" s="11"/>
      <c r="G77" s="12" t="s">
        <v>235</v>
      </c>
      <c r="H77" s="13" t="s">
        <v>236</v>
      </c>
      <c r="I77" s="12"/>
      <c r="J77" s="12"/>
      <c r="K77" s="12"/>
      <c r="L77" s="12"/>
      <c r="M77" s="12"/>
      <c r="N77" s="14" t="s">
        <v>227</v>
      </c>
    </row>
    <row r="78" spans="2:14" x14ac:dyDescent="0.25">
      <c r="B78" s="9">
        <v>69</v>
      </c>
      <c r="C78" s="10" t="s">
        <v>22</v>
      </c>
      <c r="D78" s="11"/>
      <c r="E78" s="11"/>
      <c r="F78" s="11" t="s">
        <v>237</v>
      </c>
      <c r="G78" s="12" t="s">
        <v>238</v>
      </c>
      <c r="H78" s="13" t="s">
        <v>239</v>
      </c>
      <c r="I78" s="12"/>
      <c r="J78" s="12"/>
      <c r="K78" s="12"/>
      <c r="L78" s="12"/>
      <c r="M78" s="12"/>
      <c r="N78" s="14" t="s">
        <v>240</v>
      </c>
    </row>
    <row r="79" spans="2:14" x14ac:dyDescent="0.25">
      <c r="B79" s="9">
        <v>70</v>
      </c>
      <c r="C79" s="10" t="s">
        <v>22</v>
      </c>
      <c r="D79" s="11"/>
      <c r="E79" s="11"/>
      <c r="F79" s="11"/>
      <c r="G79" s="12" t="s">
        <v>241</v>
      </c>
      <c r="H79" s="13" t="s">
        <v>242</v>
      </c>
      <c r="I79" s="12"/>
      <c r="J79" s="12"/>
      <c r="K79" s="12"/>
      <c r="L79" s="12"/>
      <c r="M79" s="12"/>
      <c r="N79" s="14" t="s">
        <v>240</v>
      </c>
    </row>
    <row r="80" spans="2:14" x14ac:dyDescent="0.25">
      <c r="B80" s="9">
        <v>71</v>
      </c>
      <c r="C80" s="10" t="s">
        <v>22</v>
      </c>
      <c r="D80" s="11"/>
      <c r="E80" s="11" t="s">
        <v>243</v>
      </c>
      <c r="F80" s="11" t="s">
        <v>244</v>
      </c>
      <c r="G80" s="12" t="s">
        <v>245</v>
      </c>
      <c r="H80" s="13" t="s">
        <v>246</v>
      </c>
      <c r="I80" s="12"/>
      <c r="J80" s="12"/>
      <c r="K80" s="12"/>
      <c r="L80" s="12"/>
      <c r="M80" s="12"/>
      <c r="N80" s="14" t="s">
        <v>247</v>
      </c>
    </row>
    <row r="81" spans="2:14" x14ac:dyDescent="0.25">
      <c r="B81" s="9">
        <v>72</v>
      </c>
      <c r="C81" s="10" t="s">
        <v>22</v>
      </c>
      <c r="D81" s="11"/>
      <c r="E81" s="11"/>
      <c r="F81" s="11"/>
      <c r="G81" s="12" t="s">
        <v>248</v>
      </c>
      <c r="H81" s="13" t="s">
        <v>249</v>
      </c>
      <c r="I81" s="12"/>
      <c r="J81" s="12"/>
      <c r="K81" s="12"/>
      <c r="L81" s="12"/>
      <c r="M81" s="12"/>
      <c r="N81" s="14" t="s">
        <v>247</v>
      </c>
    </row>
    <row r="82" spans="2:14" x14ac:dyDescent="0.25">
      <c r="B82" s="9">
        <v>73</v>
      </c>
      <c r="C82" s="15" t="s">
        <v>31</v>
      </c>
      <c r="D82" s="11"/>
      <c r="E82" s="11"/>
      <c r="F82" s="12" t="s">
        <v>250</v>
      </c>
      <c r="G82" s="12" t="s">
        <v>11</v>
      </c>
      <c r="H82" s="13" t="s">
        <v>251</v>
      </c>
      <c r="I82" s="12"/>
      <c r="J82" s="12"/>
      <c r="K82" s="12"/>
      <c r="L82" s="12"/>
      <c r="M82" s="12"/>
      <c r="N82" s="14" t="s">
        <v>247</v>
      </c>
    </row>
    <row r="83" spans="2:14" x14ac:dyDescent="0.25">
      <c r="B83" s="9">
        <v>74</v>
      </c>
      <c r="C83" s="10" t="s">
        <v>22</v>
      </c>
      <c r="D83" s="11"/>
      <c r="E83" s="11"/>
      <c r="F83" s="11" t="s">
        <v>252</v>
      </c>
      <c r="G83" s="12" t="s">
        <v>253</v>
      </c>
      <c r="H83" s="13" t="s">
        <v>254</v>
      </c>
      <c r="I83" s="12"/>
      <c r="J83" s="12"/>
      <c r="K83" s="12"/>
      <c r="L83" s="12"/>
      <c r="M83" s="12"/>
      <c r="N83" s="14" t="s">
        <v>255</v>
      </c>
    </row>
    <row r="84" spans="2:14" x14ac:dyDescent="0.25">
      <c r="B84" s="9">
        <v>75</v>
      </c>
      <c r="C84" s="10" t="s">
        <v>22</v>
      </c>
      <c r="D84" s="11"/>
      <c r="E84" s="11"/>
      <c r="F84" s="11"/>
      <c r="G84" s="12" t="s">
        <v>256</v>
      </c>
      <c r="H84" s="13" t="s">
        <v>257</v>
      </c>
      <c r="I84" s="12"/>
      <c r="J84" s="12"/>
      <c r="K84" s="12"/>
      <c r="L84" s="12"/>
      <c r="M84" s="12"/>
      <c r="N84" s="14" t="s">
        <v>255</v>
      </c>
    </row>
    <row r="85" spans="2:14" x14ac:dyDescent="0.25">
      <c r="B85" s="9">
        <v>76</v>
      </c>
      <c r="C85" s="10" t="s">
        <v>22</v>
      </c>
      <c r="D85" s="11"/>
      <c r="E85" s="11"/>
      <c r="F85" s="11"/>
      <c r="G85" s="12" t="s">
        <v>258</v>
      </c>
      <c r="H85" s="13" t="s">
        <v>259</v>
      </c>
      <c r="I85" s="12"/>
      <c r="J85" s="12"/>
      <c r="K85" s="12"/>
      <c r="L85" s="12"/>
      <c r="M85" s="12"/>
      <c r="N85" s="14" t="s">
        <v>255</v>
      </c>
    </row>
    <row r="86" spans="2:14" x14ac:dyDescent="0.25">
      <c r="B86" s="9">
        <v>77</v>
      </c>
      <c r="C86" s="16" t="s">
        <v>53</v>
      </c>
      <c r="D86" s="11"/>
      <c r="E86" s="11"/>
      <c r="F86" s="12" t="s">
        <v>260</v>
      </c>
      <c r="G86" s="12" t="s">
        <v>261</v>
      </c>
      <c r="H86" s="13" t="s">
        <v>262</v>
      </c>
      <c r="I86" s="12"/>
      <c r="J86" s="12"/>
      <c r="K86" s="12"/>
      <c r="L86" s="12"/>
      <c r="M86" s="12"/>
      <c r="N86" s="14" t="s">
        <v>263</v>
      </c>
    </row>
    <row r="87" spans="2:14" x14ac:dyDescent="0.25">
      <c r="B87" s="9">
        <v>78</v>
      </c>
      <c r="C87" s="15" t="s">
        <v>31</v>
      </c>
      <c r="D87" s="11"/>
      <c r="E87" s="11" t="s">
        <v>264</v>
      </c>
      <c r="F87" s="12" t="s">
        <v>265</v>
      </c>
      <c r="G87" s="12" t="s">
        <v>11</v>
      </c>
      <c r="H87" s="13" t="s">
        <v>266</v>
      </c>
      <c r="I87" s="12"/>
      <c r="J87" s="12"/>
      <c r="K87" s="12"/>
      <c r="L87" s="12"/>
      <c r="M87" s="12"/>
      <c r="N87" s="14" t="s">
        <v>267</v>
      </c>
    </row>
    <row r="88" spans="2:14" x14ac:dyDescent="0.25">
      <c r="B88" s="9">
        <v>79</v>
      </c>
      <c r="C88" s="10" t="s">
        <v>22</v>
      </c>
      <c r="D88" s="11"/>
      <c r="E88" s="11"/>
      <c r="F88" s="12" t="s">
        <v>268</v>
      </c>
      <c r="G88" s="12" t="s">
        <v>11</v>
      </c>
      <c r="H88" s="13" t="s">
        <v>269</v>
      </c>
      <c r="I88" s="12"/>
      <c r="J88" s="12"/>
      <c r="K88" s="12"/>
      <c r="L88" s="12"/>
      <c r="M88" s="12"/>
      <c r="N88" s="14" t="s">
        <v>267</v>
      </c>
    </row>
    <row r="89" spans="2:14" x14ac:dyDescent="0.25">
      <c r="B89" s="9">
        <v>80</v>
      </c>
      <c r="C89" s="15" t="s">
        <v>31</v>
      </c>
      <c r="D89" s="11"/>
      <c r="E89" s="11"/>
      <c r="F89" s="12" t="s">
        <v>270</v>
      </c>
      <c r="G89" s="12" t="s">
        <v>11</v>
      </c>
      <c r="H89" s="13" t="s">
        <v>271</v>
      </c>
      <c r="I89" s="12"/>
      <c r="J89" s="12"/>
      <c r="K89" s="12"/>
      <c r="L89" s="12"/>
      <c r="M89" s="12"/>
      <c r="N89" s="14" t="s">
        <v>272</v>
      </c>
    </row>
    <row r="90" spans="2:14" x14ac:dyDescent="0.25">
      <c r="B90" s="9">
        <v>81</v>
      </c>
      <c r="C90" s="15" t="s">
        <v>31</v>
      </c>
      <c r="D90" s="11"/>
      <c r="E90" s="11" t="s">
        <v>273</v>
      </c>
      <c r="F90" s="12" t="s">
        <v>274</v>
      </c>
      <c r="G90" s="12" t="s">
        <v>11</v>
      </c>
      <c r="H90" s="13" t="s">
        <v>275</v>
      </c>
      <c r="I90" s="12"/>
      <c r="J90" s="12"/>
      <c r="K90" s="12"/>
      <c r="L90" s="12"/>
      <c r="M90" s="12"/>
      <c r="N90" s="14" t="s">
        <v>276</v>
      </c>
    </row>
    <row r="91" spans="2:14" x14ac:dyDescent="0.25">
      <c r="B91" s="9">
        <v>82</v>
      </c>
      <c r="C91" s="10" t="s">
        <v>22</v>
      </c>
      <c r="D91" s="11"/>
      <c r="E91" s="11"/>
      <c r="F91" s="11" t="s">
        <v>277</v>
      </c>
      <c r="G91" s="12" t="s">
        <v>278</v>
      </c>
      <c r="H91" s="13" t="s">
        <v>279</v>
      </c>
      <c r="I91" s="12"/>
      <c r="J91" s="12"/>
      <c r="K91" s="12"/>
      <c r="L91" s="12"/>
      <c r="M91" s="12"/>
      <c r="N91" s="14" t="s">
        <v>280</v>
      </c>
    </row>
    <row r="92" spans="2:14" x14ac:dyDescent="0.25">
      <c r="B92" s="9">
        <v>83</v>
      </c>
      <c r="C92" s="10" t="s">
        <v>22</v>
      </c>
      <c r="D92" s="11"/>
      <c r="E92" s="11"/>
      <c r="F92" s="11"/>
      <c r="G92" s="12" t="s">
        <v>281</v>
      </c>
      <c r="H92" s="13" t="s">
        <v>282</v>
      </c>
      <c r="I92" s="12"/>
      <c r="J92" s="12"/>
      <c r="K92" s="12"/>
      <c r="L92" s="12"/>
      <c r="M92" s="12"/>
      <c r="N92" s="14" t="s">
        <v>280</v>
      </c>
    </row>
    <row r="93" spans="2:14" x14ac:dyDescent="0.25">
      <c r="B93" s="9">
        <v>84</v>
      </c>
      <c r="C93" s="10" t="s">
        <v>22</v>
      </c>
      <c r="D93" s="11"/>
      <c r="E93" s="11"/>
      <c r="F93" s="11"/>
      <c r="G93" s="12" t="s">
        <v>283</v>
      </c>
      <c r="H93" s="13" t="s">
        <v>284</v>
      </c>
      <c r="I93" s="12"/>
      <c r="J93" s="12"/>
      <c r="K93" s="12"/>
      <c r="L93" s="12"/>
      <c r="M93" s="12"/>
      <c r="N93" s="14" t="s">
        <v>280</v>
      </c>
    </row>
    <row r="94" spans="2:14" x14ac:dyDescent="0.25">
      <c r="B94" s="9">
        <v>85</v>
      </c>
      <c r="C94" s="15" t="s">
        <v>31</v>
      </c>
      <c r="D94" s="11"/>
      <c r="E94" s="11"/>
      <c r="F94" s="11"/>
      <c r="G94" s="12" t="s">
        <v>285</v>
      </c>
      <c r="H94" s="13" t="s">
        <v>286</v>
      </c>
      <c r="I94" s="12"/>
      <c r="J94" s="12"/>
      <c r="K94" s="12"/>
      <c r="L94" s="12"/>
      <c r="M94" s="12"/>
      <c r="N94" s="14" t="s">
        <v>280</v>
      </c>
    </row>
    <row r="95" spans="2:14" x14ac:dyDescent="0.25">
      <c r="B95" s="9">
        <v>86</v>
      </c>
      <c r="C95" s="15" t="s">
        <v>31</v>
      </c>
      <c r="D95" s="11"/>
      <c r="E95" s="11"/>
      <c r="F95" s="11" t="s">
        <v>287</v>
      </c>
      <c r="G95" s="12" t="s">
        <v>288</v>
      </c>
      <c r="H95" s="13" t="s">
        <v>289</v>
      </c>
      <c r="I95" s="12"/>
      <c r="J95" s="12"/>
      <c r="K95" s="12"/>
      <c r="L95" s="12"/>
      <c r="M95" s="12"/>
      <c r="N95" s="14" t="s">
        <v>290</v>
      </c>
    </row>
    <row r="96" spans="2:14" x14ac:dyDescent="0.25">
      <c r="B96" s="9">
        <v>87</v>
      </c>
      <c r="C96" s="15" t="s">
        <v>31</v>
      </c>
      <c r="D96" s="11"/>
      <c r="E96" s="11"/>
      <c r="F96" s="11"/>
      <c r="G96" s="12" t="s">
        <v>291</v>
      </c>
      <c r="H96" s="13" t="s">
        <v>292</v>
      </c>
      <c r="I96" s="12"/>
      <c r="J96" s="12"/>
      <c r="K96" s="12"/>
      <c r="L96" s="12"/>
      <c r="M96" s="12"/>
      <c r="N96" s="14" t="s">
        <v>290</v>
      </c>
    </row>
    <row r="97" spans="2:14" x14ac:dyDescent="0.25">
      <c r="B97" s="9">
        <v>88</v>
      </c>
      <c r="C97" s="10" t="s">
        <v>22</v>
      </c>
      <c r="D97" s="11"/>
      <c r="E97" s="11"/>
      <c r="F97" s="11"/>
      <c r="G97" s="12" t="s">
        <v>293</v>
      </c>
      <c r="H97" s="13" t="s">
        <v>294</v>
      </c>
      <c r="I97" s="12"/>
      <c r="J97" s="12"/>
      <c r="K97" s="12"/>
      <c r="L97" s="12"/>
      <c r="M97" s="12"/>
      <c r="N97" s="14" t="s">
        <v>290</v>
      </c>
    </row>
    <row r="98" spans="2:14" x14ac:dyDescent="0.25">
      <c r="B98" s="9">
        <v>89</v>
      </c>
      <c r="C98" s="10" t="s">
        <v>22</v>
      </c>
      <c r="D98" s="11"/>
      <c r="E98" s="11"/>
      <c r="F98" s="11"/>
      <c r="G98" s="12" t="s">
        <v>295</v>
      </c>
      <c r="H98" s="13" t="s">
        <v>296</v>
      </c>
      <c r="I98" s="12"/>
      <c r="J98" s="12"/>
      <c r="K98" s="12"/>
      <c r="L98" s="12"/>
      <c r="M98" s="12"/>
      <c r="N98" s="14" t="s">
        <v>290</v>
      </c>
    </row>
    <row r="99" spans="2:14" x14ac:dyDescent="0.25">
      <c r="B99" s="9">
        <v>90</v>
      </c>
      <c r="C99" s="10" t="s">
        <v>22</v>
      </c>
      <c r="D99" s="11"/>
      <c r="E99" s="11"/>
      <c r="F99" s="12" t="s">
        <v>297</v>
      </c>
      <c r="G99" s="12" t="s">
        <v>298</v>
      </c>
      <c r="H99" s="13" t="s">
        <v>299</v>
      </c>
      <c r="I99" s="12"/>
      <c r="J99" s="12"/>
      <c r="K99" s="12"/>
      <c r="L99" s="12"/>
      <c r="M99" s="12"/>
      <c r="N99" s="14" t="s">
        <v>300</v>
      </c>
    </row>
    <row r="100" spans="2:14" x14ac:dyDescent="0.25">
      <c r="B100" s="9">
        <v>91</v>
      </c>
      <c r="C100" s="15" t="s">
        <v>31</v>
      </c>
      <c r="D100" s="11" t="s">
        <v>301</v>
      </c>
      <c r="E100" s="11" t="s">
        <v>302</v>
      </c>
      <c r="F100" s="12" t="s">
        <v>303</v>
      </c>
      <c r="G100" s="12" t="s">
        <v>11</v>
      </c>
      <c r="H100" s="13" t="s">
        <v>304</v>
      </c>
      <c r="I100" s="12"/>
      <c r="J100" s="12"/>
      <c r="K100" s="12"/>
      <c r="L100" s="12"/>
      <c r="M100" s="12"/>
      <c r="N100" s="14" t="s">
        <v>305</v>
      </c>
    </row>
    <row r="101" spans="2:14" x14ac:dyDescent="0.25">
      <c r="B101" s="9">
        <v>92</v>
      </c>
      <c r="C101" s="15" t="s">
        <v>31</v>
      </c>
      <c r="D101" s="11"/>
      <c r="E101" s="11"/>
      <c r="F101" s="12" t="s">
        <v>306</v>
      </c>
      <c r="G101" s="12" t="s">
        <v>11</v>
      </c>
      <c r="H101" s="13" t="s">
        <v>307</v>
      </c>
      <c r="I101" s="12"/>
      <c r="J101" s="12"/>
      <c r="K101" s="12"/>
      <c r="L101" s="12"/>
      <c r="M101" s="12"/>
      <c r="N101" s="14" t="s">
        <v>305</v>
      </c>
    </row>
    <row r="102" spans="2:14" x14ac:dyDescent="0.25">
      <c r="B102" s="9">
        <v>93</v>
      </c>
      <c r="C102" s="10" t="s">
        <v>22</v>
      </c>
      <c r="D102" s="11"/>
      <c r="E102" s="11"/>
      <c r="F102" s="12" t="s">
        <v>204</v>
      </c>
      <c r="G102" s="12" t="s">
        <v>11</v>
      </c>
      <c r="H102" s="13" t="s">
        <v>308</v>
      </c>
      <c r="I102" s="12"/>
      <c r="J102" s="12"/>
      <c r="K102" s="12"/>
      <c r="L102" s="12"/>
      <c r="M102" s="12"/>
      <c r="N102" s="14" t="s">
        <v>305</v>
      </c>
    </row>
    <row r="103" spans="2:14" x14ac:dyDescent="0.25">
      <c r="B103" s="9">
        <v>94</v>
      </c>
      <c r="C103" s="10" t="s">
        <v>22</v>
      </c>
      <c r="D103" s="11"/>
      <c r="E103" s="11" t="s">
        <v>309</v>
      </c>
      <c r="F103" s="12" t="s">
        <v>310</v>
      </c>
      <c r="G103" s="12" t="s">
        <v>11</v>
      </c>
      <c r="H103" s="13" t="s">
        <v>311</v>
      </c>
      <c r="I103" s="12"/>
      <c r="J103" s="12"/>
      <c r="K103" s="12"/>
      <c r="L103" s="12"/>
      <c r="M103" s="12"/>
      <c r="N103" s="14" t="s">
        <v>305</v>
      </c>
    </row>
    <row r="104" spans="2:14" x14ac:dyDescent="0.25">
      <c r="B104" s="9">
        <v>95</v>
      </c>
      <c r="C104" s="10" t="s">
        <v>22</v>
      </c>
      <c r="D104" s="11"/>
      <c r="E104" s="11"/>
      <c r="F104" s="12" t="s">
        <v>312</v>
      </c>
      <c r="G104" s="12" t="s">
        <v>11</v>
      </c>
      <c r="H104" s="13" t="s">
        <v>313</v>
      </c>
      <c r="I104" s="12"/>
      <c r="J104" s="12"/>
      <c r="K104" s="12"/>
      <c r="L104" s="12"/>
      <c r="M104" s="12"/>
      <c r="N104" s="14" t="s">
        <v>305</v>
      </c>
    </row>
    <row r="105" spans="2:14" x14ac:dyDescent="0.25">
      <c r="B105" s="9">
        <v>96</v>
      </c>
      <c r="C105" s="16" t="s">
        <v>53</v>
      </c>
      <c r="D105" s="11"/>
      <c r="E105" s="11"/>
      <c r="F105" s="12" t="s">
        <v>314</v>
      </c>
      <c r="G105" s="12" t="s">
        <v>11</v>
      </c>
      <c r="H105" s="13" t="s">
        <v>315</v>
      </c>
      <c r="I105" s="12"/>
      <c r="J105" s="12"/>
      <c r="K105" s="12"/>
      <c r="L105" s="12"/>
      <c r="M105" s="12"/>
      <c r="N105" s="14" t="s">
        <v>305</v>
      </c>
    </row>
    <row r="106" spans="2:14" x14ac:dyDescent="0.25">
      <c r="B106" s="9">
        <v>97</v>
      </c>
      <c r="C106" s="10" t="s">
        <v>22</v>
      </c>
      <c r="D106" s="11"/>
      <c r="E106" s="12" t="s">
        <v>316</v>
      </c>
      <c r="F106" s="12" t="s">
        <v>317</v>
      </c>
      <c r="G106" s="12" t="s">
        <v>11</v>
      </c>
      <c r="H106" s="13" t="s">
        <v>318</v>
      </c>
      <c r="I106" s="12"/>
      <c r="J106" s="12"/>
      <c r="K106" s="12"/>
      <c r="L106" s="12"/>
      <c r="M106" s="12"/>
      <c r="N106" s="14" t="s">
        <v>305</v>
      </c>
    </row>
    <row r="107" spans="2:14" x14ac:dyDescent="0.25">
      <c r="B107" s="9">
        <v>98</v>
      </c>
      <c r="C107" s="10" t="s">
        <v>22</v>
      </c>
      <c r="D107" s="11" t="s">
        <v>319</v>
      </c>
      <c r="E107" s="11" t="s">
        <v>320</v>
      </c>
      <c r="F107" s="11" t="s">
        <v>321</v>
      </c>
      <c r="G107" s="12" t="s">
        <v>322</v>
      </c>
      <c r="H107" s="13" t="s">
        <v>323</v>
      </c>
      <c r="I107" s="12"/>
      <c r="J107" s="12"/>
      <c r="K107" s="12"/>
      <c r="L107" s="12"/>
      <c r="M107" s="12"/>
      <c r="N107" s="14" t="s">
        <v>324</v>
      </c>
    </row>
    <row r="108" spans="2:14" x14ac:dyDescent="0.25">
      <c r="B108" s="9">
        <v>99</v>
      </c>
      <c r="C108" s="10" t="s">
        <v>22</v>
      </c>
      <c r="D108" s="11"/>
      <c r="E108" s="11"/>
      <c r="F108" s="11"/>
      <c r="G108" s="12" t="s">
        <v>325</v>
      </c>
      <c r="H108" s="13" t="s">
        <v>326</v>
      </c>
      <c r="I108" s="12"/>
      <c r="J108" s="12"/>
      <c r="K108" s="12"/>
      <c r="L108" s="12"/>
      <c r="M108" s="12"/>
      <c r="N108" s="14" t="s">
        <v>324</v>
      </c>
    </row>
    <row r="109" spans="2:14" x14ac:dyDescent="0.25">
      <c r="B109" s="9">
        <v>100</v>
      </c>
      <c r="C109" s="15" t="s">
        <v>31</v>
      </c>
      <c r="D109" s="11"/>
      <c r="E109" s="11"/>
      <c r="F109" s="11"/>
      <c r="G109" s="12" t="s">
        <v>327</v>
      </c>
      <c r="H109" s="13" t="s">
        <v>328</v>
      </c>
      <c r="I109" s="12"/>
      <c r="J109" s="12"/>
      <c r="K109" s="12"/>
      <c r="L109" s="12"/>
      <c r="M109" s="12"/>
      <c r="N109" s="14" t="s">
        <v>324</v>
      </c>
    </row>
    <row r="110" spans="2:14" x14ac:dyDescent="0.25">
      <c r="B110" s="9">
        <v>101</v>
      </c>
      <c r="C110" s="15" t="s">
        <v>31</v>
      </c>
      <c r="D110" s="11"/>
      <c r="E110" s="11"/>
      <c r="F110" s="11"/>
      <c r="G110" s="12" t="s">
        <v>329</v>
      </c>
      <c r="H110" s="13" t="s">
        <v>330</v>
      </c>
      <c r="I110" s="12"/>
      <c r="J110" s="12"/>
      <c r="K110" s="12"/>
      <c r="L110" s="12"/>
      <c r="M110" s="12"/>
      <c r="N110" s="14" t="s">
        <v>324</v>
      </c>
    </row>
    <row r="111" spans="2:14" x14ac:dyDescent="0.25">
      <c r="B111" s="9">
        <v>102</v>
      </c>
      <c r="C111" s="10" t="s">
        <v>22</v>
      </c>
      <c r="D111" s="11"/>
      <c r="E111" s="11"/>
      <c r="F111" s="11"/>
      <c r="G111" s="12" t="s">
        <v>331</v>
      </c>
      <c r="H111" s="13" t="s">
        <v>332</v>
      </c>
      <c r="I111" s="12"/>
      <c r="J111" s="12"/>
      <c r="K111" s="12"/>
      <c r="L111" s="12"/>
      <c r="M111" s="12"/>
      <c r="N111" s="14" t="s">
        <v>324</v>
      </c>
    </row>
    <row r="112" spans="2:14" x14ac:dyDescent="0.25">
      <c r="B112" s="9">
        <v>103</v>
      </c>
      <c r="C112" s="10" t="s">
        <v>22</v>
      </c>
      <c r="D112" s="11"/>
      <c r="E112" s="11"/>
      <c r="F112" s="11" t="s">
        <v>333</v>
      </c>
      <c r="G112" s="12" t="s">
        <v>334</v>
      </c>
      <c r="H112" s="13" t="s">
        <v>335</v>
      </c>
      <c r="I112" s="12"/>
      <c r="J112" s="12"/>
      <c r="K112" s="12"/>
      <c r="L112" s="12"/>
      <c r="M112" s="12"/>
      <c r="N112" s="14" t="s">
        <v>336</v>
      </c>
    </row>
    <row r="113" spans="2:14" x14ac:dyDescent="0.25">
      <c r="B113" s="9">
        <v>104</v>
      </c>
      <c r="C113" s="10" t="s">
        <v>22</v>
      </c>
      <c r="D113" s="11"/>
      <c r="E113" s="11"/>
      <c r="F113" s="11"/>
      <c r="G113" s="12" t="s">
        <v>337</v>
      </c>
      <c r="H113" s="13" t="s">
        <v>338</v>
      </c>
      <c r="I113" s="12"/>
      <c r="J113" s="12"/>
      <c r="K113" s="12"/>
      <c r="L113" s="12"/>
      <c r="M113" s="12"/>
      <c r="N113" s="14" t="s">
        <v>336</v>
      </c>
    </row>
    <row r="114" spans="2:14" x14ac:dyDescent="0.25">
      <c r="B114" s="9">
        <v>105</v>
      </c>
      <c r="C114" s="10" t="s">
        <v>22</v>
      </c>
      <c r="D114" s="11"/>
      <c r="E114" s="11"/>
      <c r="F114" s="11"/>
      <c r="G114" s="12" t="s">
        <v>176</v>
      </c>
      <c r="H114" s="13" t="s">
        <v>339</v>
      </c>
      <c r="I114" s="12"/>
      <c r="J114" s="12"/>
      <c r="K114" s="12"/>
      <c r="L114" s="12"/>
      <c r="M114" s="12"/>
      <c r="N114" s="14" t="s">
        <v>336</v>
      </c>
    </row>
    <row r="115" spans="2:14" x14ac:dyDescent="0.25">
      <c r="B115" s="9">
        <v>106</v>
      </c>
      <c r="C115" s="15" t="s">
        <v>31</v>
      </c>
      <c r="D115" s="11"/>
      <c r="E115" s="11"/>
      <c r="F115" s="11" t="s">
        <v>340</v>
      </c>
      <c r="G115" s="12" t="s">
        <v>341</v>
      </c>
      <c r="H115" s="13" t="s">
        <v>342</v>
      </c>
      <c r="I115" s="12"/>
      <c r="J115" s="12"/>
      <c r="K115" s="12"/>
      <c r="L115" s="12"/>
      <c r="M115" s="12"/>
      <c r="N115" s="14" t="s">
        <v>343</v>
      </c>
    </row>
    <row r="116" spans="2:14" x14ac:dyDescent="0.25">
      <c r="B116" s="9">
        <v>107</v>
      </c>
      <c r="C116" s="10" t="s">
        <v>22</v>
      </c>
      <c r="D116" s="11"/>
      <c r="E116" s="11"/>
      <c r="F116" s="11"/>
      <c r="G116" s="12" t="s">
        <v>344</v>
      </c>
      <c r="H116" s="13" t="s">
        <v>345</v>
      </c>
      <c r="I116" s="12"/>
      <c r="J116" s="12"/>
      <c r="K116" s="12"/>
      <c r="L116" s="12"/>
      <c r="M116" s="12"/>
      <c r="N116" s="14" t="s">
        <v>343</v>
      </c>
    </row>
    <row r="117" spans="2:14" x14ac:dyDescent="0.25">
      <c r="B117" s="9">
        <v>108</v>
      </c>
      <c r="C117" s="15" t="s">
        <v>31</v>
      </c>
      <c r="D117" s="11"/>
      <c r="E117" s="11"/>
      <c r="F117" s="11"/>
      <c r="G117" s="12" t="s">
        <v>283</v>
      </c>
      <c r="H117" s="13" t="s">
        <v>346</v>
      </c>
      <c r="I117" s="12"/>
      <c r="J117" s="12"/>
      <c r="K117" s="12"/>
      <c r="L117" s="12"/>
      <c r="M117" s="12"/>
      <c r="N117" s="14" t="s">
        <v>343</v>
      </c>
    </row>
    <row r="118" spans="2:14" x14ac:dyDescent="0.25">
      <c r="B118" s="9">
        <v>109</v>
      </c>
      <c r="C118" s="10" t="s">
        <v>22</v>
      </c>
      <c r="D118" s="11"/>
      <c r="E118" s="11" t="s">
        <v>347</v>
      </c>
      <c r="F118" s="11" t="s">
        <v>348</v>
      </c>
      <c r="G118" s="12" t="s">
        <v>349</v>
      </c>
      <c r="H118" s="13" t="s">
        <v>350</v>
      </c>
      <c r="I118" s="12"/>
      <c r="J118" s="12"/>
      <c r="K118" s="12"/>
      <c r="L118" s="12"/>
      <c r="M118" s="12"/>
      <c r="N118" s="14" t="s">
        <v>351</v>
      </c>
    </row>
    <row r="119" spans="2:14" x14ac:dyDescent="0.25">
      <c r="B119" s="9">
        <v>110</v>
      </c>
      <c r="C119" s="10" t="s">
        <v>22</v>
      </c>
      <c r="D119" s="11"/>
      <c r="E119" s="11"/>
      <c r="F119" s="11"/>
      <c r="G119" s="12" t="s">
        <v>352</v>
      </c>
      <c r="H119" s="13" t="s">
        <v>353</v>
      </c>
      <c r="I119" s="12"/>
      <c r="J119" s="12"/>
      <c r="K119" s="12"/>
      <c r="L119" s="12"/>
      <c r="M119" s="12"/>
      <c r="N119" s="14" t="s">
        <v>351</v>
      </c>
    </row>
    <row r="120" spans="2:14" x14ac:dyDescent="0.25">
      <c r="B120" s="9">
        <v>111</v>
      </c>
      <c r="C120" s="15" t="s">
        <v>31</v>
      </c>
      <c r="D120" s="11"/>
      <c r="E120" s="11"/>
      <c r="F120" s="11"/>
      <c r="G120" s="12" t="s">
        <v>354</v>
      </c>
      <c r="H120" s="13" t="s">
        <v>355</v>
      </c>
      <c r="I120" s="12"/>
      <c r="J120" s="12"/>
      <c r="K120" s="12"/>
      <c r="L120" s="12"/>
      <c r="M120" s="12"/>
      <c r="N120" s="14" t="s">
        <v>351</v>
      </c>
    </row>
    <row r="121" spans="2:14" x14ac:dyDescent="0.25">
      <c r="B121" s="9">
        <v>112</v>
      </c>
      <c r="C121" s="15" t="s">
        <v>31</v>
      </c>
      <c r="D121" s="11"/>
      <c r="E121" s="11"/>
      <c r="F121" s="11"/>
      <c r="G121" s="12" t="s">
        <v>356</v>
      </c>
      <c r="H121" s="13" t="s">
        <v>357</v>
      </c>
      <c r="I121" s="12"/>
      <c r="J121" s="12"/>
      <c r="K121" s="12"/>
      <c r="L121" s="12"/>
      <c r="M121" s="12"/>
      <c r="N121" s="14" t="s">
        <v>351</v>
      </c>
    </row>
    <row r="122" spans="2:14" x14ac:dyDescent="0.25">
      <c r="B122" s="9">
        <v>113</v>
      </c>
      <c r="C122" s="10" t="s">
        <v>22</v>
      </c>
      <c r="D122" s="11"/>
      <c r="E122" s="11"/>
      <c r="F122" s="12" t="s">
        <v>333</v>
      </c>
      <c r="G122" s="12" t="s">
        <v>358</v>
      </c>
      <c r="H122" s="13" t="s">
        <v>359</v>
      </c>
      <c r="I122" s="12"/>
      <c r="J122" s="12"/>
      <c r="K122" s="12"/>
      <c r="L122" s="12"/>
      <c r="M122" s="12"/>
      <c r="N122" s="14" t="s">
        <v>351</v>
      </c>
    </row>
    <row r="123" spans="2:14" x14ac:dyDescent="0.25">
      <c r="B123" s="9">
        <v>114</v>
      </c>
      <c r="C123" s="10" t="s">
        <v>22</v>
      </c>
      <c r="D123" s="11"/>
      <c r="E123" s="11"/>
      <c r="F123" s="12" t="s">
        <v>360</v>
      </c>
      <c r="G123" s="12" t="s">
        <v>11</v>
      </c>
      <c r="H123" s="13" t="s">
        <v>361</v>
      </c>
      <c r="I123" s="12"/>
      <c r="J123" s="12"/>
      <c r="K123" s="12"/>
      <c r="L123" s="12"/>
      <c r="M123" s="12"/>
      <c r="N123" s="14" t="s">
        <v>362</v>
      </c>
    </row>
    <row r="124" spans="2:14" x14ac:dyDescent="0.25">
      <c r="B124" s="9">
        <v>115</v>
      </c>
      <c r="C124" s="15" t="s">
        <v>31</v>
      </c>
      <c r="D124" s="11"/>
      <c r="E124" s="11" t="s">
        <v>363</v>
      </c>
      <c r="F124" s="12" t="s">
        <v>364</v>
      </c>
      <c r="G124" s="12" t="s">
        <v>11</v>
      </c>
      <c r="H124" s="13" t="s">
        <v>365</v>
      </c>
      <c r="I124" s="12"/>
      <c r="J124" s="12"/>
      <c r="K124" s="12"/>
      <c r="L124" s="12"/>
      <c r="M124" s="12"/>
      <c r="N124" s="14" t="s">
        <v>366</v>
      </c>
    </row>
    <row r="125" spans="2:14" x14ac:dyDescent="0.25">
      <c r="B125" s="9">
        <v>116</v>
      </c>
      <c r="C125" s="15" t="s">
        <v>31</v>
      </c>
      <c r="D125" s="11"/>
      <c r="E125" s="11"/>
      <c r="F125" s="12" t="s">
        <v>367</v>
      </c>
      <c r="G125" s="12" t="s">
        <v>11</v>
      </c>
      <c r="H125" s="13" t="s">
        <v>368</v>
      </c>
      <c r="I125" s="12"/>
      <c r="J125" s="12"/>
      <c r="K125" s="12"/>
      <c r="L125" s="12"/>
      <c r="M125" s="12"/>
      <c r="N125" s="14" t="s">
        <v>366</v>
      </c>
    </row>
    <row r="126" spans="2:14" x14ac:dyDescent="0.25">
      <c r="B126" s="9">
        <v>117</v>
      </c>
      <c r="C126" s="10" t="s">
        <v>22</v>
      </c>
      <c r="D126" s="11" t="s">
        <v>369</v>
      </c>
      <c r="E126" s="12" t="s">
        <v>370</v>
      </c>
      <c r="F126" s="12" t="s">
        <v>11</v>
      </c>
      <c r="G126" s="12" t="s">
        <v>11</v>
      </c>
      <c r="H126" s="13" t="s">
        <v>371</v>
      </c>
      <c r="I126" s="12"/>
      <c r="J126" s="12"/>
      <c r="K126" s="12"/>
      <c r="L126" s="12"/>
      <c r="M126" s="12"/>
      <c r="N126" s="14" t="s">
        <v>105</v>
      </c>
    </row>
    <row r="127" spans="2:14" x14ac:dyDescent="0.25">
      <c r="B127" s="9">
        <v>118</v>
      </c>
      <c r="C127" s="10" t="s">
        <v>22</v>
      </c>
      <c r="D127" s="11"/>
      <c r="E127" s="12" t="s">
        <v>372</v>
      </c>
      <c r="F127" s="12" t="s">
        <v>11</v>
      </c>
      <c r="G127" s="12" t="s">
        <v>11</v>
      </c>
      <c r="H127" s="13" t="s">
        <v>373</v>
      </c>
      <c r="I127" s="12"/>
      <c r="J127" s="12"/>
      <c r="K127" s="12"/>
      <c r="L127" s="12"/>
      <c r="M127" s="12"/>
      <c r="N127" s="14" t="s">
        <v>105</v>
      </c>
    </row>
    <row r="128" spans="2:14" x14ac:dyDescent="0.25">
      <c r="B128" s="9">
        <v>119</v>
      </c>
      <c r="C128" s="15" t="s">
        <v>31</v>
      </c>
      <c r="D128" s="11"/>
      <c r="E128" s="11" t="s">
        <v>374</v>
      </c>
      <c r="F128" s="12" t="s">
        <v>11</v>
      </c>
      <c r="G128" s="12" t="s">
        <v>11</v>
      </c>
      <c r="H128" s="13" t="s">
        <v>375</v>
      </c>
      <c r="I128" s="12"/>
      <c r="J128" s="12"/>
      <c r="K128" s="12"/>
      <c r="L128" s="12"/>
      <c r="M128" s="12"/>
      <c r="N128" s="14" t="s">
        <v>105</v>
      </c>
    </row>
    <row r="129" spans="2:14" x14ac:dyDescent="0.25">
      <c r="B129" s="9">
        <v>120</v>
      </c>
      <c r="C129" s="15" t="s">
        <v>31</v>
      </c>
      <c r="D129" s="11"/>
      <c r="E129" s="11"/>
      <c r="F129" s="12" t="s">
        <v>11</v>
      </c>
      <c r="G129" s="12" t="s">
        <v>11</v>
      </c>
      <c r="H129" s="13" t="s">
        <v>376</v>
      </c>
      <c r="I129" s="12"/>
      <c r="J129" s="12"/>
      <c r="K129" s="12"/>
      <c r="L129" s="12"/>
      <c r="M129" s="12"/>
      <c r="N129" s="14" t="s">
        <v>105</v>
      </c>
    </row>
    <row r="130" spans="2:14" x14ac:dyDescent="0.25">
      <c r="B130" s="9">
        <v>121</v>
      </c>
      <c r="C130" s="10" t="s">
        <v>22</v>
      </c>
      <c r="D130" s="11" t="s">
        <v>377</v>
      </c>
      <c r="E130" s="11" t="s">
        <v>378</v>
      </c>
      <c r="F130" s="11" t="s">
        <v>379</v>
      </c>
      <c r="G130" s="12" t="s">
        <v>380</v>
      </c>
      <c r="H130" s="13" t="s">
        <v>381</v>
      </c>
      <c r="I130" s="12"/>
      <c r="J130" s="12"/>
      <c r="K130" s="12"/>
      <c r="L130" s="12"/>
      <c r="M130" s="12"/>
      <c r="N130" s="14" t="s">
        <v>108</v>
      </c>
    </row>
    <row r="131" spans="2:14" x14ac:dyDescent="0.25">
      <c r="B131" s="9">
        <v>122</v>
      </c>
      <c r="C131" s="15" t="s">
        <v>31</v>
      </c>
      <c r="D131" s="11"/>
      <c r="E131" s="11"/>
      <c r="F131" s="11"/>
      <c r="G131" s="12" t="s">
        <v>382</v>
      </c>
      <c r="H131" s="13" t="s">
        <v>383</v>
      </c>
      <c r="I131" s="12"/>
      <c r="J131" s="12"/>
      <c r="K131" s="12"/>
      <c r="L131" s="12"/>
      <c r="M131" s="12"/>
      <c r="N131" s="14" t="s">
        <v>384</v>
      </c>
    </row>
    <row r="132" spans="2:14" x14ac:dyDescent="0.25">
      <c r="B132" s="9">
        <v>123</v>
      </c>
      <c r="C132" s="15" t="s">
        <v>31</v>
      </c>
      <c r="D132" s="11"/>
      <c r="E132" s="11"/>
      <c r="F132" s="11"/>
      <c r="G132" s="12" t="s">
        <v>385</v>
      </c>
      <c r="H132" s="13" t="s">
        <v>386</v>
      </c>
      <c r="I132" s="12"/>
      <c r="J132" s="12"/>
      <c r="K132" s="12"/>
      <c r="L132" s="12"/>
      <c r="M132" s="12"/>
      <c r="N132" s="14" t="s">
        <v>384</v>
      </c>
    </row>
    <row r="133" spans="2:14" x14ac:dyDescent="0.25">
      <c r="B133" s="9">
        <v>124</v>
      </c>
      <c r="C133" s="10" t="s">
        <v>22</v>
      </c>
      <c r="D133" s="11"/>
      <c r="E133" s="11"/>
      <c r="F133" s="11"/>
      <c r="G133" s="12" t="s">
        <v>387</v>
      </c>
      <c r="H133" s="13" t="s">
        <v>388</v>
      </c>
      <c r="I133" s="12"/>
      <c r="J133" s="12"/>
      <c r="K133" s="12"/>
      <c r="L133" s="12"/>
      <c r="M133" s="12"/>
      <c r="N133" s="14" t="s">
        <v>384</v>
      </c>
    </row>
    <row r="134" spans="2:14" x14ac:dyDescent="0.25">
      <c r="B134" s="9">
        <v>125</v>
      </c>
      <c r="C134" s="10" t="s">
        <v>22</v>
      </c>
      <c r="D134" s="11"/>
      <c r="E134" s="11"/>
      <c r="F134" s="11"/>
      <c r="G134" s="12" t="s">
        <v>389</v>
      </c>
      <c r="H134" s="13" t="s">
        <v>390</v>
      </c>
      <c r="I134" s="12"/>
      <c r="J134" s="12"/>
      <c r="K134" s="12"/>
      <c r="L134" s="12"/>
      <c r="M134" s="12"/>
      <c r="N134" s="14" t="s">
        <v>384</v>
      </c>
    </row>
    <row r="135" spans="2:14" x14ac:dyDescent="0.25">
      <c r="B135" s="9">
        <v>126</v>
      </c>
      <c r="C135" s="15" t="s">
        <v>31</v>
      </c>
      <c r="D135" s="11"/>
      <c r="E135" s="11"/>
      <c r="F135" s="12" t="s">
        <v>391</v>
      </c>
      <c r="G135" s="12" t="s">
        <v>392</v>
      </c>
      <c r="H135" s="13" t="s">
        <v>393</v>
      </c>
      <c r="I135" s="12"/>
      <c r="J135" s="12"/>
      <c r="K135" s="12"/>
      <c r="L135" s="12"/>
      <c r="M135" s="12"/>
      <c r="N135" s="14" t="s">
        <v>394</v>
      </c>
    </row>
    <row r="136" spans="2:14" x14ac:dyDescent="0.25">
      <c r="B136" s="9">
        <v>127</v>
      </c>
      <c r="C136" s="10" t="s">
        <v>22</v>
      </c>
      <c r="D136" s="11"/>
      <c r="E136" s="11" t="s">
        <v>395</v>
      </c>
      <c r="F136" s="12" t="s">
        <v>396</v>
      </c>
      <c r="G136" s="12" t="s">
        <v>11</v>
      </c>
      <c r="H136" s="13" t="s">
        <v>397</v>
      </c>
      <c r="I136" s="12"/>
      <c r="J136" s="12"/>
      <c r="K136" s="12"/>
      <c r="L136" s="12"/>
      <c r="M136" s="12"/>
      <c r="N136" s="14" t="s">
        <v>394</v>
      </c>
    </row>
    <row r="137" spans="2:14" x14ac:dyDescent="0.25">
      <c r="B137" s="9">
        <v>128</v>
      </c>
      <c r="C137" s="15" t="s">
        <v>31</v>
      </c>
      <c r="D137" s="11"/>
      <c r="E137" s="11"/>
      <c r="F137" s="12" t="s">
        <v>398</v>
      </c>
      <c r="G137" s="12" t="s">
        <v>11</v>
      </c>
      <c r="H137" s="13" t="s">
        <v>399</v>
      </c>
      <c r="I137" s="12"/>
      <c r="J137" s="12"/>
      <c r="K137" s="12"/>
      <c r="L137" s="12"/>
      <c r="M137" s="12"/>
      <c r="N137" s="14" t="s">
        <v>394</v>
      </c>
    </row>
    <row r="138" spans="2:14" x14ac:dyDescent="0.25">
      <c r="B138" s="9">
        <v>129</v>
      </c>
      <c r="C138" s="16" t="s">
        <v>53</v>
      </c>
      <c r="D138" s="11"/>
      <c r="E138" s="11"/>
      <c r="F138" s="11" t="s">
        <v>314</v>
      </c>
      <c r="G138" s="12" t="s">
        <v>400</v>
      </c>
      <c r="H138" s="13" t="s">
        <v>401</v>
      </c>
      <c r="I138" s="12"/>
      <c r="J138" s="12"/>
      <c r="K138" s="12"/>
      <c r="L138" s="12"/>
      <c r="M138" s="12"/>
      <c r="N138" s="14" t="s">
        <v>394</v>
      </c>
    </row>
    <row r="139" spans="2:14" x14ac:dyDescent="0.25">
      <c r="B139" s="9">
        <v>130</v>
      </c>
      <c r="C139" s="10" t="s">
        <v>22</v>
      </c>
      <c r="D139" s="11"/>
      <c r="E139" s="11"/>
      <c r="F139" s="11"/>
      <c r="G139" s="12" t="s">
        <v>402</v>
      </c>
      <c r="H139" s="13" t="s">
        <v>403</v>
      </c>
      <c r="I139" s="12"/>
      <c r="J139" s="12"/>
      <c r="K139" s="12"/>
      <c r="L139" s="12"/>
      <c r="M139" s="12"/>
      <c r="N139" s="14" t="s">
        <v>394</v>
      </c>
    </row>
    <row r="140" spans="2:14" x14ac:dyDescent="0.25">
      <c r="B140" s="9">
        <v>131</v>
      </c>
      <c r="C140" s="10" t="s">
        <v>22</v>
      </c>
      <c r="D140" s="11"/>
      <c r="E140" s="11"/>
      <c r="F140" s="12" t="s">
        <v>404</v>
      </c>
      <c r="G140" s="12" t="s">
        <v>11</v>
      </c>
      <c r="H140" s="13" t="s">
        <v>405</v>
      </c>
      <c r="I140" s="12"/>
      <c r="J140" s="12"/>
      <c r="K140" s="12"/>
      <c r="L140" s="12"/>
      <c r="M140" s="12"/>
      <c r="N140" s="14" t="s">
        <v>406</v>
      </c>
    </row>
    <row r="141" spans="2:14" x14ac:dyDescent="0.25">
      <c r="B141" s="9">
        <v>132</v>
      </c>
      <c r="C141" s="10" t="s">
        <v>22</v>
      </c>
      <c r="D141" s="11" t="s">
        <v>407</v>
      </c>
      <c r="E141" s="11" t="s">
        <v>408</v>
      </c>
      <c r="F141" s="11" t="s">
        <v>409</v>
      </c>
      <c r="G141" s="12" t="s">
        <v>410</v>
      </c>
      <c r="H141" s="13" t="s">
        <v>411</v>
      </c>
      <c r="I141" s="12"/>
      <c r="J141" s="12"/>
      <c r="K141" s="12"/>
      <c r="L141" s="12"/>
      <c r="M141" s="12"/>
      <c r="N141" s="14" t="s">
        <v>412</v>
      </c>
    </row>
    <row r="142" spans="2:14" x14ac:dyDescent="0.25">
      <c r="B142" s="9">
        <v>133</v>
      </c>
      <c r="C142" s="10" t="s">
        <v>22</v>
      </c>
      <c r="D142" s="11"/>
      <c r="E142" s="11"/>
      <c r="F142" s="11"/>
      <c r="G142" s="12" t="s">
        <v>186</v>
      </c>
      <c r="H142" s="13" t="s">
        <v>413</v>
      </c>
      <c r="I142" s="12"/>
      <c r="J142" s="12"/>
      <c r="K142" s="12"/>
      <c r="L142" s="12"/>
      <c r="M142" s="12"/>
      <c r="N142" s="14" t="s">
        <v>412</v>
      </c>
    </row>
    <row r="143" spans="2:14" x14ac:dyDescent="0.25">
      <c r="B143" s="9">
        <v>134</v>
      </c>
      <c r="C143" s="10" t="s">
        <v>22</v>
      </c>
      <c r="D143" s="11"/>
      <c r="E143" s="11"/>
      <c r="F143" s="12" t="s">
        <v>414</v>
      </c>
      <c r="G143" s="12" t="s">
        <v>11</v>
      </c>
      <c r="H143" s="13" t="s">
        <v>415</v>
      </c>
      <c r="I143" s="12"/>
      <c r="J143" s="12"/>
      <c r="K143" s="12"/>
      <c r="L143" s="12"/>
      <c r="M143" s="12"/>
      <c r="N143" s="14" t="s">
        <v>191</v>
      </c>
    </row>
    <row r="144" spans="2:14" x14ac:dyDescent="0.25">
      <c r="B144" s="9">
        <v>135</v>
      </c>
      <c r="C144" s="15" t="s">
        <v>31</v>
      </c>
      <c r="D144" s="11"/>
      <c r="E144" s="11"/>
      <c r="F144" s="12" t="s">
        <v>416</v>
      </c>
      <c r="G144" s="12" t="s">
        <v>11</v>
      </c>
      <c r="H144" s="13" t="s">
        <v>417</v>
      </c>
      <c r="I144" s="12"/>
      <c r="J144" s="12"/>
      <c r="K144" s="12"/>
      <c r="L144" s="12"/>
      <c r="M144" s="12"/>
      <c r="N144" s="14" t="s">
        <v>412</v>
      </c>
    </row>
    <row r="145" spans="2:14" x14ac:dyDescent="0.25">
      <c r="B145" s="9">
        <v>136</v>
      </c>
      <c r="C145" s="15" t="s">
        <v>31</v>
      </c>
      <c r="D145" s="11"/>
      <c r="E145" s="11"/>
      <c r="F145" s="12" t="s">
        <v>418</v>
      </c>
      <c r="G145" s="12" t="s">
        <v>11</v>
      </c>
      <c r="H145" s="13" t="s">
        <v>419</v>
      </c>
      <c r="I145" s="12"/>
      <c r="J145" s="12"/>
      <c r="K145" s="12"/>
      <c r="L145" s="12"/>
      <c r="M145" s="12"/>
      <c r="N145" s="14" t="s">
        <v>412</v>
      </c>
    </row>
    <row r="146" spans="2:14" x14ac:dyDescent="0.25">
      <c r="B146" s="9">
        <v>137</v>
      </c>
      <c r="C146" s="15" t="s">
        <v>31</v>
      </c>
      <c r="D146" s="11" t="s">
        <v>420</v>
      </c>
      <c r="E146" s="11" t="s">
        <v>421</v>
      </c>
      <c r="F146" s="12" t="s">
        <v>422</v>
      </c>
      <c r="G146" s="12" t="s">
        <v>11</v>
      </c>
      <c r="H146" s="13" t="s">
        <v>423</v>
      </c>
      <c r="I146" s="12"/>
      <c r="J146" s="12"/>
      <c r="K146" s="12"/>
      <c r="L146" s="12"/>
      <c r="M146" s="12"/>
      <c r="N146" s="14" t="s">
        <v>424</v>
      </c>
    </row>
    <row r="147" spans="2:14" x14ac:dyDescent="0.25">
      <c r="B147" s="9">
        <v>138</v>
      </c>
      <c r="C147" s="10" t="s">
        <v>22</v>
      </c>
      <c r="D147" s="11"/>
      <c r="E147" s="11"/>
      <c r="F147" s="12" t="s">
        <v>425</v>
      </c>
      <c r="G147" s="12" t="s">
        <v>11</v>
      </c>
      <c r="H147" s="13" t="s">
        <v>426</v>
      </c>
      <c r="I147" s="12"/>
      <c r="J147" s="12"/>
      <c r="K147" s="12"/>
      <c r="L147" s="12"/>
      <c r="M147" s="12"/>
      <c r="N147" s="14" t="s">
        <v>424</v>
      </c>
    </row>
    <row r="148" spans="2:14" x14ac:dyDescent="0.25">
      <c r="B148" s="9">
        <v>139</v>
      </c>
      <c r="C148" s="10" t="s">
        <v>22</v>
      </c>
      <c r="D148" s="11"/>
      <c r="E148" s="11"/>
      <c r="F148" s="12" t="s">
        <v>427</v>
      </c>
      <c r="G148" s="12" t="s">
        <v>11</v>
      </c>
      <c r="H148" s="13" t="s">
        <v>428</v>
      </c>
      <c r="I148" s="12"/>
      <c r="J148" s="12"/>
      <c r="K148" s="12"/>
      <c r="L148" s="12"/>
      <c r="M148" s="12"/>
      <c r="N148" s="14" t="s">
        <v>424</v>
      </c>
    </row>
    <row r="149" spans="2:14" x14ac:dyDescent="0.25">
      <c r="B149" s="9">
        <v>140</v>
      </c>
      <c r="C149" s="10" t="s">
        <v>22</v>
      </c>
      <c r="D149" s="11"/>
      <c r="E149" s="11"/>
      <c r="F149" s="12" t="s">
        <v>429</v>
      </c>
      <c r="G149" s="12" t="s">
        <v>11</v>
      </c>
      <c r="H149" s="13" t="s">
        <v>430</v>
      </c>
      <c r="I149" s="12"/>
      <c r="J149" s="12"/>
      <c r="K149" s="12"/>
      <c r="L149" s="12"/>
      <c r="M149" s="12"/>
      <c r="N149" s="14" t="s">
        <v>424</v>
      </c>
    </row>
    <row r="150" spans="2:14" x14ac:dyDescent="0.25">
      <c r="B150" s="9">
        <v>141</v>
      </c>
      <c r="C150" s="15" t="s">
        <v>31</v>
      </c>
      <c r="D150" s="11"/>
      <c r="E150" s="11"/>
      <c r="F150" s="12" t="s">
        <v>431</v>
      </c>
      <c r="G150" s="12" t="s">
        <v>11</v>
      </c>
      <c r="H150" s="13" t="s">
        <v>432</v>
      </c>
      <c r="I150" s="12"/>
      <c r="J150" s="12"/>
      <c r="K150" s="12"/>
      <c r="L150" s="12"/>
      <c r="M150" s="12"/>
      <c r="N150" s="14" t="s">
        <v>424</v>
      </c>
    </row>
    <row r="151" spans="2:14" x14ac:dyDescent="0.25">
      <c r="B151" s="9">
        <v>142</v>
      </c>
      <c r="C151" s="10" t="s">
        <v>22</v>
      </c>
      <c r="D151" s="11"/>
      <c r="E151" s="11" t="s">
        <v>433</v>
      </c>
      <c r="F151" s="12" t="s">
        <v>434</v>
      </c>
      <c r="G151" s="12" t="s">
        <v>11</v>
      </c>
      <c r="H151" s="13" t="s">
        <v>435</v>
      </c>
      <c r="I151" s="12"/>
      <c r="J151" s="12"/>
      <c r="K151" s="12"/>
      <c r="L151" s="12"/>
      <c r="M151" s="12"/>
      <c r="N151" s="14" t="s">
        <v>424</v>
      </c>
    </row>
    <row r="152" spans="2:14" x14ac:dyDescent="0.25">
      <c r="B152" s="9">
        <v>143</v>
      </c>
      <c r="C152" s="15" t="s">
        <v>31</v>
      </c>
      <c r="D152" s="11"/>
      <c r="E152" s="11"/>
      <c r="F152" s="12" t="s">
        <v>436</v>
      </c>
      <c r="G152" s="12" t="s">
        <v>11</v>
      </c>
      <c r="H152" s="13" t="s">
        <v>437</v>
      </c>
      <c r="I152" s="12"/>
      <c r="J152" s="12"/>
      <c r="K152" s="12"/>
      <c r="L152" s="12"/>
      <c r="M152" s="12"/>
      <c r="N152" s="14" t="s">
        <v>424</v>
      </c>
    </row>
    <row r="153" spans="2:14" x14ac:dyDescent="0.25">
      <c r="B153" s="9">
        <v>144</v>
      </c>
      <c r="C153" s="15" t="s">
        <v>31</v>
      </c>
      <c r="D153" s="11"/>
      <c r="E153" s="11"/>
      <c r="F153" s="12" t="s">
        <v>438</v>
      </c>
      <c r="G153" s="12" t="s">
        <v>11</v>
      </c>
      <c r="H153" s="13" t="s">
        <v>439</v>
      </c>
      <c r="I153" s="12"/>
      <c r="J153" s="12"/>
      <c r="K153" s="12"/>
      <c r="L153" s="12"/>
      <c r="M153" s="12"/>
      <c r="N153" s="14" t="s">
        <v>424</v>
      </c>
    </row>
    <row r="154" spans="2:14" x14ac:dyDescent="0.25">
      <c r="B154" s="9">
        <v>145</v>
      </c>
      <c r="C154" s="10" t="s">
        <v>22</v>
      </c>
      <c r="D154" s="11"/>
      <c r="E154" s="11"/>
      <c r="F154" s="12" t="s">
        <v>440</v>
      </c>
      <c r="G154" s="12" t="s">
        <v>11</v>
      </c>
      <c r="H154" s="13" t="s">
        <v>441</v>
      </c>
      <c r="I154" s="12"/>
      <c r="J154" s="12"/>
      <c r="K154" s="12"/>
      <c r="L154" s="12"/>
      <c r="M154" s="12"/>
      <c r="N154" s="14" t="s">
        <v>424</v>
      </c>
    </row>
    <row r="155" spans="2:14" x14ac:dyDescent="0.25">
      <c r="B155" s="9">
        <v>146</v>
      </c>
      <c r="C155" s="15" t="s">
        <v>31</v>
      </c>
      <c r="D155" s="11"/>
      <c r="E155" s="11" t="s">
        <v>442</v>
      </c>
      <c r="F155" s="12" t="s">
        <v>443</v>
      </c>
      <c r="G155" s="12" t="s">
        <v>11</v>
      </c>
      <c r="H155" s="13" t="s">
        <v>444</v>
      </c>
      <c r="I155" s="12"/>
      <c r="J155" s="12"/>
      <c r="K155" s="12"/>
      <c r="L155" s="12"/>
      <c r="M155" s="12"/>
      <c r="N155" s="14" t="s">
        <v>445</v>
      </c>
    </row>
    <row r="156" spans="2:14" x14ac:dyDescent="0.25">
      <c r="B156" s="9">
        <v>147</v>
      </c>
      <c r="C156" s="15" t="s">
        <v>31</v>
      </c>
      <c r="D156" s="11"/>
      <c r="E156" s="11"/>
      <c r="F156" s="12" t="s">
        <v>446</v>
      </c>
      <c r="G156" s="12" t="s">
        <v>11</v>
      </c>
      <c r="H156" s="13" t="s">
        <v>447</v>
      </c>
      <c r="I156" s="12"/>
      <c r="J156" s="12"/>
      <c r="K156" s="12"/>
      <c r="L156" s="12"/>
      <c r="M156" s="12"/>
      <c r="N156" s="14" t="s">
        <v>448</v>
      </c>
    </row>
    <row r="157" spans="2:14" x14ac:dyDescent="0.25">
      <c r="B157" s="9">
        <v>148</v>
      </c>
      <c r="C157" s="10" t="s">
        <v>22</v>
      </c>
      <c r="D157" s="11"/>
      <c r="E157" s="11" t="s">
        <v>449</v>
      </c>
      <c r="F157" s="12" t="s">
        <v>450</v>
      </c>
      <c r="G157" s="12" t="s">
        <v>11</v>
      </c>
      <c r="H157" s="13" t="s">
        <v>451</v>
      </c>
      <c r="I157" s="12"/>
      <c r="J157" s="12"/>
      <c r="K157" s="12"/>
      <c r="L157" s="12"/>
      <c r="M157" s="12"/>
      <c r="N157" s="14" t="s">
        <v>452</v>
      </c>
    </row>
    <row r="158" spans="2:14" x14ac:dyDescent="0.25">
      <c r="B158" s="9">
        <v>149</v>
      </c>
      <c r="C158" s="15" t="s">
        <v>31</v>
      </c>
      <c r="D158" s="11"/>
      <c r="E158" s="11"/>
      <c r="F158" s="12" t="s">
        <v>453</v>
      </c>
      <c r="G158" s="12" t="s">
        <v>11</v>
      </c>
      <c r="H158" s="13" t="s">
        <v>454</v>
      </c>
      <c r="I158" s="12"/>
      <c r="J158" s="12"/>
      <c r="K158" s="12"/>
      <c r="L158" s="12"/>
      <c r="M158" s="12"/>
      <c r="N158" s="14" t="s">
        <v>452</v>
      </c>
    </row>
    <row r="159" spans="2:14" x14ac:dyDescent="0.25">
      <c r="B159" s="9">
        <v>150</v>
      </c>
      <c r="C159" s="15" t="s">
        <v>31</v>
      </c>
      <c r="D159" s="11"/>
      <c r="E159" s="11" t="s">
        <v>455</v>
      </c>
      <c r="F159" s="12" t="s">
        <v>456</v>
      </c>
      <c r="G159" s="12" t="s">
        <v>11</v>
      </c>
      <c r="H159" s="13" t="s">
        <v>457</v>
      </c>
      <c r="I159" s="12"/>
      <c r="J159" s="12"/>
      <c r="K159" s="12"/>
      <c r="L159" s="12"/>
      <c r="M159" s="12"/>
      <c r="N159" s="14" t="s">
        <v>458</v>
      </c>
    </row>
    <row r="160" spans="2:14" x14ac:dyDescent="0.25">
      <c r="B160" s="9">
        <v>151</v>
      </c>
      <c r="C160" s="15" t="s">
        <v>31</v>
      </c>
      <c r="D160" s="11"/>
      <c r="E160" s="11"/>
      <c r="F160" s="12" t="s">
        <v>459</v>
      </c>
      <c r="G160" s="12" t="s">
        <v>11</v>
      </c>
      <c r="H160" s="13" t="s">
        <v>460</v>
      </c>
      <c r="I160" s="12"/>
      <c r="J160" s="12"/>
      <c r="K160" s="12"/>
      <c r="L160" s="12"/>
      <c r="M160" s="12"/>
      <c r="N160" s="14" t="s">
        <v>458</v>
      </c>
    </row>
    <row r="161" spans="2:14" x14ac:dyDescent="0.25">
      <c r="B161" s="9">
        <v>152</v>
      </c>
      <c r="C161" s="15" t="s">
        <v>31</v>
      </c>
      <c r="D161" s="11"/>
      <c r="E161" s="11"/>
      <c r="F161" s="11" t="s">
        <v>461</v>
      </c>
      <c r="G161" s="12" t="s">
        <v>462</v>
      </c>
      <c r="H161" s="13" t="s">
        <v>463</v>
      </c>
      <c r="I161" s="12"/>
      <c r="J161" s="12"/>
      <c r="K161" s="12"/>
      <c r="L161" s="12"/>
      <c r="M161" s="12"/>
      <c r="N161" s="14" t="s">
        <v>458</v>
      </c>
    </row>
    <row r="162" spans="2:14" x14ac:dyDescent="0.25">
      <c r="B162" s="9">
        <v>153</v>
      </c>
      <c r="C162" s="15" t="s">
        <v>31</v>
      </c>
      <c r="D162" s="11"/>
      <c r="E162" s="11"/>
      <c r="F162" s="11"/>
      <c r="G162" s="12" t="s">
        <v>464</v>
      </c>
      <c r="H162" s="13" t="s">
        <v>465</v>
      </c>
      <c r="I162" s="12"/>
      <c r="J162" s="12"/>
      <c r="K162" s="12"/>
      <c r="L162" s="12"/>
      <c r="M162" s="12"/>
      <c r="N162" s="14" t="s">
        <v>458</v>
      </c>
    </row>
    <row r="163" spans="2:14" x14ac:dyDescent="0.25">
      <c r="B163" s="9">
        <v>154</v>
      </c>
      <c r="C163" s="16" t="s">
        <v>53</v>
      </c>
      <c r="D163" s="11"/>
      <c r="E163" s="11" t="s">
        <v>466</v>
      </c>
      <c r="F163" s="12" t="s">
        <v>467</v>
      </c>
      <c r="G163" s="12" t="s">
        <v>11</v>
      </c>
      <c r="H163" s="13" t="s">
        <v>468</v>
      </c>
      <c r="I163" s="12"/>
      <c r="J163" s="12"/>
      <c r="K163" s="12"/>
      <c r="L163" s="12"/>
      <c r="M163" s="12"/>
      <c r="N163" s="14" t="s">
        <v>469</v>
      </c>
    </row>
    <row r="164" spans="2:14" x14ac:dyDescent="0.25">
      <c r="B164" s="9">
        <v>155</v>
      </c>
      <c r="C164" s="10" t="s">
        <v>22</v>
      </c>
      <c r="D164" s="11"/>
      <c r="E164" s="11"/>
      <c r="F164" s="12" t="s">
        <v>470</v>
      </c>
      <c r="G164" s="12" t="s">
        <v>11</v>
      </c>
      <c r="H164" s="13" t="s">
        <v>471</v>
      </c>
      <c r="I164" s="12"/>
      <c r="J164" s="12"/>
      <c r="K164" s="12"/>
      <c r="L164" s="12"/>
      <c r="M164" s="12"/>
      <c r="N164" s="14" t="s">
        <v>469</v>
      </c>
    </row>
    <row r="165" spans="2:14" x14ac:dyDescent="0.25">
      <c r="B165" s="9">
        <v>156</v>
      </c>
      <c r="C165" s="10" t="s">
        <v>22</v>
      </c>
      <c r="D165" s="11"/>
      <c r="E165" s="11"/>
      <c r="F165" s="12" t="s">
        <v>472</v>
      </c>
      <c r="G165" s="12" t="s">
        <v>11</v>
      </c>
      <c r="H165" s="13" t="s">
        <v>473</v>
      </c>
      <c r="I165" s="12"/>
      <c r="J165" s="12"/>
      <c r="K165" s="12"/>
      <c r="L165" s="12"/>
      <c r="M165" s="12"/>
      <c r="N165" s="14" t="s">
        <v>469</v>
      </c>
    </row>
    <row r="166" spans="2:14" x14ac:dyDescent="0.25">
      <c r="B166" s="9">
        <v>157</v>
      </c>
      <c r="C166" s="10" t="s">
        <v>22</v>
      </c>
      <c r="D166" s="11"/>
      <c r="E166" s="11"/>
      <c r="F166" s="12" t="s">
        <v>474</v>
      </c>
      <c r="G166" s="12" t="s">
        <v>11</v>
      </c>
      <c r="H166" s="13" t="s">
        <v>475</v>
      </c>
      <c r="I166" s="12"/>
      <c r="J166" s="12"/>
      <c r="K166" s="12"/>
      <c r="L166" s="12"/>
      <c r="M166" s="12"/>
      <c r="N166" s="14" t="s">
        <v>469</v>
      </c>
    </row>
    <row r="167" spans="2:14" x14ac:dyDescent="0.25">
      <c r="B167" s="9">
        <v>158</v>
      </c>
      <c r="C167" s="10" t="s">
        <v>22</v>
      </c>
      <c r="D167" s="11"/>
      <c r="E167" s="12" t="s">
        <v>476</v>
      </c>
      <c r="F167" s="12" t="s">
        <v>477</v>
      </c>
      <c r="G167" s="12" t="s">
        <v>11</v>
      </c>
      <c r="H167" s="13" t="s">
        <v>478</v>
      </c>
      <c r="I167" s="12"/>
      <c r="J167" s="12"/>
      <c r="K167" s="12"/>
      <c r="L167" s="12"/>
      <c r="M167" s="12"/>
      <c r="N167" s="14" t="s">
        <v>479</v>
      </c>
    </row>
    <row r="168" spans="2:14" x14ac:dyDescent="0.25">
      <c r="B168" s="9">
        <v>159</v>
      </c>
      <c r="C168" s="15" t="s">
        <v>31</v>
      </c>
      <c r="D168" s="11"/>
      <c r="E168" s="11" t="s">
        <v>480</v>
      </c>
      <c r="F168" s="12" t="s">
        <v>481</v>
      </c>
      <c r="G168" s="12" t="s">
        <v>11</v>
      </c>
      <c r="H168" s="13" t="s">
        <v>482</v>
      </c>
      <c r="I168" s="12"/>
      <c r="J168" s="12"/>
      <c r="K168" s="12"/>
      <c r="L168" s="12"/>
      <c r="M168" s="12"/>
      <c r="N168" s="14" t="s">
        <v>483</v>
      </c>
    </row>
    <row r="169" spans="2:14" x14ac:dyDescent="0.25">
      <c r="B169" s="9">
        <v>160</v>
      </c>
      <c r="C169" s="10" t="s">
        <v>22</v>
      </c>
      <c r="D169" s="11"/>
      <c r="E169" s="11"/>
      <c r="F169" s="12" t="s">
        <v>484</v>
      </c>
      <c r="G169" s="12" t="s">
        <v>11</v>
      </c>
      <c r="H169" s="13" t="s">
        <v>485</v>
      </c>
      <c r="I169" s="12"/>
      <c r="J169" s="12"/>
      <c r="K169" s="12"/>
      <c r="L169" s="12"/>
      <c r="M169" s="12"/>
      <c r="N169" s="14" t="s">
        <v>483</v>
      </c>
    </row>
    <row r="170" spans="2:14" x14ac:dyDescent="0.25">
      <c r="B170" s="9">
        <v>161</v>
      </c>
      <c r="C170" s="10" t="s">
        <v>22</v>
      </c>
      <c r="D170" s="11"/>
      <c r="E170" s="11"/>
      <c r="F170" s="12" t="s">
        <v>486</v>
      </c>
      <c r="G170" s="12" t="s">
        <v>11</v>
      </c>
      <c r="H170" s="13" t="s">
        <v>487</v>
      </c>
      <c r="I170" s="12"/>
      <c r="J170" s="12"/>
      <c r="K170" s="12"/>
      <c r="L170" s="12"/>
      <c r="M170" s="12"/>
      <c r="N170" s="14" t="s">
        <v>483</v>
      </c>
    </row>
    <row r="171" spans="2:14" x14ac:dyDescent="0.25">
      <c r="B171" s="9">
        <v>162</v>
      </c>
      <c r="C171" s="15" t="s">
        <v>31</v>
      </c>
      <c r="D171" s="11"/>
      <c r="E171" s="11"/>
      <c r="F171" s="12" t="s">
        <v>488</v>
      </c>
      <c r="G171" s="12" t="s">
        <v>11</v>
      </c>
      <c r="H171" s="13" t="s">
        <v>489</v>
      </c>
      <c r="I171" s="12"/>
      <c r="J171" s="12"/>
      <c r="K171" s="12"/>
      <c r="L171" s="12"/>
      <c r="M171" s="12"/>
      <c r="N171" s="14" t="s">
        <v>483</v>
      </c>
    </row>
    <row r="172" spans="2:14" x14ac:dyDescent="0.25">
      <c r="B172" s="9">
        <v>163</v>
      </c>
      <c r="C172" s="15" t="s">
        <v>31</v>
      </c>
      <c r="D172" s="11" t="s">
        <v>490</v>
      </c>
      <c r="E172" s="11" t="s">
        <v>491</v>
      </c>
      <c r="F172" s="12" t="s">
        <v>492</v>
      </c>
      <c r="G172" s="12" t="s">
        <v>493</v>
      </c>
      <c r="H172" s="13" t="s">
        <v>494</v>
      </c>
      <c r="I172" s="12"/>
      <c r="J172" s="12"/>
      <c r="K172" s="12"/>
      <c r="L172" s="12"/>
      <c r="M172" s="12"/>
      <c r="N172" s="14" t="s">
        <v>495</v>
      </c>
    </row>
    <row r="173" spans="2:14" x14ac:dyDescent="0.25">
      <c r="B173" s="9">
        <v>164</v>
      </c>
      <c r="C173" s="15" t="s">
        <v>31</v>
      </c>
      <c r="D173" s="11"/>
      <c r="E173" s="11"/>
      <c r="F173" s="11" t="s">
        <v>496</v>
      </c>
      <c r="G173" s="12" t="s">
        <v>497</v>
      </c>
      <c r="H173" s="13" t="s">
        <v>498</v>
      </c>
      <c r="I173" s="12"/>
      <c r="J173" s="12"/>
      <c r="K173" s="12"/>
      <c r="L173" s="12"/>
      <c r="M173" s="12"/>
      <c r="N173" s="14" t="s">
        <v>495</v>
      </c>
    </row>
    <row r="174" spans="2:14" x14ac:dyDescent="0.25">
      <c r="B174" s="9">
        <v>165</v>
      </c>
      <c r="C174" s="15" t="s">
        <v>31</v>
      </c>
      <c r="D174" s="11"/>
      <c r="E174" s="11"/>
      <c r="F174" s="11"/>
      <c r="G174" s="12" t="s">
        <v>499</v>
      </c>
      <c r="H174" s="13" t="s">
        <v>500</v>
      </c>
      <c r="I174" s="12"/>
      <c r="J174" s="12"/>
      <c r="K174" s="12"/>
      <c r="L174" s="12"/>
      <c r="M174" s="12"/>
      <c r="N174" s="14" t="s">
        <v>495</v>
      </c>
    </row>
    <row r="175" spans="2:14" x14ac:dyDescent="0.25">
      <c r="B175" s="9">
        <v>166</v>
      </c>
      <c r="C175" s="16" t="s">
        <v>53</v>
      </c>
      <c r="D175" s="11" t="s">
        <v>54</v>
      </c>
      <c r="E175" s="11" t="s">
        <v>501</v>
      </c>
      <c r="F175" s="11" t="s">
        <v>502</v>
      </c>
      <c r="G175" s="12" t="s">
        <v>503</v>
      </c>
      <c r="H175" s="13" t="s">
        <v>504</v>
      </c>
      <c r="I175" s="12"/>
      <c r="J175" s="12"/>
      <c r="K175" s="12"/>
      <c r="L175" s="12"/>
      <c r="M175" s="12"/>
      <c r="N175" s="14" t="s">
        <v>505</v>
      </c>
    </row>
    <row r="176" spans="2:14" x14ac:dyDescent="0.25">
      <c r="B176" s="9">
        <v>167</v>
      </c>
      <c r="C176" s="10" t="s">
        <v>22</v>
      </c>
      <c r="D176" s="11"/>
      <c r="E176" s="11"/>
      <c r="F176" s="11"/>
      <c r="G176" s="12" t="s">
        <v>506</v>
      </c>
      <c r="H176" s="13" t="s">
        <v>507</v>
      </c>
      <c r="I176" s="12"/>
      <c r="J176" s="12"/>
      <c r="K176" s="12"/>
      <c r="L176" s="12"/>
      <c r="M176" s="12"/>
      <c r="N176" s="14" t="s">
        <v>505</v>
      </c>
    </row>
    <row r="177" spans="2:14" x14ac:dyDescent="0.25">
      <c r="B177" s="9">
        <v>168</v>
      </c>
      <c r="C177" s="10" t="s">
        <v>22</v>
      </c>
      <c r="D177" s="11"/>
      <c r="E177" s="11"/>
      <c r="F177" s="12" t="s">
        <v>508</v>
      </c>
      <c r="G177" s="12" t="s">
        <v>509</v>
      </c>
      <c r="H177" s="13" t="s">
        <v>510</v>
      </c>
      <c r="I177" s="12"/>
      <c r="J177" s="12"/>
      <c r="K177" s="12"/>
      <c r="L177" s="12"/>
      <c r="M177" s="12"/>
      <c r="N177" s="14" t="s">
        <v>505</v>
      </c>
    </row>
    <row r="178" spans="2:14" x14ac:dyDescent="0.25">
      <c r="B178" s="9">
        <v>169</v>
      </c>
      <c r="C178" s="10" t="s">
        <v>22</v>
      </c>
      <c r="D178" s="11"/>
      <c r="E178" s="11" t="s">
        <v>511</v>
      </c>
      <c r="F178" s="12" t="s">
        <v>512</v>
      </c>
      <c r="G178" s="12" t="s">
        <v>11</v>
      </c>
      <c r="H178" s="13" t="s">
        <v>513</v>
      </c>
      <c r="I178" s="12"/>
      <c r="J178" s="12"/>
      <c r="K178" s="12"/>
      <c r="L178" s="12"/>
      <c r="M178" s="12"/>
      <c r="N178" s="14" t="s">
        <v>514</v>
      </c>
    </row>
    <row r="179" spans="2:14" x14ac:dyDescent="0.25">
      <c r="B179" s="9">
        <v>170</v>
      </c>
      <c r="C179" s="10" t="s">
        <v>22</v>
      </c>
      <c r="D179" s="11"/>
      <c r="E179" s="11"/>
      <c r="F179" s="12" t="s">
        <v>515</v>
      </c>
      <c r="G179" s="12" t="s">
        <v>11</v>
      </c>
      <c r="H179" s="13" t="s">
        <v>516</v>
      </c>
      <c r="I179" s="12"/>
      <c r="J179" s="12"/>
      <c r="K179" s="12"/>
      <c r="L179" s="12"/>
      <c r="M179" s="12"/>
      <c r="N179" s="14" t="s">
        <v>514</v>
      </c>
    </row>
    <row r="180" spans="2:14" x14ac:dyDescent="0.25">
      <c r="B180" s="9">
        <v>171</v>
      </c>
      <c r="C180" s="10" t="s">
        <v>22</v>
      </c>
      <c r="D180" s="11"/>
      <c r="E180" s="11"/>
      <c r="F180" s="12" t="s">
        <v>517</v>
      </c>
      <c r="G180" s="12" t="s">
        <v>11</v>
      </c>
      <c r="H180" s="13" t="s">
        <v>518</v>
      </c>
      <c r="I180" s="12"/>
      <c r="J180" s="12"/>
      <c r="K180" s="12"/>
      <c r="L180" s="12"/>
      <c r="M180" s="12"/>
      <c r="N180" s="14" t="s">
        <v>514</v>
      </c>
    </row>
    <row r="181" spans="2:14" x14ac:dyDescent="0.25">
      <c r="B181" s="9">
        <v>172</v>
      </c>
      <c r="C181" s="10" t="s">
        <v>22</v>
      </c>
      <c r="D181" s="11"/>
      <c r="E181" s="11"/>
      <c r="F181" s="12" t="s">
        <v>519</v>
      </c>
      <c r="G181" s="12" t="s">
        <v>11</v>
      </c>
      <c r="H181" s="13" t="s">
        <v>520</v>
      </c>
      <c r="I181" s="12"/>
      <c r="J181" s="12"/>
      <c r="K181" s="12"/>
      <c r="L181" s="12"/>
      <c r="M181" s="12"/>
      <c r="N181" s="14" t="s">
        <v>514</v>
      </c>
    </row>
  </sheetData>
  <mergeCells count="79">
    <mergeCell ref="D10:D23"/>
    <mergeCell ref="E10:E18"/>
    <mergeCell ref="F10:F11"/>
    <mergeCell ref="F12:F14"/>
    <mergeCell ref="F15:F17"/>
    <mergeCell ref="E19:E23"/>
    <mergeCell ref="F19:F22"/>
    <mergeCell ref="D24:D53"/>
    <mergeCell ref="E24:E27"/>
    <mergeCell ref="F26:F27"/>
    <mergeCell ref="E28:E33"/>
    <mergeCell ref="F28:F29"/>
    <mergeCell ref="F31:F33"/>
    <mergeCell ref="E34:E37"/>
    <mergeCell ref="E38:E45"/>
    <mergeCell ref="F38:F39"/>
    <mergeCell ref="F40:F42"/>
    <mergeCell ref="E46:E53"/>
    <mergeCell ref="F50:F51"/>
    <mergeCell ref="F52:F53"/>
    <mergeCell ref="D54:D65"/>
    <mergeCell ref="E54:E58"/>
    <mergeCell ref="F54:F56"/>
    <mergeCell ref="F57:F58"/>
    <mergeCell ref="E60:E64"/>
    <mergeCell ref="F64:F65"/>
    <mergeCell ref="D66:D99"/>
    <mergeCell ref="E66:E72"/>
    <mergeCell ref="F66:F67"/>
    <mergeCell ref="F68:F70"/>
    <mergeCell ref="F71:F72"/>
    <mergeCell ref="E73:E79"/>
    <mergeCell ref="F73:F75"/>
    <mergeCell ref="F76:F77"/>
    <mergeCell ref="F78:F79"/>
    <mergeCell ref="E80:E86"/>
    <mergeCell ref="F80:F81"/>
    <mergeCell ref="F83:F85"/>
    <mergeCell ref="E87:E89"/>
    <mergeCell ref="E90:E99"/>
    <mergeCell ref="F91:F94"/>
    <mergeCell ref="F95:F98"/>
    <mergeCell ref="D100:D106"/>
    <mergeCell ref="E100:E102"/>
    <mergeCell ref="E103:E105"/>
    <mergeCell ref="D107:D125"/>
    <mergeCell ref="E107:E117"/>
    <mergeCell ref="F107:F111"/>
    <mergeCell ref="F112:F114"/>
    <mergeCell ref="F115:F117"/>
    <mergeCell ref="E118:E123"/>
    <mergeCell ref="F118:F121"/>
    <mergeCell ref="E124:E125"/>
    <mergeCell ref="D126:D129"/>
    <mergeCell ref="E128:E129"/>
    <mergeCell ref="D130:D140"/>
    <mergeCell ref="E130:E135"/>
    <mergeCell ref="F130:F134"/>
    <mergeCell ref="E136:E140"/>
    <mergeCell ref="F138:F139"/>
    <mergeCell ref="D141:D145"/>
    <mergeCell ref="E141:E145"/>
    <mergeCell ref="F141:F142"/>
    <mergeCell ref="D146:D171"/>
    <mergeCell ref="E146:E150"/>
    <mergeCell ref="E151:E154"/>
    <mergeCell ref="E155:E156"/>
    <mergeCell ref="E157:E158"/>
    <mergeCell ref="E159:E162"/>
    <mergeCell ref="F161:F162"/>
    <mergeCell ref="E163:E166"/>
    <mergeCell ref="E168:E171"/>
    <mergeCell ref="D172:D174"/>
    <mergeCell ref="E172:E174"/>
    <mergeCell ref="F173:F174"/>
    <mergeCell ref="D175:D181"/>
    <mergeCell ref="E175:E177"/>
    <mergeCell ref="F175:F176"/>
    <mergeCell ref="E178:E181"/>
  </mergeCells>
  <dataValidations count="1">
    <dataValidation type="list" allowBlank="1" showErrorMessage="1" errorTitle="잘못된 값" error="Pass, Fail, N/T, Block 중 하나를 선택하세요." sqref="I10:J181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꿈 세계를 지켜라 아웃게임 MK.2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2026-05-15T07:24:51Z</dcterms:created>
  <dcterms:modified xsi:type="dcterms:W3CDTF">2026-05-15T07:24:51Z</dcterms:modified>
</cp:coreProperties>
</file>