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어비스레이드 도움 주기" state="visible" r:id="rId4"/>
  </sheets>
  <calcPr calcId="171027"/>
</workbook>
</file>

<file path=xl/sharedStrings.xml><?xml version="1.0" encoding="utf-8"?>
<sst xmlns="http://schemas.openxmlformats.org/spreadsheetml/2006/main" count="465" uniqueCount="317">
  <si>
    <t>(C)어비스레이드 도움 주기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</si>
  <si>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</si>
  <si>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</si>
  <si>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</si>
  <si>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</si>
  <si>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</si>
  <si>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</si>
  <si>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</si>
  <si>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</si>
  <si>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</si>
  <si>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</si>
  <si>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</si>
  <si>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</si>
  <si>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</si>
  <si>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</si>
  <si>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</si>
  <si>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</si>
  <si>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</si>
  <si>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</si>
  <si>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</si>
  <si>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</si>
  <si>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</si>
  <si>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</si>
  <si>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어비스레이드 도움 주기</t>
  </si>
  <si>
    <t>가이드북</t>
  </si>
  <si>
    <t>가이드북 노출 조건</t>
  </si>
  <si>
    <t>튜토리얼 종료 후 노출</t>
  </si>
  <si>
    <t>어비스 레이드 튜토리얼 종료 후, 도움 요청/도움 주기 가이드북이 자동으로 펼쳐진다</t>
  </si>
  <si>
    <t>참고 화면: 7단계 도움 주기/도움 요청 가이드북</t>
  </si>
  <si>
    <t>기존 유저 로비 진입 시 노출</t>
  </si>
  <si>
    <t>이미 어비스 튜토리얼을 종료한 유저가 어비스 레이드 로비에 진입 시, 가이드북이 즉시 표시된다 (최초 1회)</t>
  </si>
  <si>
    <t>최초 1회 제한</t>
  </si>
  <si>
    <t>가이드북을 1회 확인한 유저가 어비스 레이드 로비에 재진입 시, 가이드북이 자동으로 표시되지 않는다</t>
  </si>
  <si>
    <t>Normal</t>
  </si>
  <si>
    <t>튜토리얼 미완료 유저</t>
  </si>
  <si>
    <t>어비스 레이드 튜토리얼을 완료하지 않은 유저에게는 도움 요청/도움 주기 가이드북이 표시되지 않는다</t>
  </si>
  <si>
    <t>도움 요청 가이드 페이지</t>
  </si>
  <si>
    <t>페이지 내용 표시</t>
  </si>
  <si>
    <t>도움 요청 가이드 페이지에 '최초 클리어하지 못한 단계에서 방을 생성할 경우, 도움 요청을 진행할 수 있습니다' 안내 텍스트가 표시된다</t>
  </si>
  <si>
    <t>참고 화면: 7단계 도움 요청 가이드 슬라이드</t>
  </si>
  <si>
    <t>예시 화면 표시</t>
  </si>
  <si>
    <t>도움 요청 가이드 페이지에 채팅창 도움 요청 메시지 예시 화면과 방 목록 내 '도움 요청중' 표시된 방 예시 화면이 표시된다</t>
  </si>
  <si>
    <t>도움 주기 가이드 페이지</t>
  </si>
  <si>
    <t>도움 주기 가이드 페이지에 '최초 클리어 완료한 단계에서 도움 주기를 진행할 수 있습니다' 및 '4페이즈를 클리어할 경우, 추가 보상을 획득할 수 있습니다' 안내 텍스트가 표시된다</t>
  </si>
  <si>
    <t>참고 화면: 7단계 도움 주기 가이드 슬라이드</t>
  </si>
  <si>
    <t>페이지 전환</t>
  </si>
  <si>
    <t>가이드북 하단의 페이지 인디케이터를 통해 도움 요청 가이드 페이지와 도움 주기 가이드 페이지 간 스와이프 전환이 된다</t>
  </si>
  <si>
    <t>참고 화면: 7단계 가이드북 페이지 인디케이터</t>
  </si>
  <si>
    <t>도움 요청</t>
  </si>
  <si>
    <t>도움 요청 가이드 표시</t>
  </si>
  <si>
    <t>미클리어 단계 표시</t>
  </si>
  <si>
    <t>어비스 레이드 로비의 난이도 선택 탭에서 아직 최초 클리어한 기록이 없는 단계에 '도움 요청 가능!' 표시가 부여된다</t>
  </si>
  <si>
    <t>참고 화면: 2단계 어비스 레이드 로비 - 난이도 선택 탭</t>
  </si>
  <si>
    <t>클리어 완료 단계 미표시</t>
  </si>
  <si>
    <t>최초 클리어가 완료된 단계에는 '도움 요청 가능!' 표시가 표시되지 않는다</t>
  </si>
  <si>
    <t>대상 구간 제한</t>
  </si>
  <si>
    <t>도움 요청 가능 표시는 노멀 ~ 익스트림 구간에서만 노출되며, 베이직 구간에서는 표시되지 않는다</t>
  </si>
  <si>
    <t>참고 화면: 1단계 도움 요청 규칙</t>
  </si>
  <si>
    <t>도움 요청 버튼</t>
  </si>
  <si>
    <t>버튼 노출 조건</t>
  </si>
  <si>
    <t>방장 기준으로 해당 단계를 클리어한 기록이 없을 경우, 방 내부에 도움 요청하기 버튼이 노출된다</t>
  </si>
  <si>
    <t>참고 화면: 3단계 도움 요청 버튼</t>
  </si>
  <si>
    <t>버튼 제거 조건</t>
  </si>
  <si>
    <t>방장이 해당 단계를 1회라도 클리어한 기록이 있을 경우, 도움 요청하기 버튼이 표시되지 않는다</t>
  </si>
  <si>
    <t>도움 요청 튜토리얼</t>
  </si>
  <si>
    <t>툴팁 출력</t>
  </si>
  <si>
    <t>처음 방을 생성한 유저에게 '방 만들고 도움 요청 가능!' 안내 말풍선이 표시된다</t>
  </si>
  <si>
    <t>참고 화면: 2단계 도움 요청 튜토리얼</t>
  </si>
  <si>
    <t>가이드 팝업 연결</t>
  </si>
  <si>
    <t>도움 요청 튜토리얼 진행 시, 도움 요청에 대한 정보를 포함한 가이드 팝업이 연결되어 출력된다</t>
  </si>
  <si>
    <t>방 만들기 팝업</t>
  </si>
  <si>
    <t>팝업 정보 표시</t>
  </si>
  <si>
    <t>방 만들기 팝업에 최소 팀 전투력 설정, 최소 팀 항마력 설정, 도전 단계, 검색 키워드 항목이 표시된다</t>
  </si>
  <si>
    <t>참고 화면: 3단계 방 만들기 팝업</t>
  </si>
  <si>
    <t>Critical</t>
  </si>
  <si>
    <t>도움 요청 방 만들기</t>
  </si>
  <si>
    <t>도움 요청 가능한 단계에서 '도움 요청 방 만들기' 버튼 터치 시, 도움 요청 상태가 활성화된 방이 생성된다</t>
  </si>
  <si>
    <t>참고 화면: 3단계 방 만들기 팝업 - 도움 요청 방 만들기 버튼</t>
  </si>
  <si>
    <t>일반 방 만들기</t>
  </si>
  <si>
    <t>'일반 방 만들기' 버튼 터치 시, 도움 요청 상태가 아닌 일반 방이 생성된다</t>
  </si>
  <si>
    <t>참고 화면: 3단계 방 만들기 팝업 - 일반 방 만들기 버튼</t>
  </si>
  <si>
    <t>버튼 비활성화</t>
  </si>
  <si>
    <t>해당 단계 클리어 기록이 있는 경우, '도움 요청 방 만들기' 버튼이 비활성화 상태로 표시된다</t>
  </si>
  <si>
    <t>참고 화면: 3단계 방 만들기 팝업 - 비활성화 조건</t>
  </si>
  <si>
    <t>도움 요청 가이드 팝업</t>
  </si>
  <si>
    <t>도움 요청 방 만들기 버튼 영역 터치 시, 도움 요청에 대한 가이드 팝업이 표시된다</t>
  </si>
  <si>
    <t>방 내 도움 요청 버튼</t>
  </si>
  <si>
    <t>버튼 상태 표시</t>
  </si>
  <si>
    <t>일반 방으로 생성된 경우, 방 화면 하단에 '도움 요청하기' 버튼이 활성화 상태로 표시된다</t>
  </si>
  <si>
    <t>참고 화면: 3단계 도움 요청 버튼 (방 내부)</t>
  </si>
  <si>
    <t>확인 팝업</t>
  </si>
  <si>
    <t>'도움 요청하기' 버튼 터치 시, '도움 요청하시겠습니까?' 확인 팝업이 출력된다</t>
  </si>
  <si>
    <t>참고 화면: 3단계 도움 요청 버튼 - 확인 팝업</t>
  </si>
  <si>
    <t>도움 요청 상태 활성화</t>
  </si>
  <si>
    <t>확인 팝업에서 '확인' 버튼 터치 시, 해당 방이 '도움 요청 진행중인 방'으로 전환된다</t>
  </si>
  <si>
    <t>참고 화면: 3단계 도움 요청 버튼 - 상태 활성화</t>
  </si>
  <si>
    <t>확인 팝업 취소</t>
  </si>
  <si>
    <t>확인 팝업에서 '취소' 버튼 터치 시, 팝업이 닫히고 방 상태가 변경되지 않는다</t>
  </si>
  <si>
    <t>도움 요청 상태 비활성화</t>
  </si>
  <si>
    <t>이미 도움 요청 상태가 활성화된 방에서 도움 요청 버튼을 다시 터치 시, 도움 요청 상태가 해제되어 일반 방으로 전환된다</t>
  </si>
  <si>
    <t>참고 화면: 3단계 도움 요청 버튼 - 해제</t>
  </si>
  <si>
    <t>비밀방 해제 확인 팝업</t>
  </si>
  <si>
    <t>비밀방 상태에서 도움 요청하기 버튼 터치 시, '비밀번호 해제하고 도움 요청하시겠습니까?' 확인 팝업이 출력된다</t>
  </si>
  <si>
    <t>참고 화면: 3단계 도움 요청 버튼 - 비밀방 해제</t>
  </si>
  <si>
    <t>비밀방 해제 후 전환</t>
  </si>
  <si>
    <t>비밀방 해제 확인 팝업에서 '확인' 터치 시, 비밀방 설정이 해제되고 도움 요청 방으로 전환된다</t>
  </si>
  <si>
    <t>참고 화면: 3단계 도움 요청 버튼 - 비밀방 해제 확인</t>
  </si>
  <si>
    <t>비밀방 유지</t>
  </si>
  <si>
    <t>비밀방 해제 확인 팝업에서 '취소' 터치 시, 비밀방 설정이 유지되고 도움 요청 전환이 진행되지 않는다</t>
  </si>
  <si>
    <t>참고 화면: 3단계 도움 요청 버튼 - 비밀방 취소</t>
  </si>
  <si>
    <t>클리어 유저 비활성화</t>
  </si>
  <si>
    <t>해당 단계를 이미 클리어한 유저가 방장인 경우, 도움 요청하기 버튼이 비활성화 상태로 표시된다</t>
  </si>
  <si>
    <t>참고 화면: 3단계 도움 요청 버튼 - 비활성화 조건</t>
  </si>
  <si>
    <t>방 설정 변경</t>
  </si>
  <si>
    <t>설정 변경 팝업</t>
  </si>
  <si>
    <t>도움 요청 방에서 방 설정 변경 버튼 터치 시, 방 설정 변경 팝업이 표시된다</t>
  </si>
  <si>
    <t>참고 화면: 3단계 방 설정 변경</t>
  </si>
  <si>
    <t>도움 요청 해제</t>
  </si>
  <si>
    <t>도움 요청 상태의 방에서 방 설정 변경을 통해 도움 요청 상태를 해제할 수 있다</t>
  </si>
  <si>
    <t>방장 이탈</t>
  </si>
  <si>
    <t>일반 방 전환</t>
  </si>
  <si>
    <t>도움 요청 방으로 생성 후 방장이 방을 나간 경우, 해당 방이 일반 방으로 전환된다</t>
  </si>
  <si>
    <t>참고 화면: 1단계 도움 요청 규칙 - 방장 퇴장</t>
  </si>
  <si>
    <t>방장 위임 시 상태 체크</t>
  </si>
  <si>
    <t>도움 요청 방에서 방장이 나간 후 다른 유저에게 방장이 위임된 경우, 위임받은 방장의 클리어 기록에 따라 도움 요청 방 유지 또는 일반 방으로 전환된다</t>
  </si>
  <si>
    <t>참고 화면: 1단계 도움 요청 규칙 - 방장 위임</t>
  </si>
  <si>
    <t>도움 요청 활성화 연출</t>
  </si>
  <si>
    <t>방 상태 변경 표시</t>
  </si>
  <si>
    <t>도움 요청 활성화 시, 방 UI에 도움 요청 진행중 상태가 시각적으로 표시된다</t>
  </si>
  <si>
    <t>채팅 노출</t>
  </si>
  <si>
    <t>도움 요청 활성화 시, 어비스 채팅에 해당 방의 도움 요청 메시지가 노출된다</t>
  </si>
  <si>
    <t>참고 화면: 4단계 채팅 알림</t>
  </si>
  <si>
    <t>방 목록 노출</t>
  </si>
  <si>
    <t>도움 요청 활성화 시, 방 찾기 목록에 해당 방이 '도움 요청중' 태그와 함께 노출된다</t>
  </si>
  <si>
    <t>참고 화면: 5단계 방 목록 - 도움 요청중 방 표시</t>
  </si>
  <si>
    <t>공개 채팅 알림</t>
  </si>
  <si>
    <t>구인 메시지 표시</t>
  </si>
  <si>
    <t>도움 요청 활성화 시, 기지 공개 채팅의 어비스 탭에 '누군가 도움을 요청합니다' 메시지가 표시된다</t>
  </si>
  <si>
    <t>참고 화면: 4단계 추가 구인 요청</t>
  </si>
  <si>
    <t>어비스 진입 가능 유저 제한</t>
  </si>
  <si>
    <t>기지 공개 채팅의 어비스 탭은 어비스 진입 가능 유저에게만 표시된다</t>
  </si>
  <si>
    <t>도움 주기</t>
  </si>
  <si>
    <t>채팅 알림</t>
  </si>
  <si>
    <t>알림 메시지 표시</t>
  </si>
  <si>
    <t>실시간으로 도움 요청이 들어온 경우, 채팅창에 '누군가 도움을 요청했습니다' 알림 메시지가 표시된다</t>
  </si>
  <si>
    <t>N 마크 표시</t>
  </si>
  <si>
    <t>도움 요청 알림 수신 시, 채팅 아이콘에 N(뉴) 마크가 표시된다</t>
  </si>
  <si>
    <t>SOS 아이콘 표시</t>
  </si>
  <si>
    <t>도움 요청 메시지 좌측에 SOS 아이콘이 표시된다</t>
  </si>
  <si>
    <t>참고 화면: 4단계 채팅 목록 UI</t>
  </si>
  <si>
    <t>도움주기 탭</t>
  </si>
  <si>
    <t>탭 전환</t>
  </si>
  <si>
    <t>어비스 채팅 내 도움주기 탭 터치 시, 도움 요청 목록 화면으로 전환된다</t>
  </si>
  <si>
    <t>참고 화면: 4단계 도움주기 탭 버튼</t>
  </si>
  <si>
    <t>도움 요청 목록</t>
  </si>
  <si>
    <t>목록 정보 표시</t>
  </si>
  <si>
    <t>도움 요청 목록에 각 도움 요청의 요청 시간, 현재 참여 인원(예: 3/4), 난이도 정보가 표시된다</t>
  </si>
  <si>
    <t>참고 화면: 4단계 도움 요청 목록</t>
  </si>
  <si>
    <t>도움주기 횟수 표시</t>
  </si>
  <si>
    <t>도움주기 채팅 상단 영역에 이벤트 도움주기 횟수(예: 0/7)가 표시된다</t>
  </si>
  <si>
    <t>방 정보 보기 버튼</t>
  </si>
  <si>
    <t>도움 요청 목록의 각 항목에서 '방 정보 보기' 버튼이 표시된다</t>
  </si>
  <si>
    <t>유저 정보 팝업</t>
  </si>
  <si>
    <t>'방 정보 보기' 버튼 터치 시, 해당 방의 파티 유저 정보(닉네임, 전투력, 항마력 등)가 표시된다</t>
  </si>
  <si>
    <t>참고 화면: 4단계 유저 정보</t>
  </si>
  <si>
    <t>바로가기 버튼</t>
  </si>
  <si>
    <t>'바로가기' 버튼 터치 시, 해당 도움 요청 방에 즉시 진입된다</t>
  </si>
  <si>
    <t>참고 화면: 4단계 도움 요청 목록 - 바로가기</t>
  </si>
  <si>
    <t>사라진 방 토스트</t>
  </si>
  <si>
    <t>이미 사라진 방의 '바로가기' 버튼 터치 시, 방이 존재하지 않는다는 토스트 메시지가 표시된다</t>
  </si>
  <si>
    <t>참고 화면: 4단계 도움 요청 목록 - 토스트 메시지</t>
  </si>
  <si>
    <t>인원 초과 토스트</t>
  </si>
  <si>
    <t>방 인원이 가득 찬 도움 요청 방의 '바로가기' 버튼 터치 시, 참여 인원이 초과되었다는 토스트 메시지가 표시된다</t>
  </si>
  <si>
    <t>진입 불가 단계 토스트</t>
  </si>
  <si>
    <t>해당 단계 진입 권한이 없는 유저가 '바로가기' 버튼 터치 시, 진입할 수 없는 단계라는 토스트 메시지가 표시된다</t>
  </si>
  <si>
    <t>참고 화면: 4단계 도움 요청 목록 - 진입 불가</t>
  </si>
  <si>
    <t>방 목록</t>
  </si>
  <si>
    <t>도움 요청중 방 강조 표시</t>
  </si>
  <si>
    <t>방 찾기 목록에서 도움 요청중인 방에 강조 테두리와 '도움 요청중' 빨간색 배지가 표시된다</t>
  </si>
  <si>
    <t>정렬 규칙 미영향</t>
  </si>
  <si>
    <t>도움 요청중인 방은 방 목록의 정렬 규칙에 영향을 주지 않고, UI 표시로만 구분된다</t>
  </si>
  <si>
    <t>참고 화면: 5단계 방 목록 - 정렬 규칙</t>
  </si>
  <si>
    <t>방 카드 정보 표시</t>
  </si>
  <si>
    <t>방 목록의 각 방 카드에 방 이름, 목표 단계, 목표 페이즈, 전투력, 항마력, 역할군 아이콘, 참여 인원이 표시된다</t>
  </si>
  <si>
    <t>참고 화면: 5단계 방 목록 카드 구성</t>
  </si>
  <si>
    <t>참여하기 버튼</t>
  </si>
  <si>
    <t>방 목록의 각 방 카드에서 '참여하기' 버튼 터치 시, 해당 방에 진입된다</t>
  </si>
  <si>
    <t>참고 화면: 5단계 방 목록 - 참여하기 버튼</t>
  </si>
  <si>
    <t>파티원 정보 패널</t>
  </si>
  <si>
    <t>방 목록에서 방 선택 시, 좌측에 파티원 정보 패널이 표시되어 각 파티원의 닉네임, 레벨, 전투력 정보가 출력된다</t>
  </si>
  <si>
    <t>참고 화면: 5단계 방 목록 - 파티원 정보 패널</t>
  </si>
  <si>
    <t>난이도 필터 탭</t>
  </si>
  <si>
    <t>방 목록 상단의 난이도 필터 탭(ALL/NORMAL/HARD/HELL/CHALLENGE) 터치 시, 선택한 난이도의 방만 필터링되어 표시된다</t>
  </si>
  <si>
    <t>참고 화면: 5단계 방 목록 - 난이도 필터</t>
  </si>
  <si>
    <t>새로고침 버튼</t>
  </si>
  <si>
    <t>방 목록의 새로고침 버튼 터치 시, 방 목록이 갱신된다</t>
  </si>
  <si>
    <t>참고 화면: 5단계 방 목록 - 새로고침</t>
  </si>
  <si>
    <t>페이지네이션</t>
  </si>
  <si>
    <t>방 목록 하단의 페이지네이션(최대 10페이지) 화살표 버튼 터치 시, 해당 페이지의 방 목록으로 전환된다</t>
  </si>
  <si>
    <t>참고 화면: 5단계 방 목록 - 페이지네이션</t>
  </si>
  <si>
    <t>도움 주기 조건</t>
  </si>
  <si>
    <t>도움 주기 가능 상태</t>
  </si>
  <si>
    <t>특정 단계를 최초 클리어한 기록이 있는 유저는 해당 단계의 도움 주기를 진행할 수 있다</t>
  </si>
  <si>
    <t>참고 화면: 1단계 도움 주기 규칙</t>
  </si>
  <si>
    <t>도움 받아 클리어한 유저</t>
  </si>
  <si>
    <t>도움을 받아 최초 클리어한 유저도 해당 단계의 도움 주기가 가능한 상태가 된다</t>
  </si>
  <si>
    <t>참고 화면: 1단계 도움 주기 규칙 - 뉴비 케이스</t>
  </si>
  <si>
    <t>미클리어 유저 제한</t>
  </si>
  <si>
    <t>해당 단계를 최초 클리어한 기록이 없는 유저는 해당 단계의 도움 주기를 진행할 수 없다</t>
  </si>
  <si>
    <t>스펙 미달 유저 진입</t>
  </si>
  <si>
    <t>스펙 미달 유저가 도움 주기를 위해 방에 진입하는 것에 대해 시스템적 제재가 적용되지 않는다</t>
  </si>
  <si>
    <t>참고 화면: 1단계 도움 주기 규칙 - 스펙 미달</t>
  </si>
  <si>
    <t>도움 주기 성공</t>
  </si>
  <si>
    <t>성공 카운트</t>
  </si>
  <si>
    <t>도움 요청이 들어온 방에 진입하여 4페이즈를 클리어할 경우, 도움 주기 성공으로 카운트된다</t>
  </si>
  <si>
    <t>참고 화면: 1단계 도움 주기 규칙 - 성공 조건</t>
  </si>
  <si>
    <t>성공 아이콘 표시</t>
  </si>
  <si>
    <t>도움 주기 성공 시, 결과 화면에 도움 주기 성공 아이콘(H 아이콘)이 표시된다</t>
  </si>
  <si>
    <t>참고 화면: 6단계 누적 도움주기 횟수</t>
  </si>
  <si>
    <t>도움주기 완료 배지</t>
  </si>
  <si>
    <t>도움 주기 성공 시, 클리어 완료 화면에 '도움주기 완료!+1' 배지가 표시된다</t>
  </si>
  <si>
    <t>참고 화면: 6단계 클리어 완료 화면</t>
  </si>
  <si>
    <t>도움 주기 실패</t>
  </si>
  <si>
    <t>방장 이탈 시 실패 처리</t>
  </si>
  <si>
    <t>도움 요청 방에서 방장(도움 요청 유저)의 접속이 끊겨 클리어를 못한 경우, 도움 주기가 실패로 처리된다</t>
  </si>
  <si>
    <t>참고 화면: 1단계 예외 사항 - 어뷰징 방지</t>
  </si>
  <si>
    <t>실패 시 보상 미지급</t>
  </si>
  <si>
    <t>도움 주기 실패 처리된 경우, 도움 주기 추가 보상이 지급되지 않는다</t>
  </si>
  <si>
    <t>참고 화면: 1단계 예외 사항</t>
  </si>
  <si>
    <t>실패 시 횟수 미카운트</t>
  </si>
  <si>
    <t>도움 주기 실패 처리된 경우, 도움 주기 성공 횟수에 카운트되지 않는다</t>
  </si>
  <si>
    <t>도움 주기 보상</t>
  </si>
  <si>
    <t>보상 획득</t>
  </si>
  <si>
    <t>추가 보상 지급</t>
  </si>
  <si>
    <t>도움 주기 성공 시, 결과 화면에서 도움 주기 추가 보상이 즉시 지급된다</t>
  </si>
  <si>
    <t>참고 화면: 6단계 도움 주기 보상 획득</t>
  </si>
  <si>
    <t>도움 태그 표시</t>
  </si>
  <si>
    <t>결과 화면에서 도움 주기 보상에 [도움] 태그가 붙어 최초 클리어 보상과 구분되어 표시된다</t>
  </si>
  <si>
    <t>보상 아이콘 표시</t>
  </si>
  <si>
    <t>결과 화면에서 도움 주기 보상 아이템 아이콘이 표시된다</t>
  </si>
  <si>
    <t>보상 설정 UI</t>
  </si>
  <si>
    <t>보상 설정 표시</t>
  </si>
  <si>
    <t>도움주기 채팅 상단 영역에 도움 주기 보상 관련 설정 정보가 표시된다</t>
  </si>
  <si>
    <t>참고 화면: 6단계 도움 주기 보상 설정</t>
  </si>
  <si>
    <t>주간 보상 제한</t>
  </si>
  <si>
    <t>최대치 도달 시 미지급</t>
  </si>
  <si>
    <t>주간 도움 주기 보상 획득 최대치에 도달한 경우, 도움 주기를 성공하더라도 추가 보상이 지급되지 않는다</t>
  </si>
  <si>
    <t>참고 화면: 1단계 도움 주기 규칙 - 주간 제한</t>
  </si>
  <si>
    <t>횟수 카운트 유지</t>
  </si>
  <si>
    <t>주간 보상 최대치에 도달한 상태에서 도움 주기를 성공한 경우, 추가 보상은 미지급되지만 도움 주기 성공 횟수는 카운트된다</t>
  </si>
  <si>
    <t>주간 리셋</t>
  </si>
  <si>
    <t>어비스 주간 보상 리셋 타이밍에 도달 시, 도움 주기 추가 보상 획득 횟수가 초기화되어 다시 보상을 획득할 수 있다</t>
  </si>
  <si>
    <t>참고 화면: 1단계 도움 주기 규칙 - 리셋</t>
  </si>
  <si>
    <t>리셋 타이밍 동기화</t>
  </si>
  <si>
    <t>도움 주기 보상 리셋 시간이 어비스 주간 보상 리셋 타이밍과 동일하게 적용된다</t>
  </si>
  <si>
    <t>참고 화면: 1단계 도움 주기 규칙 - 리셋 타이밍</t>
  </si>
  <si>
    <t>잔여 횟수 표시</t>
  </si>
  <si>
    <t>도움주기 채팅 상단에 주간 도움 주기 보상 잔여 획득 가능 횟수가 표시된다</t>
  </si>
  <si>
    <t>참고 화면: 4단계 채팅 목록 UI - 도움주기 횟수</t>
  </si>
  <si>
    <t>누적 도움주기 횟수</t>
  </si>
  <si>
    <t>횟수 표시</t>
  </si>
  <si>
    <t>도움 주기를 1회 이상 진행한 경우, 결과 화면에 누적 도움주기 횟수가 표시된다</t>
  </si>
  <si>
    <t>프로필 표시</t>
  </si>
  <si>
    <t>도움 주기를 1회 이상 진행한 경우, 프로필 화면에 누적 도움주기 횟수가 K/H 아이콘 형태로 표시된다</t>
  </si>
  <si>
    <t>미진행 시 미표시</t>
  </si>
  <si>
    <t>도움 주기를 1회도 진행하지 않은 경우, 누적 도움주기 횟수가 표시되지 않는다</t>
  </si>
  <si>
    <t>결과 화면</t>
  </si>
  <si>
    <t>클리어 완료 표시</t>
  </si>
  <si>
    <t>도움 주기 성공 시 결과 화면 상단에 'COMPLETED!' 텍스트가 표시된다</t>
  </si>
  <si>
    <t>난이도 및 클리어 타임 표시</t>
  </si>
  <si>
    <t>결과 화면에 클리어한 난이도와 클리어 타임이 표시된다</t>
  </si>
  <si>
    <t>파티원 정보 표시</t>
  </si>
  <si>
    <t>결과 화면 하단에 4명의 파티원 캐릭터 아이콘, 닉네임, 전투력 정보가 표시된다</t>
  </si>
  <si>
    <t>보상/가이드 탭</t>
  </si>
  <si>
    <t>결과 화면에 보상 탭과 가이드 탭이 표시되며, 탭 터치 시 해당 탭의 내용으로 전환된다</t>
  </si>
  <si>
    <t>최초 클리어 보상 태그</t>
  </si>
  <si>
    <t>도움 요청자(방장)가 해당 단계를 최초 클리어한 경우, 결과 화면에 'First Clear' 태그가 별도로 표시된다</t>
  </si>
  <si>
    <t>참고 화면: 6단계 클리어 완료 화면 - First Clear</t>
  </si>
  <si>
    <t>다시하기 버튼</t>
  </si>
  <si>
    <t>결과 화면 하단의 '다시하기' 버튼 터치 시, 동일 단계를 다시 진행할 수 있는 화면으로 전환된다</t>
  </si>
  <si>
    <t>나가기 버튼</t>
  </si>
  <si>
    <t>결과 화면 하단의 '나가기' 버튼 터치 시, 방에서 나가 어비스 레이드 로비로 이동된다</t>
  </si>
  <si>
    <t>업적 및 칭호</t>
  </si>
  <si>
    <t>도움 주기 업적</t>
  </si>
  <si>
    <t>업적 항목 표시</t>
  </si>
  <si>
    <t>업적 목록 화면에 도움 주기 관련 업적 '긴급 구조 요원' 항목이 표시된다</t>
  </si>
  <si>
    <t>참고 화면: 6단계 업적 화면</t>
  </si>
  <si>
    <t>업적 달성</t>
  </si>
  <si>
    <t>도움 주기 누적 횟수가 업적 달성 조건에 도달 시, '긴급 구조 요원' 업적이 달성 처리된다</t>
  </si>
  <si>
    <t>참고 화면: 6단계 업적 화면 - 긴급 구조 요원</t>
  </si>
  <si>
    <t>업적 진행도 표시</t>
  </si>
  <si>
    <t>업적 목록에서 '긴급 구조 요원' 업적의 현재 진행도(누적 도움 주기 횟수/목표 횟수)가 표시된다</t>
  </si>
  <si>
    <t>업적 보상 수령</t>
  </si>
  <si>
    <t>도움 주기 업적 달성 시, 업적 보상을 수령할 수 있다</t>
  </si>
  <si>
    <t>도움 주기 칭호</t>
  </si>
  <si>
    <t>칭호 획득</t>
  </si>
  <si>
    <t>도움 주기 누적 횟수가 칭호 획득 조건에 도달 시, 전용 칭호가 획득된다</t>
  </si>
  <si>
    <t>참고 화면: 6단계 도움 주기 칭호</t>
  </si>
  <si>
    <t>칭호 장착</t>
  </si>
  <si>
    <t>획득한 도움 주기 전용 칭호를 프로필에 장착할 수 있다</t>
  </si>
  <si>
    <t>칭호 표시</t>
  </si>
  <si>
    <t>도움 주기 전용 칭호 장착 시, 프로필 및 게임 내에서 해당 칭호가 표시된다</t>
  </si>
  <si>
    <t>방 내 로비 UI</t>
  </si>
  <si>
    <t>보스 정보 표시</t>
  </si>
  <si>
    <t>방 생성 후 방 내부 화면 우측에 보스명, 난이도, 전투력, 항마력, 부활 횟수 제한 정보가 표시된다</t>
  </si>
  <si>
    <t>참고 화면: 2단계 어비스 레이드 로비 - 방 생성 후</t>
  </si>
  <si>
    <t>참여 멤버 슬롯 표시</t>
  </si>
  <si>
    <t>방 내부 화면에 최대 4인의 참여 멤버 슬롯이 표시되며, 빈 슬롯은 빈 상태로 표시된다</t>
  </si>
  <si>
    <t>방 찾기 버튼</t>
  </si>
  <si>
    <t>방 내부 화면 하단의 '방 찾기' 버튼 터치 시, 방 찾기 목록 화면으로 이동된다</t>
  </si>
  <si>
    <t>참고 화면: 2단계 어비스 레이드 로비</t>
  </si>
  <si>
    <t>빠른 방 찾기 버튼</t>
  </si>
  <si>
    <t>방 내부 화면 하단의 '빠른 방 찾기' 버튼 터치 시, 조건에 맞는 방에 자동으로 매칭되어 진입된다</t>
  </si>
  <si>
    <t>난이도 메시지 표시</t>
  </si>
  <si>
    <t>도움 요청 목록의 각 항목에 'HARD 난이도에서 도움 요청이 들어왔습니다' 등 해당 난이도 정보가 포함된 메시지가 표시된다</t>
  </si>
  <si>
    <t>날짜 시간 표시</t>
  </si>
  <si>
    <t>도움 요청 목록의 각 항목에 도움 요청이 발생한 날짜와 시간(예: 2026.03.12 10:55)이 표시된다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</si>
</sst>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COUNTIF(I10:I109,"Pass")</f>
      </c>
      <c r="K3" t="s">
        <v>4</v>
      </c>
      <c r="L3">
        <f>COUNTIF(I10:I109,"")</f>
      </c>
      <c r="M3" s="3" t="s">
        <v>3</v>
      </c>
      <c r="N3">
        <f>COUNTIF(J10:J109,"Pass")</f>
      </c>
    </row>
    <row r="4" spans="9:14" x14ac:dyDescent="0.25">
      <c r="I4" s="4" t="s">
        <v>5</v>
      </c>
      <c r="J4">
        <f>COUNTIF(I10:I109,"N/T")</f>
      </c>
      <c r="K4" t="s">
        <v>6</v>
      </c>
      <c r="L4">
        <f>COUNTA(I10:I109)-COUNTIF(I10:I109,"")</f>
      </c>
      <c r="M4" s="4" t="s">
        <v>5</v>
      </c>
      <c r="N4">
        <f>COUNTIF(J10:J109,"N/T")</f>
      </c>
    </row>
    <row r="5" spans="9:14" x14ac:dyDescent="0.25">
      <c r="I5" s="5" t="s">
        <v>7</v>
      </c>
      <c r="J5">
        <f>COUNTIF(I10:I109,"Fail")</f>
      </c>
      <c r="K5" t="s">
        <v>8</v>
      </c>
      <c r="L5">
        <v>100</v>
      </c>
      <c r="M5" s="5" t="s">
        <v>7</v>
      </c>
      <c r="N5">
        <f>COUNTIF(J10:J109,"Fail")</f>
      </c>
    </row>
    <row r="6" spans="9:14" x14ac:dyDescent="0.25">
      <c r="I6" s="6" t="s">
        <v>9</v>
      </c>
      <c r="J6">
        <f>COUNTIF(I10:I109,"Block")</f>
      </c>
      <c r="K6" t="s">
        <v>10</v>
      </c>
      <c r="L6" s="7">
        <f>IF(L5=0,0,L4/L5)</f>
      </c>
      <c r="M6" s="6" t="s">
        <v>9</v>
      </c>
      <c r="N6">
        <f>COUNTIF(J10:J109,"Block")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31</v>
      </c>
      <c r="H12" s="13" t="s">
        <v>32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33</v>
      </c>
      <c r="D13" s="11"/>
      <c r="E13" s="11"/>
      <c r="F13" s="11"/>
      <c r="G13" s="12" t="s">
        <v>34</v>
      </c>
      <c r="H13" s="13" t="s">
        <v>35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33</v>
      </c>
      <c r="D14" s="11"/>
      <c r="E14" s="11"/>
      <c r="F14" s="11" t="s">
        <v>36</v>
      </c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39</v>
      </c>
    </row>
    <row r="15" spans="2:14" x14ac:dyDescent="0.25">
      <c r="B15" s="9">
        <v>6</v>
      </c>
      <c r="C15" s="15" t="s">
        <v>33</v>
      </c>
      <c r="D15" s="11"/>
      <c r="E15" s="11"/>
      <c r="F15" s="11"/>
      <c r="G15" s="12" t="s">
        <v>40</v>
      </c>
      <c r="H15" s="13" t="s">
        <v>41</v>
      </c>
      <c r="I15" s="12"/>
      <c r="J15" s="12"/>
      <c r="K15" s="12"/>
      <c r="L15" s="12"/>
      <c r="M15" s="12"/>
      <c r="N15" s="14" t="s">
        <v>39</v>
      </c>
    </row>
    <row r="16" spans="2:14" x14ac:dyDescent="0.25">
      <c r="B16" s="9">
        <v>7</v>
      </c>
      <c r="C16" s="15" t="s">
        <v>33</v>
      </c>
      <c r="D16" s="11"/>
      <c r="E16" s="11"/>
      <c r="F16" s="11" t="s">
        <v>42</v>
      </c>
      <c r="G16" s="12" t="s">
        <v>37</v>
      </c>
      <c r="H16" s="13" t="s">
        <v>43</v>
      </c>
      <c r="I16" s="12"/>
      <c r="J16" s="12"/>
      <c r="K16" s="12"/>
      <c r="L16" s="12"/>
      <c r="M16" s="12"/>
      <c r="N16" s="14" t="s">
        <v>44</v>
      </c>
    </row>
    <row r="17" spans="2:14" x14ac:dyDescent="0.25">
      <c r="B17" s="9">
        <v>8</v>
      </c>
      <c r="C17" s="15" t="s">
        <v>33</v>
      </c>
      <c r="D17" s="11"/>
      <c r="E17" s="11"/>
      <c r="F17" s="11"/>
      <c r="G17" s="12" t="s">
        <v>45</v>
      </c>
      <c r="H17" s="13" t="s">
        <v>46</v>
      </c>
      <c r="I17" s="12"/>
      <c r="J17" s="12"/>
      <c r="K17" s="12"/>
      <c r="L17" s="12"/>
      <c r="M17" s="12"/>
      <c r="N17" s="14" t="s">
        <v>47</v>
      </c>
    </row>
    <row r="18" spans="2:14" x14ac:dyDescent="0.25">
      <c r="B18" s="9">
        <v>9</v>
      </c>
      <c r="C18" s="10" t="s">
        <v>22</v>
      </c>
      <c r="D18" s="11"/>
      <c r="E18" s="11" t="s">
        <v>48</v>
      </c>
      <c r="F18" s="11" t="s">
        <v>49</v>
      </c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53</v>
      </c>
      <c r="H19" s="13" t="s">
        <v>54</v>
      </c>
      <c r="I19" s="12"/>
      <c r="J19" s="12"/>
      <c r="K19" s="12"/>
      <c r="L19" s="12"/>
      <c r="M19" s="12"/>
      <c r="N19" s="14" t="s">
        <v>52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55</v>
      </c>
      <c r="H20" s="13" t="s">
        <v>56</v>
      </c>
      <c r="I20" s="12"/>
      <c r="J20" s="12"/>
      <c r="K20" s="12"/>
      <c r="L20" s="12"/>
      <c r="M20" s="12"/>
      <c r="N20" s="14" t="s">
        <v>57</v>
      </c>
    </row>
    <row r="21" spans="2:14" x14ac:dyDescent="0.25">
      <c r="B21" s="9">
        <v>12</v>
      </c>
      <c r="C21" s="10" t="s">
        <v>22</v>
      </c>
      <c r="D21" s="11"/>
      <c r="E21" s="11"/>
      <c r="F21" s="11" t="s">
        <v>58</v>
      </c>
      <c r="G21" s="12" t="s">
        <v>59</v>
      </c>
      <c r="H21" s="13" t="s">
        <v>60</v>
      </c>
      <c r="I21" s="12"/>
      <c r="J21" s="12"/>
      <c r="K21" s="12"/>
      <c r="L21" s="12"/>
      <c r="M21" s="12"/>
      <c r="N21" s="14" t="s">
        <v>61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62</v>
      </c>
      <c r="H22" s="13" t="s">
        <v>63</v>
      </c>
      <c r="I22" s="12"/>
      <c r="J22" s="12"/>
      <c r="K22" s="12"/>
      <c r="L22" s="12"/>
      <c r="M22" s="12"/>
      <c r="N22" s="14" t="s">
        <v>61</v>
      </c>
    </row>
    <row r="23" spans="2:14" x14ac:dyDescent="0.25">
      <c r="B23" s="9">
        <v>14</v>
      </c>
      <c r="C23" s="15" t="s">
        <v>33</v>
      </c>
      <c r="D23" s="11"/>
      <c r="E23" s="11"/>
      <c r="F23" s="11" t="s">
        <v>64</v>
      </c>
      <c r="G23" s="12" t="s">
        <v>65</v>
      </c>
      <c r="H23" s="13" t="s">
        <v>66</v>
      </c>
      <c r="I23" s="12"/>
      <c r="J23" s="12"/>
      <c r="K23" s="12"/>
      <c r="L23" s="12"/>
      <c r="M23" s="12"/>
      <c r="N23" s="14" t="s">
        <v>67</v>
      </c>
    </row>
    <row r="24" spans="2:14" x14ac:dyDescent="0.25">
      <c r="B24" s="9">
        <v>15</v>
      </c>
      <c r="C24" s="15" t="s">
        <v>33</v>
      </c>
      <c r="D24" s="11"/>
      <c r="E24" s="11"/>
      <c r="F24" s="11"/>
      <c r="G24" s="12" t="s">
        <v>68</v>
      </c>
      <c r="H24" s="13" t="s">
        <v>69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5" t="s">
        <v>33</v>
      </c>
      <c r="D25" s="11"/>
      <c r="E25" s="11"/>
      <c r="F25" s="11" t="s">
        <v>70</v>
      </c>
      <c r="G25" s="12" t="s">
        <v>71</v>
      </c>
      <c r="H25" s="13" t="s">
        <v>72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6" t="s">
        <v>74</v>
      </c>
      <c r="D26" s="11"/>
      <c r="E26" s="11"/>
      <c r="F26" s="11"/>
      <c r="G26" s="12" t="s">
        <v>75</v>
      </c>
      <c r="H26" s="13" t="s">
        <v>76</v>
      </c>
      <c r="I26" s="12"/>
      <c r="J26" s="12"/>
      <c r="K26" s="12"/>
      <c r="L26" s="12"/>
      <c r="M26" s="12"/>
      <c r="N26" s="14" t="s">
        <v>77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78</v>
      </c>
      <c r="H27" s="13" t="s">
        <v>79</v>
      </c>
      <c r="I27" s="12"/>
      <c r="J27" s="12"/>
      <c r="K27" s="12"/>
      <c r="L27" s="12"/>
      <c r="M27" s="12"/>
      <c r="N27" s="14" t="s">
        <v>80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81</v>
      </c>
      <c r="H28" s="13" t="s">
        <v>82</v>
      </c>
      <c r="I28" s="12"/>
      <c r="J28" s="12"/>
      <c r="K28" s="12"/>
      <c r="L28" s="12"/>
      <c r="M28" s="12"/>
      <c r="N28" s="14" t="s">
        <v>83</v>
      </c>
    </row>
    <row r="29" spans="2:14" x14ac:dyDescent="0.25">
      <c r="B29" s="9">
        <v>20</v>
      </c>
      <c r="C29" s="15" t="s">
        <v>33</v>
      </c>
      <c r="D29" s="11"/>
      <c r="E29" s="11"/>
      <c r="F29" s="11"/>
      <c r="G29" s="12" t="s">
        <v>84</v>
      </c>
      <c r="H29" s="13" t="s">
        <v>85</v>
      </c>
      <c r="I29" s="12"/>
      <c r="J29" s="12"/>
      <c r="K29" s="12"/>
      <c r="L29" s="12"/>
      <c r="M29" s="12"/>
      <c r="N29" s="14" t="s">
        <v>73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86</v>
      </c>
      <c r="G30" s="12" t="s">
        <v>87</v>
      </c>
      <c r="H30" s="13" t="s">
        <v>88</v>
      </c>
      <c r="I30" s="12"/>
      <c r="J30" s="12"/>
      <c r="K30" s="12"/>
      <c r="L30" s="12"/>
      <c r="M30" s="12"/>
      <c r="N30" s="14" t="s">
        <v>89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90</v>
      </c>
      <c r="H31" s="13" t="s">
        <v>91</v>
      </c>
      <c r="I31" s="12"/>
      <c r="J31" s="12"/>
      <c r="K31" s="12"/>
      <c r="L31" s="12"/>
      <c r="M31" s="12"/>
      <c r="N31" s="14" t="s">
        <v>92</v>
      </c>
    </row>
    <row r="32" spans="2:14" x14ac:dyDescent="0.25">
      <c r="B32" s="9">
        <v>23</v>
      </c>
      <c r="C32" s="16" t="s">
        <v>74</v>
      </c>
      <c r="D32" s="11"/>
      <c r="E32" s="11"/>
      <c r="F32" s="11"/>
      <c r="G32" s="12" t="s">
        <v>93</v>
      </c>
      <c r="H32" s="13" t="s">
        <v>94</v>
      </c>
      <c r="I32" s="12"/>
      <c r="J32" s="12"/>
      <c r="K32" s="12"/>
      <c r="L32" s="12"/>
      <c r="M32" s="12"/>
      <c r="N32" s="14" t="s">
        <v>95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96</v>
      </c>
      <c r="H33" s="13" t="s">
        <v>97</v>
      </c>
      <c r="I33" s="12"/>
      <c r="J33" s="12"/>
      <c r="K33" s="12"/>
      <c r="L33" s="12"/>
      <c r="M33" s="12"/>
      <c r="N33" s="14" t="s">
        <v>92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98</v>
      </c>
      <c r="H34" s="13" t="s">
        <v>99</v>
      </c>
      <c r="I34" s="12"/>
      <c r="J34" s="12"/>
      <c r="K34" s="12"/>
      <c r="L34" s="12"/>
      <c r="M34" s="12"/>
      <c r="N34" s="14" t="s">
        <v>100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101</v>
      </c>
      <c r="H35" s="13" t="s">
        <v>102</v>
      </c>
      <c r="I35" s="12"/>
      <c r="J35" s="12"/>
      <c r="K35" s="12"/>
      <c r="L35" s="12"/>
      <c r="M35" s="12"/>
      <c r="N35" s="14" t="s">
        <v>103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104</v>
      </c>
      <c r="H36" s="13" t="s">
        <v>105</v>
      </c>
      <c r="I36" s="12"/>
      <c r="J36" s="12"/>
      <c r="K36" s="12"/>
      <c r="L36" s="12"/>
      <c r="M36" s="12"/>
      <c r="N36" s="14" t="s">
        <v>106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107</v>
      </c>
      <c r="H37" s="13" t="s">
        <v>108</v>
      </c>
      <c r="I37" s="12"/>
      <c r="J37" s="12"/>
      <c r="K37" s="12"/>
      <c r="L37" s="12"/>
      <c r="M37" s="12"/>
      <c r="N37" s="14" t="s">
        <v>109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110</v>
      </c>
      <c r="H38" s="13" t="s">
        <v>111</v>
      </c>
      <c r="I38" s="12"/>
      <c r="J38" s="12"/>
      <c r="K38" s="12"/>
      <c r="L38" s="12"/>
      <c r="M38" s="12"/>
      <c r="N38" s="14" t="s">
        <v>112</v>
      </c>
    </row>
    <row r="39" spans="2:14" x14ac:dyDescent="0.25">
      <c r="B39" s="9">
        <v>30</v>
      </c>
      <c r="C39" s="10" t="s">
        <v>22</v>
      </c>
      <c r="D39" s="11"/>
      <c r="E39" s="11"/>
      <c r="F39" s="11" t="s">
        <v>113</v>
      </c>
      <c r="G39" s="12" t="s">
        <v>114</v>
      </c>
      <c r="H39" s="13" t="s">
        <v>115</v>
      </c>
      <c r="I39" s="12"/>
      <c r="J39" s="12"/>
      <c r="K39" s="12"/>
      <c r="L39" s="12"/>
      <c r="M39" s="12"/>
      <c r="N39" s="14" t="s">
        <v>116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117</v>
      </c>
      <c r="H40" s="13" t="s">
        <v>118</v>
      </c>
      <c r="I40" s="12"/>
      <c r="J40" s="12"/>
      <c r="K40" s="12"/>
      <c r="L40" s="12"/>
      <c r="M40" s="12"/>
      <c r="N40" s="14" t="s">
        <v>116</v>
      </c>
    </row>
    <row r="41" spans="2:14" x14ac:dyDescent="0.25">
      <c r="B41" s="9">
        <v>32</v>
      </c>
      <c r="C41" s="16" t="s">
        <v>74</v>
      </c>
      <c r="D41" s="11"/>
      <c r="E41" s="11"/>
      <c r="F41" s="11" t="s">
        <v>119</v>
      </c>
      <c r="G41" s="12" t="s">
        <v>120</v>
      </c>
      <c r="H41" s="13" t="s">
        <v>121</v>
      </c>
      <c r="I41" s="12"/>
      <c r="J41" s="12"/>
      <c r="K41" s="12"/>
      <c r="L41" s="12"/>
      <c r="M41" s="12"/>
      <c r="N41" s="14" t="s">
        <v>122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123</v>
      </c>
      <c r="H42" s="13" t="s">
        <v>124</v>
      </c>
      <c r="I42" s="12"/>
      <c r="J42" s="12"/>
      <c r="K42" s="12"/>
      <c r="L42" s="12"/>
      <c r="M42" s="12"/>
      <c r="N42" s="14" t="s">
        <v>125</v>
      </c>
    </row>
    <row r="43" spans="2:14" x14ac:dyDescent="0.25">
      <c r="B43" s="9">
        <v>34</v>
      </c>
      <c r="C43" s="15" t="s">
        <v>33</v>
      </c>
      <c r="D43" s="11"/>
      <c r="E43" s="11"/>
      <c r="F43" s="11" t="s">
        <v>126</v>
      </c>
      <c r="G43" s="12" t="s">
        <v>127</v>
      </c>
      <c r="H43" s="13" t="s">
        <v>128</v>
      </c>
      <c r="I43" s="12"/>
      <c r="J43" s="12"/>
      <c r="K43" s="12"/>
      <c r="L43" s="12"/>
      <c r="M43" s="12"/>
      <c r="N43" s="14" t="s">
        <v>61</v>
      </c>
    </row>
    <row r="44" spans="2:14" x14ac:dyDescent="0.25">
      <c r="B44" s="9">
        <v>35</v>
      </c>
      <c r="C44" s="15" t="s">
        <v>33</v>
      </c>
      <c r="D44" s="11"/>
      <c r="E44" s="11"/>
      <c r="F44" s="11"/>
      <c r="G44" s="12" t="s">
        <v>129</v>
      </c>
      <c r="H44" s="13" t="s">
        <v>130</v>
      </c>
      <c r="I44" s="12"/>
      <c r="J44" s="12"/>
      <c r="K44" s="12"/>
      <c r="L44" s="12"/>
      <c r="M44" s="12"/>
      <c r="N44" s="14" t="s">
        <v>131</v>
      </c>
    </row>
    <row r="45" spans="2:14" x14ac:dyDescent="0.25">
      <c r="B45" s="9">
        <v>36</v>
      </c>
      <c r="C45" s="15" t="s">
        <v>33</v>
      </c>
      <c r="D45" s="11"/>
      <c r="E45" s="11"/>
      <c r="F45" s="11"/>
      <c r="G45" s="12" t="s">
        <v>132</v>
      </c>
      <c r="H45" s="13" t="s">
        <v>133</v>
      </c>
      <c r="I45" s="12"/>
      <c r="J45" s="12"/>
      <c r="K45" s="12"/>
      <c r="L45" s="12"/>
      <c r="M45" s="12"/>
      <c r="N45" s="14" t="s">
        <v>134</v>
      </c>
    </row>
    <row r="46" spans="2:14" x14ac:dyDescent="0.25">
      <c r="B46" s="9">
        <v>37</v>
      </c>
      <c r="C46" s="10" t="s">
        <v>22</v>
      </c>
      <c r="D46" s="11"/>
      <c r="E46" s="11"/>
      <c r="F46" s="11" t="s">
        <v>135</v>
      </c>
      <c r="G46" s="12" t="s">
        <v>136</v>
      </c>
      <c r="H46" s="13" t="s">
        <v>137</v>
      </c>
      <c r="I46" s="12"/>
      <c r="J46" s="12"/>
      <c r="K46" s="12"/>
      <c r="L46" s="12"/>
      <c r="M46" s="12"/>
      <c r="N46" s="14" t="s">
        <v>138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139</v>
      </c>
      <c r="H47" s="13" t="s">
        <v>140</v>
      </c>
      <c r="I47" s="12"/>
      <c r="J47" s="12"/>
      <c r="K47" s="12"/>
      <c r="L47" s="12"/>
      <c r="M47" s="12"/>
      <c r="N47" s="14" t="s">
        <v>138</v>
      </c>
    </row>
    <row r="48" spans="2:14" x14ac:dyDescent="0.25">
      <c r="B48" s="9">
        <v>39</v>
      </c>
      <c r="C48" s="10" t="s">
        <v>22</v>
      </c>
      <c r="D48" s="11"/>
      <c r="E48" s="11" t="s">
        <v>141</v>
      </c>
      <c r="F48" s="11" t="s">
        <v>142</v>
      </c>
      <c r="G48" s="12" t="s">
        <v>143</v>
      </c>
      <c r="H48" s="13" t="s">
        <v>144</v>
      </c>
      <c r="I48" s="12"/>
      <c r="J48" s="12"/>
      <c r="K48" s="12"/>
      <c r="L48" s="12"/>
      <c r="M48" s="12"/>
      <c r="N48" s="14" t="s">
        <v>131</v>
      </c>
    </row>
    <row r="49" spans="2:14" x14ac:dyDescent="0.25">
      <c r="B49" s="9">
        <v>40</v>
      </c>
      <c r="C49" s="15" t="s">
        <v>33</v>
      </c>
      <c r="D49" s="11"/>
      <c r="E49" s="11"/>
      <c r="F49" s="11"/>
      <c r="G49" s="12" t="s">
        <v>145</v>
      </c>
      <c r="H49" s="13" t="s">
        <v>146</v>
      </c>
      <c r="I49" s="12"/>
      <c r="J49" s="12"/>
      <c r="K49" s="12"/>
      <c r="L49" s="12"/>
      <c r="M49" s="12"/>
      <c r="N49" s="14" t="s">
        <v>131</v>
      </c>
    </row>
    <row r="50" spans="2:14" x14ac:dyDescent="0.25">
      <c r="B50" s="9">
        <v>41</v>
      </c>
      <c r="C50" s="15" t="s">
        <v>33</v>
      </c>
      <c r="D50" s="11"/>
      <c r="E50" s="11"/>
      <c r="F50" s="11"/>
      <c r="G50" s="12" t="s">
        <v>147</v>
      </c>
      <c r="H50" s="13" t="s">
        <v>148</v>
      </c>
      <c r="I50" s="12"/>
      <c r="J50" s="12"/>
      <c r="K50" s="12"/>
      <c r="L50" s="12"/>
      <c r="M50" s="12"/>
      <c r="N50" s="14" t="s">
        <v>149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150</v>
      </c>
      <c r="G51" s="12" t="s">
        <v>151</v>
      </c>
      <c r="H51" s="13" t="s">
        <v>152</v>
      </c>
      <c r="I51" s="12"/>
      <c r="J51" s="12"/>
      <c r="K51" s="12"/>
      <c r="L51" s="12"/>
      <c r="M51" s="12"/>
      <c r="N51" s="14" t="s">
        <v>153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154</v>
      </c>
      <c r="G52" s="12" t="s">
        <v>155</v>
      </c>
      <c r="H52" s="13" t="s">
        <v>156</v>
      </c>
      <c r="I52" s="12"/>
      <c r="J52" s="12"/>
      <c r="K52" s="12"/>
      <c r="L52" s="12"/>
      <c r="M52" s="12"/>
      <c r="N52" s="14" t="s">
        <v>157</v>
      </c>
    </row>
    <row r="53" spans="2:14" x14ac:dyDescent="0.25">
      <c r="B53" s="9">
        <v>44</v>
      </c>
      <c r="C53" s="15" t="s">
        <v>33</v>
      </c>
      <c r="D53" s="11"/>
      <c r="E53" s="11"/>
      <c r="F53" s="11"/>
      <c r="G53" s="12" t="s">
        <v>158</v>
      </c>
      <c r="H53" s="13" t="s">
        <v>159</v>
      </c>
      <c r="I53" s="12"/>
      <c r="J53" s="12"/>
      <c r="K53" s="12"/>
      <c r="L53" s="12"/>
      <c r="M53" s="12"/>
      <c r="N53" s="14" t="s">
        <v>149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160</v>
      </c>
      <c r="H54" s="13" t="s">
        <v>161</v>
      </c>
      <c r="I54" s="12"/>
      <c r="J54" s="12"/>
      <c r="K54" s="12"/>
      <c r="L54" s="12"/>
      <c r="M54" s="12"/>
      <c r="N54" s="14" t="s">
        <v>157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162</v>
      </c>
      <c r="H55" s="13" t="s">
        <v>163</v>
      </c>
      <c r="I55" s="12"/>
      <c r="J55" s="12"/>
      <c r="K55" s="12"/>
      <c r="L55" s="12"/>
      <c r="M55" s="12"/>
      <c r="N55" s="14" t="s">
        <v>164</v>
      </c>
    </row>
    <row r="56" spans="2:14" x14ac:dyDescent="0.25">
      <c r="B56" s="9">
        <v>47</v>
      </c>
      <c r="C56" s="16" t="s">
        <v>74</v>
      </c>
      <c r="D56" s="11"/>
      <c r="E56" s="11"/>
      <c r="F56" s="11"/>
      <c r="G56" s="12" t="s">
        <v>165</v>
      </c>
      <c r="H56" s="13" t="s">
        <v>166</v>
      </c>
      <c r="I56" s="12"/>
      <c r="J56" s="12"/>
      <c r="K56" s="12"/>
      <c r="L56" s="12"/>
      <c r="M56" s="12"/>
      <c r="N56" s="14" t="s">
        <v>167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168</v>
      </c>
      <c r="H57" s="13" t="s">
        <v>169</v>
      </c>
      <c r="I57" s="12"/>
      <c r="J57" s="12"/>
      <c r="K57" s="12"/>
      <c r="L57" s="12"/>
      <c r="M57" s="12"/>
      <c r="N57" s="14" t="s">
        <v>170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171</v>
      </c>
      <c r="H58" s="13" t="s">
        <v>172</v>
      </c>
      <c r="I58" s="12"/>
      <c r="J58" s="12"/>
      <c r="K58" s="12"/>
      <c r="L58" s="12"/>
      <c r="M58" s="12"/>
      <c r="N58" s="14" t="s">
        <v>170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173</v>
      </c>
      <c r="H59" s="13" t="s">
        <v>174</v>
      </c>
      <c r="I59" s="12"/>
      <c r="J59" s="12"/>
      <c r="K59" s="12"/>
      <c r="L59" s="12"/>
      <c r="M59" s="12"/>
      <c r="N59" s="14" t="s">
        <v>175</v>
      </c>
    </row>
    <row r="60" spans="2:14" x14ac:dyDescent="0.25">
      <c r="B60" s="9">
        <v>51</v>
      </c>
      <c r="C60" s="10" t="s">
        <v>22</v>
      </c>
      <c r="D60" s="11"/>
      <c r="E60" s="11"/>
      <c r="F60" s="11" t="s">
        <v>176</v>
      </c>
      <c r="G60" s="12" t="s">
        <v>177</v>
      </c>
      <c r="H60" s="13" t="s">
        <v>178</v>
      </c>
      <c r="I60" s="12"/>
      <c r="J60" s="12"/>
      <c r="K60" s="12"/>
      <c r="L60" s="12"/>
      <c r="M60" s="12"/>
      <c r="N60" s="14" t="s">
        <v>134</v>
      </c>
    </row>
    <row r="61" spans="2:14" x14ac:dyDescent="0.25">
      <c r="B61" s="9">
        <v>52</v>
      </c>
      <c r="C61" s="15" t="s">
        <v>33</v>
      </c>
      <c r="D61" s="11"/>
      <c r="E61" s="11"/>
      <c r="F61" s="11"/>
      <c r="G61" s="12" t="s">
        <v>179</v>
      </c>
      <c r="H61" s="13" t="s">
        <v>180</v>
      </c>
      <c r="I61" s="12"/>
      <c r="J61" s="12"/>
      <c r="K61" s="12"/>
      <c r="L61" s="12"/>
      <c r="M61" s="12"/>
      <c r="N61" s="14" t="s">
        <v>181</v>
      </c>
    </row>
    <row r="62" spans="2:14" x14ac:dyDescent="0.25">
      <c r="B62" s="9">
        <v>53</v>
      </c>
      <c r="C62" s="15" t="s">
        <v>33</v>
      </c>
      <c r="D62" s="11"/>
      <c r="E62" s="11"/>
      <c r="F62" s="11"/>
      <c r="G62" s="12" t="s">
        <v>182</v>
      </c>
      <c r="H62" s="13" t="s">
        <v>183</v>
      </c>
      <c r="I62" s="12"/>
      <c r="J62" s="12"/>
      <c r="K62" s="12"/>
      <c r="L62" s="12"/>
      <c r="M62" s="12"/>
      <c r="N62" s="14" t="s">
        <v>184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185</v>
      </c>
      <c r="H63" s="13" t="s">
        <v>186</v>
      </c>
      <c r="I63" s="12"/>
      <c r="J63" s="12"/>
      <c r="K63" s="12"/>
      <c r="L63" s="12"/>
      <c r="M63" s="12"/>
      <c r="N63" s="14" t="s">
        <v>187</v>
      </c>
    </row>
    <row r="64" spans="2:14" x14ac:dyDescent="0.25">
      <c r="B64" s="9">
        <v>55</v>
      </c>
      <c r="C64" s="15" t="s">
        <v>33</v>
      </c>
      <c r="D64" s="11"/>
      <c r="E64" s="11"/>
      <c r="F64" s="11"/>
      <c r="G64" s="12" t="s">
        <v>188</v>
      </c>
      <c r="H64" s="13" t="s">
        <v>189</v>
      </c>
      <c r="I64" s="12"/>
      <c r="J64" s="12"/>
      <c r="K64" s="12"/>
      <c r="L64" s="12"/>
      <c r="M64" s="12"/>
      <c r="N64" s="14" t="s">
        <v>190</v>
      </c>
    </row>
    <row r="65" spans="2:14" x14ac:dyDescent="0.25">
      <c r="B65" s="9">
        <v>56</v>
      </c>
      <c r="C65" s="15" t="s">
        <v>33</v>
      </c>
      <c r="D65" s="11"/>
      <c r="E65" s="11"/>
      <c r="F65" s="11"/>
      <c r="G65" s="12" t="s">
        <v>191</v>
      </c>
      <c r="H65" s="13" t="s">
        <v>192</v>
      </c>
      <c r="I65" s="12"/>
      <c r="J65" s="12"/>
      <c r="K65" s="12"/>
      <c r="L65" s="12"/>
      <c r="M65" s="12"/>
      <c r="N65" s="14" t="s">
        <v>193</v>
      </c>
    </row>
    <row r="66" spans="2:14" x14ac:dyDescent="0.25">
      <c r="B66" s="9">
        <v>57</v>
      </c>
      <c r="C66" s="15" t="s">
        <v>33</v>
      </c>
      <c r="D66" s="11"/>
      <c r="E66" s="11"/>
      <c r="F66" s="11"/>
      <c r="G66" s="12" t="s">
        <v>194</v>
      </c>
      <c r="H66" s="13" t="s">
        <v>195</v>
      </c>
      <c r="I66" s="12"/>
      <c r="J66" s="12"/>
      <c r="K66" s="12"/>
      <c r="L66" s="12"/>
      <c r="M66" s="12"/>
      <c r="N66" s="14" t="s">
        <v>196</v>
      </c>
    </row>
    <row r="67" spans="2:14" x14ac:dyDescent="0.25">
      <c r="B67" s="9">
        <v>58</v>
      </c>
      <c r="C67" s="15" t="s">
        <v>33</v>
      </c>
      <c r="D67" s="11"/>
      <c r="E67" s="11"/>
      <c r="F67" s="11"/>
      <c r="G67" s="12" t="s">
        <v>197</v>
      </c>
      <c r="H67" s="13" t="s">
        <v>198</v>
      </c>
      <c r="I67" s="12"/>
      <c r="J67" s="12"/>
      <c r="K67" s="12"/>
      <c r="L67" s="12"/>
      <c r="M67" s="12"/>
      <c r="N67" s="14" t="s">
        <v>199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200</v>
      </c>
      <c r="G68" s="12" t="s">
        <v>201</v>
      </c>
      <c r="H68" s="13" t="s">
        <v>202</v>
      </c>
      <c r="I68" s="12"/>
      <c r="J68" s="12"/>
      <c r="K68" s="12"/>
      <c r="L68" s="12"/>
      <c r="M68" s="12"/>
      <c r="N68" s="14" t="s">
        <v>203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204</v>
      </c>
      <c r="H69" s="13" t="s">
        <v>205</v>
      </c>
      <c r="I69" s="12"/>
      <c r="J69" s="12"/>
      <c r="K69" s="12"/>
      <c r="L69" s="12"/>
      <c r="M69" s="12"/>
      <c r="N69" s="14" t="s">
        <v>206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207</v>
      </c>
      <c r="H70" s="13" t="s">
        <v>208</v>
      </c>
      <c r="I70" s="12"/>
      <c r="J70" s="12"/>
      <c r="K70" s="12"/>
      <c r="L70" s="12"/>
      <c r="M70" s="12"/>
      <c r="N70" s="14" t="s">
        <v>203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209</v>
      </c>
      <c r="H71" s="13" t="s">
        <v>210</v>
      </c>
      <c r="I71" s="12"/>
      <c r="J71" s="12"/>
      <c r="K71" s="12"/>
      <c r="L71" s="12"/>
      <c r="M71" s="12"/>
      <c r="N71" s="14" t="s">
        <v>211</v>
      </c>
    </row>
    <row r="72" spans="2:14" x14ac:dyDescent="0.25">
      <c r="B72" s="9">
        <v>63</v>
      </c>
      <c r="C72" s="16" t="s">
        <v>74</v>
      </c>
      <c r="D72" s="11"/>
      <c r="E72" s="11"/>
      <c r="F72" s="11" t="s">
        <v>212</v>
      </c>
      <c r="G72" s="12" t="s">
        <v>213</v>
      </c>
      <c r="H72" s="13" t="s">
        <v>214</v>
      </c>
      <c r="I72" s="12"/>
      <c r="J72" s="12"/>
      <c r="K72" s="12"/>
      <c r="L72" s="12"/>
      <c r="M72" s="12"/>
      <c r="N72" s="14" t="s">
        <v>215</v>
      </c>
    </row>
    <row r="73" spans="2:14" x14ac:dyDescent="0.25">
      <c r="B73" s="9">
        <v>64</v>
      </c>
      <c r="C73" s="15" t="s">
        <v>33</v>
      </c>
      <c r="D73" s="11"/>
      <c r="E73" s="11"/>
      <c r="F73" s="11"/>
      <c r="G73" s="12" t="s">
        <v>216</v>
      </c>
      <c r="H73" s="13" t="s">
        <v>217</v>
      </c>
      <c r="I73" s="12"/>
      <c r="J73" s="12"/>
      <c r="K73" s="12"/>
      <c r="L73" s="12"/>
      <c r="M73" s="12"/>
      <c r="N73" s="14" t="s">
        <v>218</v>
      </c>
    </row>
    <row r="74" spans="2:14" x14ac:dyDescent="0.25">
      <c r="B74" s="9">
        <v>65</v>
      </c>
      <c r="C74" s="15" t="s">
        <v>33</v>
      </c>
      <c r="D74" s="11"/>
      <c r="E74" s="11"/>
      <c r="F74" s="11"/>
      <c r="G74" s="12" t="s">
        <v>219</v>
      </c>
      <c r="H74" s="13" t="s">
        <v>220</v>
      </c>
      <c r="I74" s="12"/>
      <c r="J74" s="12"/>
      <c r="K74" s="12"/>
      <c r="L74" s="12"/>
      <c r="M74" s="12"/>
      <c r="N74" s="14" t="s">
        <v>221</v>
      </c>
    </row>
    <row r="75" spans="2:14" x14ac:dyDescent="0.25">
      <c r="B75" s="9">
        <v>66</v>
      </c>
      <c r="C75" s="10" t="s">
        <v>22</v>
      </c>
      <c r="D75" s="11"/>
      <c r="E75" s="11"/>
      <c r="F75" s="11" t="s">
        <v>222</v>
      </c>
      <c r="G75" s="12" t="s">
        <v>223</v>
      </c>
      <c r="H75" s="13" t="s">
        <v>224</v>
      </c>
      <c r="I75" s="12"/>
      <c r="J75" s="12"/>
      <c r="K75" s="12"/>
      <c r="L75" s="12"/>
      <c r="M75" s="12"/>
      <c r="N75" s="14" t="s">
        <v>225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226</v>
      </c>
      <c r="H76" s="13" t="s">
        <v>227</v>
      </c>
      <c r="I76" s="12"/>
      <c r="J76" s="12"/>
      <c r="K76" s="12"/>
      <c r="L76" s="12"/>
      <c r="M76" s="12"/>
      <c r="N76" s="14" t="s">
        <v>228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229</v>
      </c>
      <c r="H77" s="13" t="s">
        <v>230</v>
      </c>
      <c r="I77" s="12"/>
      <c r="J77" s="12"/>
      <c r="K77" s="12"/>
      <c r="L77" s="12"/>
      <c r="M77" s="12"/>
      <c r="N77" s="14" t="s">
        <v>228</v>
      </c>
    </row>
    <row r="78" spans="2:14" x14ac:dyDescent="0.25">
      <c r="B78" s="9">
        <v>69</v>
      </c>
      <c r="C78" s="16" t="s">
        <v>74</v>
      </c>
      <c r="D78" s="11"/>
      <c r="E78" s="11" t="s">
        <v>231</v>
      </c>
      <c r="F78" s="11" t="s">
        <v>232</v>
      </c>
      <c r="G78" s="12" t="s">
        <v>233</v>
      </c>
      <c r="H78" s="13" t="s">
        <v>234</v>
      </c>
      <c r="I78" s="12"/>
      <c r="J78" s="12"/>
      <c r="K78" s="12"/>
      <c r="L78" s="12"/>
      <c r="M78" s="12"/>
      <c r="N78" s="14" t="s">
        <v>235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236</v>
      </c>
      <c r="H79" s="13" t="s">
        <v>237</v>
      </c>
      <c r="I79" s="12"/>
      <c r="J79" s="12"/>
      <c r="K79" s="12"/>
      <c r="L79" s="12"/>
      <c r="M79" s="12"/>
      <c r="N79" s="14" t="s">
        <v>235</v>
      </c>
    </row>
    <row r="80" spans="2:14" x14ac:dyDescent="0.25">
      <c r="B80" s="9">
        <v>71</v>
      </c>
      <c r="C80" s="15" t="s">
        <v>33</v>
      </c>
      <c r="D80" s="11"/>
      <c r="E80" s="11"/>
      <c r="F80" s="11"/>
      <c r="G80" s="12" t="s">
        <v>238</v>
      </c>
      <c r="H80" s="13" t="s">
        <v>239</v>
      </c>
      <c r="I80" s="12"/>
      <c r="J80" s="12"/>
      <c r="K80" s="12"/>
      <c r="L80" s="12"/>
      <c r="M80" s="12"/>
      <c r="N80" s="14" t="s">
        <v>235</v>
      </c>
    </row>
    <row r="81" spans="2:14" x14ac:dyDescent="0.25">
      <c r="B81" s="9">
        <v>72</v>
      </c>
      <c r="C81" s="15" t="s">
        <v>33</v>
      </c>
      <c r="D81" s="11"/>
      <c r="E81" s="11"/>
      <c r="F81" s="12" t="s">
        <v>240</v>
      </c>
      <c r="G81" s="12" t="s">
        <v>241</v>
      </c>
      <c r="H81" s="13" t="s">
        <v>242</v>
      </c>
      <c r="I81" s="12"/>
      <c r="J81" s="12"/>
      <c r="K81" s="12"/>
      <c r="L81" s="12"/>
      <c r="M81" s="12"/>
      <c r="N81" s="14" t="s">
        <v>243</v>
      </c>
    </row>
    <row r="82" spans="2:14" x14ac:dyDescent="0.25">
      <c r="B82" s="9">
        <v>73</v>
      </c>
      <c r="C82" s="16" t="s">
        <v>74</v>
      </c>
      <c r="D82" s="11"/>
      <c r="E82" s="11"/>
      <c r="F82" s="11" t="s">
        <v>244</v>
      </c>
      <c r="G82" s="12" t="s">
        <v>245</v>
      </c>
      <c r="H82" s="13" t="s">
        <v>246</v>
      </c>
      <c r="I82" s="12"/>
      <c r="J82" s="12"/>
      <c r="K82" s="12"/>
      <c r="L82" s="12"/>
      <c r="M82" s="12"/>
      <c r="N82" s="14" t="s">
        <v>247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248</v>
      </c>
      <c r="H83" s="13" t="s">
        <v>249</v>
      </c>
      <c r="I83" s="12"/>
      <c r="J83" s="12"/>
      <c r="K83" s="12"/>
      <c r="L83" s="12"/>
      <c r="M83" s="12"/>
      <c r="N83" s="14" t="s">
        <v>247</v>
      </c>
    </row>
    <row r="84" spans="2:14" x14ac:dyDescent="0.25">
      <c r="B84" s="9">
        <v>75</v>
      </c>
      <c r="C84" s="16" t="s">
        <v>74</v>
      </c>
      <c r="D84" s="11"/>
      <c r="E84" s="11"/>
      <c r="F84" s="11"/>
      <c r="G84" s="12" t="s">
        <v>250</v>
      </c>
      <c r="H84" s="13" t="s">
        <v>251</v>
      </c>
      <c r="I84" s="12"/>
      <c r="J84" s="12"/>
      <c r="K84" s="12"/>
      <c r="L84" s="12"/>
      <c r="M84" s="12"/>
      <c r="N84" s="14" t="s">
        <v>252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253</v>
      </c>
      <c r="H85" s="13" t="s">
        <v>254</v>
      </c>
      <c r="I85" s="12"/>
      <c r="J85" s="12"/>
      <c r="K85" s="12"/>
      <c r="L85" s="12"/>
      <c r="M85" s="12"/>
      <c r="N85" s="14" t="s">
        <v>255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256</v>
      </c>
      <c r="H86" s="13" t="s">
        <v>257</v>
      </c>
      <c r="I86" s="12"/>
      <c r="J86" s="12"/>
      <c r="K86" s="12"/>
      <c r="L86" s="12"/>
      <c r="M86" s="12"/>
      <c r="N86" s="14" t="s">
        <v>258</v>
      </c>
    </row>
    <row r="87" spans="2:14" x14ac:dyDescent="0.25">
      <c r="B87" s="9">
        <v>78</v>
      </c>
      <c r="C87" s="10" t="s">
        <v>22</v>
      </c>
      <c r="D87" s="11"/>
      <c r="E87" s="11"/>
      <c r="F87" s="11" t="s">
        <v>259</v>
      </c>
      <c r="G87" s="12" t="s">
        <v>260</v>
      </c>
      <c r="H87" s="13" t="s">
        <v>261</v>
      </c>
      <c r="I87" s="12"/>
      <c r="J87" s="12"/>
      <c r="K87" s="12"/>
      <c r="L87" s="12"/>
      <c r="M87" s="12"/>
      <c r="N87" s="14" t="s">
        <v>218</v>
      </c>
    </row>
    <row r="88" spans="2:14" x14ac:dyDescent="0.25">
      <c r="B88" s="9">
        <v>79</v>
      </c>
      <c r="C88" s="15" t="s">
        <v>33</v>
      </c>
      <c r="D88" s="11"/>
      <c r="E88" s="11"/>
      <c r="F88" s="11"/>
      <c r="G88" s="12" t="s">
        <v>262</v>
      </c>
      <c r="H88" s="13" t="s">
        <v>263</v>
      </c>
      <c r="I88" s="12"/>
      <c r="J88" s="12"/>
      <c r="K88" s="12"/>
      <c r="L88" s="12"/>
      <c r="M88" s="12"/>
      <c r="N88" s="14" t="s">
        <v>218</v>
      </c>
    </row>
    <row r="89" spans="2:14" x14ac:dyDescent="0.25">
      <c r="B89" s="9">
        <v>80</v>
      </c>
      <c r="C89" s="15" t="s">
        <v>33</v>
      </c>
      <c r="D89" s="11"/>
      <c r="E89" s="11"/>
      <c r="F89" s="11"/>
      <c r="G89" s="12" t="s">
        <v>264</v>
      </c>
      <c r="H89" s="13" t="s">
        <v>265</v>
      </c>
      <c r="I89" s="12"/>
      <c r="J89" s="12"/>
      <c r="K89" s="12"/>
      <c r="L89" s="12"/>
      <c r="M89" s="12"/>
      <c r="N89" s="14" t="s">
        <v>218</v>
      </c>
    </row>
    <row r="90" spans="2:14" x14ac:dyDescent="0.25">
      <c r="B90" s="9">
        <v>81</v>
      </c>
      <c r="C90" s="15" t="s">
        <v>33</v>
      </c>
      <c r="D90" s="11"/>
      <c r="E90" s="11"/>
      <c r="F90" s="11" t="s">
        <v>266</v>
      </c>
      <c r="G90" s="12" t="s">
        <v>267</v>
      </c>
      <c r="H90" s="13" t="s">
        <v>268</v>
      </c>
      <c r="I90" s="12"/>
      <c r="J90" s="12"/>
      <c r="K90" s="12"/>
      <c r="L90" s="12"/>
      <c r="M90" s="12"/>
      <c r="N90" s="14" t="s">
        <v>221</v>
      </c>
    </row>
    <row r="91" spans="2:14" x14ac:dyDescent="0.25">
      <c r="B91" s="9">
        <v>82</v>
      </c>
      <c r="C91" s="15" t="s">
        <v>33</v>
      </c>
      <c r="D91" s="11"/>
      <c r="E91" s="11"/>
      <c r="F91" s="11"/>
      <c r="G91" s="12" t="s">
        <v>269</v>
      </c>
      <c r="H91" s="13" t="s">
        <v>270</v>
      </c>
      <c r="I91" s="12"/>
      <c r="J91" s="12"/>
      <c r="K91" s="12"/>
      <c r="L91" s="12"/>
      <c r="M91" s="12"/>
      <c r="N91" s="14" t="s">
        <v>221</v>
      </c>
    </row>
    <row r="92" spans="2:14" x14ac:dyDescent="0.25">
      <c r="B92" s="9">
        <v>83</v>
      </c>
      <c r="C92" s="15" t="s">
        <v>33</v>
      </c>
      <c r="D92" s="11"/>
      <c r="E92" s="11"/>
      <c r="F92" s="11"/>
      <c r="G92" s="12" t="s">
        <v>271</v>
      </c>
      <c r="H92" s="13" t="s">
        <v>272</v>
      </c>
      <c r="I92" s="12"/>
      <c r="J92" s="12"/>
      <c r="K92" s="12"/>
      <c r="L92" s="12"/>
      <c r="M92" s="12"/>
      <c r="N92" s="14" t="s">
        <v>221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273</v>
      </c>
      <c r="H93" s="13" t="s">
        <v>274</v>
      </c>
      <c r="I93" s="12"/>
      <c r="J93" s="12"/>
      <c r="K93" s="12"/>
      <c r="L93" s="12"/>
      <c r="M93" s="12"/>
      <c r="N93" s="14" t="s">
        <v>221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275</v>
      </c>
      <c r="H94" s="13" t="s">
        <v>276</v>
      </c>
      <c r="I94" s="12"/>
      <c r="J94" s="12"/>
      <c r="K94" s="12"/>
      <c r="L94" s="12"/>
      <c r="M94" s="12"/>
      <c r="N94" s="14" t="s">
        <v>277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278</v>
      </c>
      <c r="H95" s="13" t="s">
        <v>279</v>
      </c>
      <c r="I95" s="12"/>
      <c r="J95" s="12"/>
      <c r="K95" s="12"/>
      <c r="L95" s="12"/>
      <c r="M95" s="12"/>
      <c r="N95" s="14" t="s">
        <v>221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280</v>
      </c>
      <c r="H96" s="13" t="s">
        <v>281</v>
      </c>
      <c r="I96" s="12"/>
      <c r="J96" s="12"/>
      <c r="K96" s="12"/>
      <c r="L96" s="12"/>
      <c r="M96" s="12"/>
      <c r="N96" s="14" t="s">
        <v>221</v>
      </c>
    </row>
    <row r="97" spans="2:14" x14ac:dyDescent="0.25">
      <c r="B97" s="9">
        <v>88</v>
      </c>
      <c r="C97" s="10" t="s">
        <v>22</v>
      </c>
      <c r="D97" s="11"/>
      <c r="E97" s="11" t="s">
        <v>282</v>
      </c>
      <c r="F97" s="11" t="s">
        <v>283</v>
      </c>
      <c r="G97" s="12" t="s">
        <v>284</v>
      </c>
      <c r="H97" s="13" t="s">
        <v>285</v>
      </c>
      <c r="I97" s="12"/>
      <c r="J97" s="12"/>
      <c r="K97" s="12"/>
      <c r="L97" s="12"/>
      <c r="M97" s="12"/>
      <c r="N97" s="14" t="s">
        <v>286</v>
      </c>
    </row>
    <row r="98" spans="2:14" x14ac:dyDescent="0.25">
      <c r="B98" s="9">
        <v>89</v>
      </c>
      <c r="C98" s="16" t="s">
        <v>74</v>
      </c>
      <c r="D98" s="11"/>
      <c r="E98" s="11"/>
      <c r="F98" s="11"/>
      <c r="G98" s="12" t="s">
        <v>287</v>
      </c>
      <c r="H98" s="13" t="s">
        <v>288</v>
      </c>
      <c r="I98" s="12"/>
      <c r="J98" s="12"/>
      <c r="K98" s="12"/>
      <c r="L98" s="12"/>
      <c r="M98" s="12"/>
      <c r="N98" s="14" t="s">
        <v>289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290</v>
      </c>
      <c r="H99" s="13" t="s">
        <v>291</v>
      </c>
      <c r="I99" s="12"/>
      <c r="J99" s="12"/>
      <c r="K99" s="12"/>
      <c r="L99" s="12"/>
      <c r="M99" s="12"/>
      <c r="N99" s="14" t="s">
        <v>286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292</v>
      </c>
      <c r="H100" s="13" t="s">
        <v>293</v>
      </c>
      <c r="I100" s="12"/>
      <c r="J100" s="12"/>
      <c r="K100" s="12"/>
      <c r="L100" s="12"/>
      <c r="M100" s="12"/>
      <c r="N100" s="14" t="s">
        <v>286</v>
      </c>
    </row>
    <row r="101" spans="2:14" x14ac:dyDescent="0.25">
      <c r="B101" s="9">
        <v>92</v>
      </c>
      <c r="C101" s="10" t="s">
        <v>22</v>
      </c>
      <c r="D101" s="11"/>
      <c r="E101" s="11"/>
      <c r="F101" s="11" t="s">
        <v>294</v>
      </c>
      <c r="G101" s="12" t="s">
        <v>295</v>
      </c>
      <c r="H101" s="13" t="s">
        <v>296</v>
      </c>
      <c r="I101" s="12"/>
      <c r="J101" s="12"/>
      <c r="K101" s="12"/>
      <c r="L101" s="12"/>
      <c r="M101" s="12"/>
      <c r="N101" s="14" t="s">
        <v>297</v>
      </c>
    </row>
    <row r="102" spans="2:14" x14ac:dyDescent="0.25">
      <c r="B102" s="9">
        <v>93</v>
      </c>
      <c r="C102" s="15" t="s">
        <v>33</v>
      </c>
      <c r="D102" s="11"/>
      <c r="E102" s="11"/>
      <c r="F102" s="11"/>
      <c r="G102" s="12" t="s">
        <v>298</v>
      </c>
      <c r="H102" s="13" t="s">
        <v>299</v>
      </c>
      <c r="I102" s="12"/>
      <c r="J102" s="12"/>
      <c r="K102" s="12"/>
      <c r="L102" s="12"/>
      <c r="M102" s="12"/>
      <c r="N102" s="14" t="s">
        <v>297</v>
      </c>
    </row>
    <row r="103" spans="2:14" x14ac:dyDescent="0.25">
      <c r="B103" s="9">
        <v>94</v>
      </c>
      <c r="C103" s="15" t="s">
        <v>33</v>
      </c>
      <c r="D103" s="11"/>
      <c r="E103" s="11"/>
      <c r="F103" s="11"/>
      <c r="G103" s="12" t="s">
        <v>300</v>
      </c>
      <c r="H103" s="13" t="s">
        <v>301</v>
      </c>
      <c r="I103" s="12"/>
      <c r="J103" s="12"/>
      <c r="K103" s="12"/>
      <c r="L103" s="12"/>
      <c r="M103" s="12"/>
      <c r="N103" s="14" t="s">
        <v>297</v>
      </c>
    </row>
    <row r="104" spans="2:14" x14ac:dyDescent="0.25">
      <c r="B104" s="9">
        <v>95</v>
      </c>
      <c r="C104" s="10" t="s">
        <v>22</v>
      </c>
      <c r="D104" s="11"/>
      <c r="E104" s="11" t="s">
        <v>48</v>
      </c>
      <c r="F104" s="11" t="s">
        <v>302</v>
      </c>
      <c r="G104" s="12" t="s">
        <v>303</v>
      </c>
      <c r="H104" s="13" t="s">
        <v>304</v>
      </c>
      <c r="I104" s="12"/>
      <c r="J104" s="12"/>
      <c r="K104" s="12"/>
      <c r="L104" s="12"/>
      <c r="M104" s="12"/>
      <c r="N104" s="14" t="s">
        <v>305</v>
      </c>
    </row>
    <row r="105" spans="2:14" x14ac:dyDescent="0.25">
      <c r="B105" s="9">
        <v>96</v>
      </c>
      <c r="C105" s="15" t="s">
        <v>33</v>
      </c>
      <c r="D105" s="11"/>
      <c r="E105" s="11"/>
      <c r="F105" s="11"/>
      <c r="G105" s="12" t="s">
        <v>306</v>
      </c>
      <c r="H105" s="13" t="s">
        <v>307</v>
      </c>
      <c r="I105" s="12"/>
      <c r="J105" s="12"/>
      <c r="K105" s="12"/>
      <c r="L105" s="12"/>
      <c r="M105" s="12"/>
      <c r="N105" s="14" t="s">
        <v>305</v>
      </c>
    </row>
    <row r="106" spans="2:14" x14ac:dyDescent="0.25">
      <c r="B106" s="9">
        <v>97</v>
      </c>
      <c r="C106" s="10" t="s">
        <v>22</v>
      </c>
      <c r="D106" s="11"/>
      <c r="E106" s="11"/>
      <c r="F106" s="11"/>
      <c r="G106" s="12" t="s">
        <v>308</v>
      </c>
      <c r="H106" s="13" t="s">
        <v>309</v>
      </c>
      <c r="I106" s="12"/>
      <c r="J106" s="12"/>
      <c r="K106" s="12"/>
      <c r="L106" s="12"/>
      <c r="M106" s="12"/>
      <c r="N106" s="14" t="s">
        <v>310</v>
      </c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311</v>
      </c>
      <c r="H107" s="13" t="s">
        <v>312</v>
      </c>
      <c r="I107" s="12"/>
      <c r="J107" s="12"/>
      <c r="K107" s="12"/>
      <c r="L107" s="12"/>
      <c r="M107" s="12"/>
      <c r="N107" s="14" t="s">
        <v>310</v>
      </c>
    </row>
    <row r="108" spans="2:14" x14ac:dyDescent="0.25">
      <c r="B108" s="9">
        <v>99</v>
      </c>
      <c r="C108" s="15" t="s">
        <v>33</v>
      </c>
      <c r="D108" s="11"/>
      <c r="E108" s="11" t="s">
        <v>141</v>
      </c>
      <c r="F108" s="11" t="s">
        <v>154</v>
      </c>
      <c r="G108" s="12" t="s">
        <v>313</v>
      </c>
      <c r="H108" s="13" t="s">
        <v>314</v>
      </c>
      <c r="I108" s="12"/>
      <c r="J108" s="12"/>
      <c r="K108" s="12"/>
      <c r="L108" s="12"/>
      <c r="M108" s="12"/>
      <c r="N108" s="14" t="s">
        <v>149</v>
      </c>
    </row>
    <row r="109" spans="2:14" x14ac:dyDescent="0.25">
      <c r="B109" s="9">
        <v>100</v>
      </c>
      <c r="C109" s="15" t="s">
        <v>33</v>
      </c>
      <c r="D109" s="11"/>
      <c r="E109" s="11"/>
      <c r="F109" s="11"/>
      <c r="G109" s="12" t="s">
        <v>315</v>
      </c>
      <c r="H109" s="13" t="s">
        <v>316</v>
      </c>
      <c r="I109" s="12"/>
      <c r="J109" s="12"/>
      <c r="K109" s="12"/>
      <c r="L109" s="12"/>
      <c r="M109" s="12"/>
      <c r="N109" s="14" t="s">
        <v>149</v>
      </c>
    </row>
  </sheetData>
  <mergeCells count="34">
    <mergeCell ref="D10:D109"/>
    <mergeCell ref="E10:E17"/>
    <mergeCell ref="F10:F13"/>
    <mergeCell ref="F14:F15"/>
    <mergeCell ref="F16:F17"/>
    <mergeCell ref="E18:E47"/>
    <mergeCell ref="F18:F20"/>
    <mergeCell ref="F21:F22"/>
    <mergeCell ref="F23:F24"/>
    <mergeCell ref="F25:F29"/>
    <mergeCell ref="F30:F38"/>
    <mergeCell ref="F39:F40"/>
    <mergeCell ref="F41:F42"/>
    <mergeCell ref="F43:F45"/>
    <mergeCell ref="F46:F47"/>
    <mergeCell ref="E48:E77"/>
    <mergeCell ref="F48:F50"/>
    <mergeCell ref="F52:F59"/>
    <mergeCell ref="F60:F67"/>
    <mergeCell ref="F68:F71"/>
    <mergeCell ref="F72:F74"/>
    <mergeCell ref="F75:F77"/>
    <mergeCell ref="E78:E96"/>
    <mergeCell ref="F78:F80"/>
    <mergeCell ref="F82:F86"/>
    <mergeCell ref="F87:F89"/>
    <mergeCell ref="F90:F96"/>
    <mergeCell ref="E97:E103"/>
    <mergeCell ref="F97:F100"/>
    <mergeCell ref="F101:F103"/>
    <mergeCell ref="E104:E107"/>
    <mergeCell ref="F104:F107"/>
    <mergeCell ref="E108:E109"/>
    <mergeCell ref="F108:F109"/>
  </mergeCells>
  <dataValidations count="1">
    <dataValidation type="list" allowBlank="1" showErrorMessage="1" errorTitle="잘못된 값" error="Pass, Fail, N/T, Block 중 하나를 선택하세요." sqref="I10:J10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어비스레이드 도움 주기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2026-05-15T08:19:43Z</dcterms:created>
  <dcterms:modified xsi:type="dcterms:W3CDTF">2026-05-15T08:19:43Z</dcterms:modified>
</cp:coreProperties>
</file>