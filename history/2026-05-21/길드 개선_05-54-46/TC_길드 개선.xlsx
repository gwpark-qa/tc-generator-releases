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길드 개선" state="visible" r:id="rId4"/>
  </sheets>
  <calcPr calcId="171027"/>
</workbook>
</file>

<file path=xl/sharedStrings.xml><?xml version="1.0" encoding="utf-8"?>
<sst xmlns="http://schemas.openxmlformats.org/spreadsheetml/2006/main" count="755" uniqueCount="477">
  <si>
    <t>(C)길드 개선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</si>
  <si>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</si>
  <si>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</si>
  <si>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</si>
  <si>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</si>
  <si>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</si>
  <si>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</si>
  <si>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</si>
  <si>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</si>
  <si>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</si>
  <si>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</si>
  <si>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</si>
  <si>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</si>
  <si>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</si>
  <si>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</si>
  <si>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</si>
  <si>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</si>
  <si>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</si>
  <si>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</si>
  <si>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</si>
  <si>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</si>
  <si>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</si>
  <si>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</si>
  <si>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길드 최초 진입</t>
  </si>
  <si>
    <t>길드 시스템 오픈 팝업</t>
  </si>
  <si>
    <t>팝업 출력</t>
  </si>
  <si>
    <t>팝업 표시</t>
  </si>
  <si>
    <t>화면 중앙에 '길드 시스템 오픈!' 안내 팝업이 출력된다</t>
  </si>
  <si>
    <t>참고 화면: 03. 최초 진입 시 팝업 출력 / 스트링키: $ui.string.new.guild.reward.popup.title</t>
  </si>
  <si>
    <t>Normal</t>
  </si>
  <si>
    <t>혜택 안내 텍스트 출력</t>
  </si>
  <si>
    <t>팝업 본문에 '길드에 참여하여 유저들과 소통하고 다음의 혜택을 획득해보세요!' 텍스트가 출력된다</t>
  </si>
  <si>
    <t>참고 화면: 03. 최초 진입 시 팝업 출력 / 스트링키: $ui.string.new.guild.reward.popup.description.01</t>
  </si>
  <si>
    <t>혜택 목록 출력</t>
  </si>
  <si>
    <t>혜택 목록에 '매일 추가 하트젤리 획득 기회', '다양한 길드 버프 혜택', '길드 코인 및 푸짐한 보상 획득 기회' 3가지 항목이 아이콘과 함께 출력된다</t>
  </si>
  <si>
    <t>참고 화면: 03. 최초 진입 시 팝업 출력 / [확인 필요] 이미지에는 '스태미너'로 표기되나 Description에는 '하트젤리'로 기재 - 스트링 불일치 확인 필요</t>
  </si>
  <si>
    <t>확인 버튼</t>
  </si>
  <si>
    <t>팝업 닫기</t>
  </si>
  <si>
    <t>팝업이 닫히고 길드 메인 화면이 활성화된다</t>
  </si>
  <si>
    <t>참고 화면: 03. 최초 진입 시 팝업 출력</t>
  </si>
  <si>
    <t>1회성 출력 제한</t>
  </si>
  <si>
    <t>길드 시스템 오픈 팝업이 출력되지 않는다</t>
  </si>
  <si>
    <t>참고 화면: 03. 최초 진입 시 팝업 출력 / 최초 1회만 출력</t>
  </si>
  <si>
    <t>레벨 미달 시 미출력</t>
  </si>
  <si>
    <t>참고 화면: 03. 최초 진입 시 팝업 출력 / 탑 레벨 12 이상 조건 필요</t>
  </si>
  <si>
    <t>스마트 길드 서치</t>
  </si>
  <si>
    <t>옵션 팝업 출력</t>
  </si>
  <si>
    <t>'스마트 길드 서치' 팝업이 출력되며, '본인이 추구하는 길드 플레이 스타일을 설정해보세요!' 안내 텍스트가 표시된다</t>
  </si>
  <si>
    <t>참고 화면: 04. 스마트 길드 서치</t>
  </si>
  <si>
    <t>선호 언어 선택</t>
  </si>
  <si>
    <t>기본값 표시</t>
  </si>
  <si>
    <t>유저의 현재 시스템 언어가 기본값으로 선택되어 표시된다</t>
  </si>
  <si>
    <t>드롭다운 선택</t>
  </si>
  <si>
    <t>드롭다운 목록에서 게임 제공 언어 옵션이 표시되고, 선택한 언어가 반영된다</t>
  </si>
  <si>
    <t>플레이 방식 선택</t>
  </si>
  <si>
    <t>버튼 선택</t>
  </si>
  <si>
    <t>'적당히' 버튼이 선택 상태로 전환되고, 동일 항목 내 다른 버튼은 비활성화된다</t>
  </si>
  <si>
    <t>참고 화면: 04. 스마트 길드 서치 / [확인 필요] Description에는 '적당히/열심히' 2개이나, 이미지에서는 '적당히/가끔/열심히' 또는 'PVP/PVE' 등 다른 구성 가능성 있음</t>
  </si>
  <si>
    <t>소통 빈도 선택</t>
  </si>
  <si>
    <t>'활발히' 버튼이 선택 상태로 전환되고, 동일 항목 내 다른 버튼은 비활성화된다</t>
  </si>
  <si>
    <t>참고 화면: 04. 스마트 길드 서치 / [확인 필요] 소통 옵션 개수가 Description(조용히/활발히 2개)과 이미지(조용히/적당히/활발히 3개)에서 불일치</t>
  </si>
  <si>
    <t>Critical</t>
  </si>
  <si>
    <t>설정 완료 버튼</t>
  </si>
  <si>
    <t>설정 저장</t>
  </si>
  <si>
    <t>설정한 옵션이 저장되고, 해당 조건에 맞는 길드가 우선적으로 표시되는 길드 목록 화면으로 전환된다</t>
  </si>
  <si>
    <t>비활성화 시 토스트</t>
  </si>
  <si>
    <t>'모든 항목의 설정이 필요합니다.' 토스트 메시지가 출력된다</t>
  </si>
  <si>
    <t>활성화 조건</t>
  </si>
  <si>
    <t>모든 옵션이 선택되지 않은 경우 '설정 완료' 버튼이 비활성화 상태로 표시된다</t>
  </si>
  <si>
    <t>나중에 버튼</t>
  </si>
  <si>
    <t>무작위 길드 추천</t>
  </si>
  <si>
    <t>소팅 관계 없이 무작위 길드가 추천되는 길드 목록 화면으로 전환된다</t>
  </si>
  <si>
    <t>옵션 변경 버튼</t>
  </si>
  <si>
    <t>팝업 재출력</t>
  </si>
  <si>
    <t>스마트 길드 서치 옵션 팝업이 다시 출력된다</t>
  </si>
  <si>
    <t>참고 화면: 04. 스마트 길드 서치 / 03번 영역</t>
  </si>
  <si>
    <t>길드 목록 화면</t>
  </si>
  <si>
    <t>탭 전환</t>
  </si>
  <si>
    <t>선택한 탭에 해당하는 길드 목록으로 전환되어 표시된다</t>
  </si>
  <si>
    <t>참고 화면: 04. 스마트 길드 서치 하단 화면</t>
  </si>
  <si>
    <t>길드 카드 정보 표시</t>
  </si>
  <si>
    <t>각 길드 카드에 길드명, 레벨, 멤버 수(예: 9/30), '가입하기' 버튼이 표시된다</t>
  </si>
  <si>
    <t>길드 가입</t>
  </si>
  <si>
    <t>길드 상세 정보 팝업</t>
  </si>
  <si>
    <t>기본 정보 영역</t>
  </si>
  <si>
    <t>정보 항목 출력</t>
  </si>
  <si>
    <t>길드 엠블럼, 길드명, 길드 레벨, 가입 방식이 표시된다</t>
  </si>
  <si>
    <t>참고 화면: 05. 길드 가입 / 01번 영역</t>
  </si>
  <si>
    <t>활동 정보 요약 영역</t>
  </si>
  <si>
    <t>활동 수치 출력</t>
  </si>
  <si>
    <t>활동 인원 수, 주간 활동 정보, 주간 기여도(상위 백분위)가 표시된다</t>
  </si>
  <si>
    <t>참고 화면: 05. 길드 가입 / 02번 영역</t>
  </si>
  <si>
    <t>플레이 성향 정보 영역</t>
  </si>
  <si>
    <t>성향 항목 출력</t>
  </si>
  <si>
    <t>길드 마스터가 설정한 플레이 성향(언어, 플레이 방식, 소통 빈도) 항목이 표시된다</t>
  </si>
  <si>
    <t>참고 화면: 05. 길드 가입 / 03번 영역</t>
  </si>
  <si>
    <t>스마트 매칭 표시 영역</t>
  </si>
  <si>
    <t>일치 표시</t>
  </si>
  <si>
    <t>유저 설정과 길드 성향이 일치하는 항목이 녹색 계열 텍스트로 '일치' 표시된다</t>
  </si>
  <si>
    <t>참고 화면: 05. 길드 가입 / 04번 영역</t>
  </si>
  <si>
    <t>불일치 표시</t>
  </si>
  <si>
    <t>유저 설정과 길드 성향이 불일치하는 항목이 붉은색 계열 텍스트로 '불일치' 표시된다</t>
  </si>
  <si>
    <t>미노출 조건</t>
  </si>
  <si>
    <t>스마트 길드 서치 매칭 영역이 노출되지 않는다</t>
  </si>
  <si>
    <t>참고 화면: 05. 길드 가입 / 유저 미설정 또는 길드 마스터 미설정 시 모두 비노출</t>
  </si>
  <si>
    <t>가입 처리</t>
  </si>
  <si>
    <t>자유 가입</t>
  </si>
  <si>
    <t>가입 확인 팝업</t>
  </si>
  <si>
    <t>'가입 확인' 팝업이 출력된다</t>
  </si>
  <si>
    <t>참고 화면: 05. 길드 가입 / 05번 영역</t>
  </si>
  <si>
    <t>즉시 가입 완료</t>
  </si>
  <si>
    <t>길드에 즉시 가입이 완료되고, 가입 완료 연출이 재생된다</t>
  </si>
  <si>
    <t>참고 화면: 05. 길드 가입</t>
  </si>
  <si>
    <t>승인 가입</t>
  </si>
  <si>
    <t>가입 신청 팝업</t>
  </si>
  <si>
    <t>'가입 신청' 팝업이 출력된다</t>
  </si>
  <si>
    <t>신청 후 상태 표시</t>
  </si>
  <si>
    <t>해당 길드의 가입 버튼에 '이미 가입신청한 길드입니다' 텍스트가 표시된다</t>
  </si>
  <si>
    <t>가입 불가 조건</t>
  </si>
  <si>
    <t>최소 레벨 미달</t>
  </si>
  <si>
    <t>서버 레벨 조건 안내 토스트 메시지가 출력된다</t>
  </si>
  <si>
    <t>이미 가입된 길드 존재</t>
  </si>
  <si>
    <t>'이미 가입된 길드가 있어 가입할 수 없습니다' 토스트 메시지가 출력된다</t>
  </si>
  <si>
    <t>닫기 버튼 동작</t>
  </si>
  <si>
    <t>길드 상세 정보 팝업이 닫히고 길드 목록 화면으로 복귀된다</t>
  </si>
  <si>
    <t>예외 처리</t>
  </si>
  <si>
    <t>정원 초과</t>
  </si>
  <si>
    <t>토스트 출력</t>
  </si>
  <si>
    <t>정원 초과 안내 토스트 메시지가 출력되고 가입이 진행되지 않는다</t>
  </si>
  <si>
    <t>팝업 열람 중 길드 해산</t>
  </si>
  <si>
    <t>자동 닫기</t>
  </si>
  <si>
    <t>팝업이 자동으로 닫히고 '해당 길드가 존재하지 않습니다' 토스트 메시지가 출력된다</t>
  </si>
  <si>
    <t>팝업 열람 중 정원 변경</t>
  </si>
  <si>
    <t>버튼 비활성화</t>
  </si>
  <si>
    <t>서버에서 정원 상한을 확인 후 토스트 메시지가 출력되고 가입이 차단된다</t>
  </si>
  <si>
    <t>가입 거절 처리</t>
  </si>
  <si>
    <t>가입 해제 버튼</t>
  </si>
  <si>
    <t>가입 신청이 해제되고 가입 해제 토스트 메시지가 출력된다</t>
  </si>
  <si>
    <t>길드 생성</t>
  </si>
  <si>
    <t>길드 설립장 화면</t>
  </si>
  <si>
    <t>길드 이름 입력</t>
  </si>
  <si>
    <t>입력 처리</t>
  </si>
  <si>
    <t>입력한 길드명이 텍스트 필드에 표시되고, 바이트 수가 하단에 표시된다</t>
  </si>
  <si>
    <t>참고 화면: 06. 길드 생성</t>
  </si>
  <si>
    <t>길드 마크 수정</t>
  </si>
  <si>
    <t>마크 변경</t>
  </si>
  <si>
    <t>길드 마크 선택 화면으로 전환되어 마크를 변경할 수 있다</t>
  </si>
  <si>
    <t>설립 비용 표시</t>
  </si>
  <si>
    <t>비용 정보 출력</t>
  </si>
  <si>
    <t>길드 생성 비용이 다이아몬드 1,500으로 표시된다</t>
  </si>
  <si>
    <t>스마트 길드 서치 옵션</t>
  </si>
  <si>
    <t>스마트 길드 서치 옵션 팝업이 출력되며, '설정 완료' 버튼만 존재한다</t>
  </si>
  <si>
    <t>참고 화면: 06. 길드 생성 / [확인 필요] 길드 생성 시 '나중에' 버튼이 없는 것이 의도적인지 확인 필요</t>
  </si>
  <si>
    <t>옵션 설정</t>
  </si>
  <si>
    <t>설정 완료</t>
  </si>
  <si>
    <t>옵션이 저장되고 팝업이 닫히며 길드 설립장 화면으로 복귀된다</t>
  </si>
  <si>
    <t>미설정 시 제한</t>
  </si>
  <si>
    <t>생성 버튼 비활성화</t>
  </si>
  <si>
    <t>길드 생성 버튼이 비활성화 상태로 표시된다</t>
  </si>
  <si>
    <t>미선택 시 비활성화</t>
  </si>
  <si>
    <t>옵션을 모두 선택하지 않은 경우 '설정 완료' 버튼이 비활성화 상태로 표시된다</t>
  </si>
  <si>
    <t>길드 생성 실행</t>
  </si>
  <si>
    <t>생성 버튼</t>
  </si>
  <si>
    <t>생성 완료</t>
  </si>
  <si>
    <t>다이아몬드 1,500이 차감되고 길드가 생성되어 길드 메인 화면으로 전환된다</t>
  </si>
  <si>
    <t>재화 부족 시 생성 불가</t>
  </si>
  <si>
    <t>재화 부족으로 길드 생성이 진행되지 않는다</t>
  </si>
  <si>
    <t>기존 길드 처리</t>
  </si>
  <si>
    <t>기본값 설정</t>
  </si>
  <si>
    <t>기존 길드의 경우 기본값(1번 값)이 자동 설정되어 있다</t>
  </si>
  <si>
    <t>참고 화면: 06. 길드 생성 / 기존 길드 예외 처리</t>
  </si>
  <si>
    <t>나의 첫 기여 카드</t>
  </si>
  <si>
    <t>카드 팝업 진입</t>
  </si>
  <si>
    <t>자동 출력 조건</t>
  </si>
  <si>
    <t>일일 최초 진입 시 출력</t>
  </si>
  <si>
    <t>'나의 첫 기여 카드' 팝업이 자동으로 출력된다</t>
  </si>
  <si>
    <t>참고 화면: 07. 나의 첫 기여카드</t>
  </si>
  <si>
    <t>수동 진입</t>
  </si>
  <si>
    <t>버튼 터치 시 팝업 열기</t>
  </si>
  <si>
    <t>'나의 첫 기여 카드' 팝업이 출력된다</t>
  </si>
  <si>
    <t>버튼 숨김 조건</t>
  </si>
  <si>
    <t>전체 보상 수령 후 숨김</t>
  </si>
  <si>
    <t>'나의 첫 기여 카드' 버튼이 숨김 처리되어 표시되지 않는다</t>
  </si>
  <si>
    <t>카드 타이틀 정보</t>
  </si>
  <si>
    <t>텍스트 정보 출력</t>
  </si>
  <si>
    <t>타이틀 및 설명 표시</t>
  </si>
  <si>
    <t>'나의 첫 기여 카드' 타이틀과 '아래 퀘스트를 모두 완료하면 잘했어요! 도장을 획득할 수 있어요!', '도장을 모두 모으면 특별한 보상이?!' 설명 텍스트가 출력된다</t>
  </si>
  <si>
    <t>참고 화면: 07. 나의 첫 기여카드 / 01번 영역</t>
  </si>
  <si>
    <t>회차 표시</t>
  </si>
  <si>
    <t>현재 진행 중인 회차 번호가 표시된다</t>
  </si>
  <si>
    <t>참고 화면: 07. 나의 첫 기여카드 / 02번 영역</t>
  </si>
  <si>
    <t>퀘스트 목록</t>
  </si>
  <si>
    <t>퀘스트 항목 표시</t>
  </si>
  <si>
    <t>아이콘 및 퀘스트명 출력</t>
  </si>
  <si>
    <t>'길드 출석하기', '길드 기부하기', '길드전 참여하기', '길드 식당 이용하기' 퀘스트가 아이콘과 함께 표시된다</t>
  </si>
  <si>
    <t>참고 화면: 07. 나의 첫 기여카드 / 04번 영역</t>
  </si>
  <si>
    <t>진척도 표시</t>
  </si>
  <si>
    <t>프로그레스 바 갱신</t>
  </si>
  <si>
    <t>프로그레스 바가 현재 진행도에 맞게 채워져 표시된다</t>
  </si>
  <si>
    <t>바로가기 버튼</t>
  </si>
  <si>
    <t>해당 화면 이동</t>
  </si>
  <si>
    <t>해당 퀘스트와 관련된 기능 화면(길드 기부, 길드 식당 등)으로 이동된다</t>
  </si>
  <si>
    <t>퀘스트 진입 불가 시</t>
  </si>
  <si>
    <t>토스트 출력 후 팝업 닫기</t>
  </si>
  <si>
    <t>팝업이 닫히고 안내 토스트 메시지가 출력된다</t>
  </si>
  <si>
    <t>퀘스트 회차 완료 보상</t>
  </si>
  <si>
    <t>보상 수령</t>
  </si>
  <si>
    <t>보상 획득</t>
  </si>
  <si>
    <t>회차 완료 보상이 수령되고, 다음 회차 퀘스트가 표시된다</t>
  </si>
  <si>
    <t>참고 화면: 07. 나의 첫 기여카드 / 03번 영역</t>
  </si>
  <si>
    <t>보상 활성화</t>
  </si>
  <si>
    <t>레드닷 출력</t>
  </si>
  <si>
    <t>보상 수령이 가능한 상태이므로 '나의 첫 기여 카드' 버튼에 레드닷이 표시된다</t>
  </si>
  <si>
    <t>전체 완료 보상</t>
  </si>
  <si>
    <t>전체 완료 보상이 수령되고, 우편함을 통해 모든 길드원에게 길드 코인이 지급된다</t>
  </si>
  <si>
    <t>길드 채팅 메시지</t>
  </si>
  <si>
    <t>시스템 메시지 출력</t>
  </si>
  <si>
    <t>'(닉네임)님이 나의 첫 기여 카드를 완료하여 모든 길드원에게 보상이 지급됩니다.' 시스템 메시지가 채팅창에 출력된다</t>
  </si>
  <si>
    <t>참고 화면: 07. 나의 첫 기여카드 / 스트링키: $ui.guild.firstcontrib.first.clear.chat.message</t>
  </si>
  <si>
    <t>'나의 첫 기여 카드' 버튼에 레드닷이 표시된다</t>
  </si>
  <si>
    <t>레드닷 처리</t>
  </si>
  <si>
    <t>메인 로비 길드 레드닷</t>
  </si>
  <si>
    <t>출력 조건</t>
  </si>
  <si>
    <t>메인 로비의 길드 버튼에도 레드닷이 표시된다</t>
  </si>
  <si>
    <t>카드 버튼 레드닷</t>
  </si>
  <si>
    <t>보상 수령 후 제거</t>
  </si>
  <si>
    <t>수령 가능한 보상이 없으므로 레드닷이 제거된다</t>
  </si>
  <si>
    <t>길드 탈퇴 후 재가입</t>
  </si>
  <si>
    <t>진행 상태 처리</t>
  </si>
  <si>
    <t>첫 기여 카드 진행 상태가 초기화되어 새로운 기여 카드가 시작된다</t>
  </si>
  <si>
    <t>참고 화면: 07. 나의 첫 기여카드 / [확인 필요] 탈퇴 후 재가입 시 진행 상태 초기화/유지 여부 기획서에 명확한 정의 없음</t>
  </si>
  <si>
    <t>길드 활동</t>
  </si>
  <si>
    <t>길드 활동 팝업</t>
  </si>
  <si>
    <t>팝업 타이틀</t>
  </si>
  <si>
    <t>타이틀 및 리셋 시간 출력</t>
  </si>
  <si>
    <t>'길드 활동' 타이틀과 길드 기부, 길드 미션의 리셋까지 남은 시간이 표시된 팝업이 출력된다</t>
  </si>
  <si>
    <t>참고 화면: 08. 길드 활동 정보 요약 팝업 / 01번 영역</t>
  </si>
  <si>
    <t>탭 선택 시 콘텐츠 전환</t>
  </si>
  <si>
    <t>선택한 탭에 해당하는 콘텐츠 영역으로 우측 화면이 전환된다</t>
  </si>
  <si>
    <t>참고 화면: 08. 길드 활동 정보 요약 팝업 / 02번 영역</t>
  </si>
  <si>
    <t>길드 기부</t>
  </si>
  <si>
    <t>코인 기부</t>
  </si>
  <si>
    <t>프로그레스 바 표시</t>
  </si>
  <si>
    <t>현재 기부 설정량과 최대 기부 가능량이 프로그레스 바로 표시된다 (예: '0 / 50,000')</t>
  </si>
  <si>
    <t>참고 화면: 08. 길드 활동 정보 요약 팝업 / 03번 영역</t>
  </si>
  <si>
    <t>슬라이더 조작</t>
  </si>
  <si>
    <t>슬라이더 드래그에 따라 기부 설정량이 변경되고 프로그레스 바에 반영된다</t>
  </si>
  <si>
    <t>기부 버튼 동작</t>
  </si>
  <si>
    <t>설정된 수량만큼 코인이 기부되고, 기부 완료 피드백이 출력된다</t>
  </si>
  <si>
    <t>기부 성공 처리</t>
  </si>
  <si>
    <t>기부한 코인만큼 길드 기여도(CP)에 반영되고, 일일 기부 한도가 차감된다</t>
  </si>
  <si>
    <t>일일 한도 표시</t>
  </si>
  <si>
    <t>'일일 코인 기부 한도: 50,000 / 50,000' 형식으로 현재 한도가 표시된다</t>
  </si>
  <si>
    <t>한도 소진 시 비활성화</t>
  </si>
  <si>
    <t>'기부' 버튼이 비활성화 상태로 표시된다</t>
  </si>
  <si>
    <t>스페셜 코인 기부</t>
  </si>
  <si>
    <t>현재 기부 설정량과 최대 기부 가능량이 개수 단위로 표시된다 (예: '0 / 3')</t>
  </si>
  <si>
    <t>참고 화면: 08. 길드 활동 정보 요약 팝업 / 04번 영역</t>
  </si>
  <si>
    <t>슬라이더 드래그에 따라 스페셜 코인 기부 설정량이 변경된다</t>
  </si>
  <si>
    <t>설정된 수량만큼 스페셜 코인이 기부되고, 골드 대비 높은 비율의 길드 기여도(CP)가 반영된다</t>
  </si>
  <si>
    <t>'일일 스페셜 코인 기부 한도: 3/3' 형식으로 표시된다</t>
  </si>
  <si>
    <t>길드 연주실 레벨 미달 시 비활성화</t>
  </si>
  <si>
    <t>스페셜 코인 기부 기능이 비활성화 상태로 표시되고 '길드 연주실 Lv.3에 해금됩니다!' 안내가 출력된다</t>
  </si>
  <si>
    <t>참고 화면: 08. 길드 활동 정보 요약 팝업 / [확인 필요] 활성화 조건이 Lv.3 이상인지 Lv.4 이상인지 확인 필요</t>
  </si>
  <si>
    <t>재화 부족 처리</t>
  </si>
  <si>
    <t>골드 부족 시 토스트</t>
  </si>
  <si>
    <t>슬라이더 조작이 불가하고 안내 토스트 메시지가 출력된다</t>
  </si>
  <si>
    <t>참고 화면: 08. 길드 활동 정보 요약 팝업</t>
  </si>
  <si>
    <t>스페셜 코인 부족 시 토스트</t>
  </si>
  <si>
    <t>'기부' 버튼이 비활성화 상태로 표시되고 안내 토스트 메시지가 출력된다</t>
  </si>
  <si>
    <t>길드 미션</t>
  </si>
  <si>
    <t>마일스톤 바</t>
  </si>
  <si>
    <t>마일스톤 구간 표시</t>
  </si>
  <si>
    <t>마일스톤 구간(500 → 1,000 → 1,500 → 2,000)이 가로 바 형태로 표시되고, 각 구간에 보상 아이콘이 표시된다</t>
  </si>
  <si>
    <t>참고 화면: 08. 길드 활동 정보 요약 팝업 / 05번 영역 / [확인 필요] 수치는 GameData 기반 예시 값</t>
  </si>
  <si>
    <t>현재 누적 기여도에 따라 프로그레스 바가 채워져 표시된다</t>
  </si>
  <si>
    <t>참고 화면: 08. 길드 활동 정보 요약 팝업 / 05번 영역</t>
  </si>
  <si>
    <t>마일스톤 보상 수령</t>
  </si>
  <si>
    <t>마일스톤 보상이 수령된다</t>
  </si>
  <si>
    <t>주간 미션 리스트</t>
  </si>
  <si>
    <t>미션 항목 표시</t>
  </si>
  <si>
    <t>각 미션 행에 미션 아이콘, 미션명(길드 출석하기, 길드 기부하기, 길드전 참여하기 등), EXP 보상이 표시된다</t>
  </si>
  <si>
    <t>참고 화면: 08. 길드 활동 정보 요약 팝업 / 06번 영역</t>
  </si>
  <si>
    <t>바로가기 버튼 동작</t>
  </si>
  <si>
    <t>해당 활동 화면으로 이동된다</t>
  </si>
  <si>
    <t>수령 버튼 동작</t>
  </si>
  <si>
    <t>EXP 보상이 수령되고, 누적 기여도에 반영된다</t>
  </si>
  <si>
    <t>수령 완료 비활성화</t>
  </si>
  <si>
    <t>해당 미션의 버튼이 비활성화(체크 또는 그레이아웃) 처리되어 표시된다</t>
  </si>
  <si>
    <t>주간 리셋</t>
  </si>
  <si>
    <t>미션 초기화</t>
  </si>
  <si>
    <t>주간 미션 목록이 초기화되고 마일스톤 프로그레스 바가 리셋된다</t>
  </si>
  <si>
    <t>참고 화면: 08. 길드 활동 정보 요약 팝업 / 미수령 마일스톤 보상은 우편을 통해 지급</t>
  </si>
  <si>
    <t>길드 탈퇴 시</t>
  </si>
  <si>
    <t>팝업 자동 닫기</t>
  </si>
  <si>
    <t>팝업이 자동으로 닫힌다</t>
  </si>
  <si>
    <t>네트워크 오류</t>
  </si>
  <si>
    <t>에러 토스트</t>
  </si>
  <si>
    <t>에러 토스트 메시지가 출력되고, 재시도가 가능하다</t>
  </si>
  <si>
    <t>주간 리셋 중 팝업 열림</t>
  </si>
  <si>
    <t>리스트 자동 갱신</t>
  </si>
  <si>
    <t>리셋 발생 시 미션 리스트가 자동 갱신되거나 팝업 재진입이 유도된다</t>
  </si>
  <si>
    <t>참고 화면: 08. 길드 활동 정보 요약 팝업 / 서버 협의 필요</t>
  </si>
  <si>
    <t>길드 스킬 강화</t>
  </si>
  <si>
    <t>스킬 강화 화면</t>
  </si>
  <si>
    <t>잔여 기여도 표시</t>
  </si>
  <si>
    <t>기여도 및 길드 레벨 출력</t>
  </si>
  <si>
    <t>화면 상단에 현재 보유 중인 길드 기여도와 길드 레벨 정보가 표시된다</t>
  </si>
  <si>
    <t>참고 화면: 09. 길드 스킬 강화 / 01번 영역</t>
  </si>
  <si>
    <t>스킬 아이콘 목록</t>
  </si>
  <si>
    <t>5개 스킬 아이콘 표시</t>
  </si>
  <si>
    <t>헌터 출석부 강화, 길드 활동 강화, 길드 상점 강화, 길드 식당 강화, 길드전 보상 강화 5개 스킬 아이콘이 표시된다</t>
  </si>
  <si>
    <t>참고 화면: 09. 길드 스킬 강화 / 02번 영역</t>
  </si>
  <si>
    <t>스킬명 및 현재 레벨 표시</t>
  </si>
  <si>
    <t>각 아이콘 하단에 스킬명과 현재 레벨이 표시된다 (예: '헌터 상점 강화 (Lv.1/5)')</t>
  </si>
  <si>
    <t>스킬 상세 패널</t>
  </si>
  <si>
    <t>패널 열기</t>
  </si>
  <si>
    <t>슬라이드 오픈 연출</t>
  </si>
  <si>
    <t>화면 우측에 반투명 다크 패널이 슬라이드로 열리며 해당 스킬의 상세 정보가 표시된다</t>
  </si>
  <si>
    <t>참고 화면: 09. 길드 스킬 강화 / 03번 영역</t>
  </si>
  <si>
    <t>스킬 정보 표시</t>
  </si>
  <si>
    <t>스킬명 및 레벨 뱃지 출력</t>
  </si>
  <si>
    <t>선택한 스킬명(예: '길드 식당 강화')과 현재 레벨 뱃지(예: 'Lv.3')가 표시된다</t>
  </si>
  <si>
    <t>해금 레벨 효과 표시</t>
  </si>
  <si>
    <t>해금된 레벨은 열쇠(unlock) 아이콘과 흰색 텍스트로 효과가 표시된다</t>
  </si>
  <si>
    <t>미해금 레벨 효과 표시</t>
  </si>
  <si>
    <t>미해금 레벨은 자물쇠(lock) 아이콘과 회색 텍스트(#8B8585)로 효과가 표시된다</t>
  </si>
  <si>
    <t>레벨업 버튼</t>
  </si>
  <si>
    <t>비용 표시</t>
  </si>
  <si>
    <t>'레벨업' 버튼 하단에 길드 코인 아이콘과 함께 레벨업 비용이 표시된다</t>
  </si>
  <si>
    <t>길드장/부길드장 활성</t>
  </si>
  <si>
    <t>'레벨업' 버튼이 활성화 상태로 표시되고, 터치 시 레벨업 확인 팝업이 출력된다</t>
  </si>
  <si>
    <t>참고 화면: 09. 길드 스킬 강화 / [확인 필요] '길드장만 레벨업 가능합니다' 안내 텍스트와 '길드장 or 부길드장' 활성 조건이 불일치</t>
  </si>
  <si>
    <t>일반 길드원 비활성</t>
  </si>
  <si>
    <t>'레벨업' 버튼이 비활성화 상태로 표시되고, '길드장만 레벨업 가능합니다' 안내 텍스트가 상시 노출된다</t>
  </si>
  <si>
    <t>포인트 부족 시 토스트</t>
  </si>
  <si>
    <t>'길드 기여도가 부족합니다' 토스트 메시지가 출력된다</t>
  </si>
  <si>
    <t>참고 화면: 09. 길드 스킬 강화</t>
  </si>
  <si>
    <t>최대 레벨 시 표시</t>
  </si>
  <si>
    <t>레벨업 버튼 대신 '최대 레벨' 상태로 표시되고, 추가 강화가 불가하다</t>
  </si>
  <si>
    <t>레벨업 확인 팝업</t>
  </si>
  <si>
    <t>'50,000(길드코인 아이콘)을 소모하여 길드 식당을 레벨업 하시겠습니까?' 확인 팝업이 출력되고, '취소'와 '확인' 버튼이 표시된다</t>
  </si>
  <si>
    <t>확인 버튼 동작</t>
  </si>
  <si>
    <t>길드 기여도가 비용만큼 차감되고 스킬이 레벨업되어 성공 연출이 재생된다</t>
  </si>
  <si>
    <t>취소 버튼 동작</t>
  </si>
  <si>
    <t>팝업이 닫히고 스킬 상세 패널로 복귀되며, 기여도 차감 없이 기존 상태가 유지된다</t>
  </si>
  <si>
    <t>레벨업 완료</t>
  </si>
  <si>
    <t>결과 화면 출력</t>
  </si>
  <si>
    <t>레벨업된 스킬 정보와 새롭게 해금된 효과가 표시된다</t>
  </si>
  <si>
    <t>기여도 차감 반영</t>
  </si>
  <si>
    <t>레벨업 비용만큼 길드 기여도가 차감되어 반영된다</t>
  </si>
  <si>
    <t>기여도 획득처 안내</t>
  </si>
  <si>
    <t>안내 팝업 출력</t>
  </si>
  <si>
    <t>길드 기여도 획득 방법을 안내하는 팝업이 출력되고, 누적 기여도 정보 버튼과 획득 경로 목록이 표시된다</t>
  </si>
  <si>
    <t>참고 화면: 09. 길드 스킬 강화 / 04번 영역</t>
  </si>
  <si>
    <t>길드 출석하기</t>
  </si>
  <si>
    <t>획득 완료 상태 표시</t>
  </si>
  <si>
    <t>'획득 완료' 상태로 표시된다</t>
  </si>
  <si>
    <t>길드 기부하기</t>
  </si>
  <si>
    <t>길드 활동 → 길드 기부 탭으로 이동된다</t>
  </si>
  <si>
    <t>완료 시 획득 완료 표시</t>
  </si>
  <si>
    <t>주간 미션 완료하기</t>
  </si>
  <si>
    <t>길드 활동 → 길드 미션 탭으로 이동된다</t>
  </si>
  <si>
    <t>길드전 플레이하기</t>
  </si>
  <si>
    <t>길드전 화면으로 이동된다</t>
  </si>
  <si>
    <t>비진행일 비활성화</t>
  </si>
  <si>
    <t>'바로가기' 숏컷 버튼이 비활성화 상태로 표시되고, 터치 시 '금일은 길드전이 진행되지 않는 날입니다' 메시지가 출력된다</t>
  </si>
  <si>
    <t>길드 레벨 조건 미달</t>
  </si>
  <si>
    <t>스킬 잠금 및 토스트</t>
  </si>
  <si>
    <t>스킬 아이콘에 잠금 표시가 되어있고, 터치 시 '길드 레벨 N 이상 필요' 토스트 메시지가 출력된다</t>
  </si>
  <si>
    <t>참고 화면: 09. 길드 스킬 강화 / 서버 협의</t>
  </si>
  <si>
    <t>동시 레벨업 시도</t>
  </si>
  <si>
    <t>서버 동시성 처리</t>
  </si>
  <si>
    <t>먼저 요청한 유저만 레벨업에 성공하고, 이후 시도하는 유저에게는 이미 레벨업한 상태가 반환된다</t>
  </si>
  <si>
    <t>화면 자동 닫기</t>
  </si>
  <si>
    <t>화면이 자동으로 닫히고 길드 로비로 복귀된다</t>
  </si>
  <si>
    <t>길드 식당</t>
  </si>
  <si>
    <t>식당 화면</t>
  </si>
  <si>
    <t>식당 레벨 표시</t>
  </si>
  <si>
    <t>레벨 정보 출력</t>
  </si>
  <si>
    <t>화면 좌측 상단에 길드 식당 현재 레벨이 표시된다 (예: '길드 식당 Lv.3')</t>
  </si>
  <si>
    <t>참고 화면: 10. 길드 식당 / 01번 영역</t>
  </si>
  <si>
    <t>메뉴 목록</t>
  </si>
  <si>
    <t>메뉴 카드 정보 표시</t>
  </si>
  <si>
    <t>현재 제공 가능한 메뉴가 카드 형태로 나열되며, 각 메뉴에 메뉴명과 효과 설명이 표시된다</t>
  </si>
  <si>
    <t>참고 화면: 10. 길드 식당 / 02번 영역</t>
  </si>
  <si>
    <t>복수 버프 효과 표시</t>
  </si>
  <si>
    <t>각 메뉴별로 특정 콘텐츠 보상 증가 효과(예: '보상 3회 100% 증가')가 표시된다</t>
  </si>
  <si>
    <t>참고 화면: 10. 길드 식당 / 02번 영역 / [확인 필요] 메뉴별 구체적 효과 수치 확인 필요</t>
  </si>
  <si>
    <t>레벨 미달 메뉴 잠금 표시</t>
  </si>
  <si>
    <t>해금되지 않은 메뉴는 검은 반투명 오버레이로 가려지고, '길드 식당 Lv.○ 필요' 메시지가 오버레이 위에 표시된다</t>
  </si>
  <si>
    <t>잔여 식사 횟수 표시</t>
  </si>
  <si>
    <t>횟수 정보 출력</t>
  </si>
  <si>
    <t>'오늘의 식사 기회: 1회' ���식으로 잔여 식사 가능 횟수가 표시된다</t>
  </si>
  <si>
    <t>참고 화면: 10. 길드 식당 / 03번 영역</t>
  </si>
  <si>
    <t>식사하기</t>
  </si>
  <si>
    <t>식사하기 버튼</t>
  </si>
  <si>
    <t>횟수 있을 때 활성</t>
  </si>
  <si>
    <t>선택된 메뉴로 식사가 실행되고 식사 완료 연출 팝업이 출력된다</t>
  </si>
  <si>
    <t>횟수 소진 시 토스트</t>
  </si>
  <si>
    <t>'오늘의 식사 기회를 모두 사용했습니다' 토스트 메시지가 출력되고 식사가 실행되지 않는다</t>
  </si>
  <si>
    <t>식사 완료 연출</t>
  </si>
  <si>
    <t>연출 팝업 표시</t>
  </si>
  <si>
    <t>어두운 오버레이와 함께 '식사 완료' 타이틀 텍스트, 선택한 메뉴 아이콘이 포함된 연출 팝업이 출력된다</t>
  </si>
  <si>
    <t>참고 화면: 10. 길드 식당 / 04번 영역 / [확인 필요] 식사 연출 해제 방식 논의 필요</t>
  </si>
  <si>
    <t>획득 효과 표시</t>
  </si>
  <si>
    <t>적용된 메뉴 버프 효과(예: '보상 3회 100% 증가')가 텍스트로 표시된다</t>
  </si>
  <si>
    <t>참고 화면: 10. 길드 식당 / 04번 영역</t>
  </si>
  <si>
    <t>연출 팝업이 닫히고 길드 식당 화면으로 복귀된다</t>
  </si>
  <si>
    <t>식사 완료 처리</t>
  </si>
  <si>
    <t>버프 효과 적용</t>
  </si>
  <si>
    <t>선택한 메뉴의 버프 효과(해당 콘텐츠 보상 증가)가 적용된다</t>
  </si>
  <si>
    <t>참고 화면: 10. 길드 식당</t>
  </si>
  <si>
    <t>잔여 횟수 차감</t>
  </si>
  <si>
    <t>잔여 식사 횟수가 1회 차감되어 표시된다</t>
  </si>
  <si>
    <t>화면 복귀</t>
  </si>
  <si>
    <t>길드 식당 화면으로 복귀되고 변경된 잔여 식사 횟수가 반영되어 표시된다</t>
  </si>
  <si>
    <t>일별 리셋</t>
  </si>
  <si>
    <t>식사 횟수 초기화</t>
  </si>
  <si>
    <t>횟수 리셋</t>
  </si>
  <si>
    <t>잔여 식사 횟수가 초기 상태로 리셋되어 표시된다</t>
  </si>
  <si>
    <t>식당 미오픈</t>
  </si>
  <si>
    <t>안내 메시지</t>
  </si>
  <si>
    <t>'길드 식당이 아직 오픈되지 않았습니다' 안내 메시지가 출력되고 진입이 제한된다</t>
  </si>
  <si>
    <t>길드 상점</t>
  </si>
  <si>
    <t>상점 화면</t>
  </si>
  <si>
    <t>상점 타이틀 및 레벨 표시</t>
  </si>
  <si>
    <t>타이틀 출력</t>
  </si>
  <si>
    <t>'길드 상점 Lv.3' 형식으로 상점 타이틀과 현재 레벨이 표시된다</t>
  </si>
  <si>
    <t>참고 화면: 11. 길드 상점 / 01번 영역 / [확인 필요] 화면 경로가 Description에서 '[로비]-[Play]-[레이드]-[일반 모드]'로 되어 있으나 실제 내용은 길드 상점</t>
  </si>
  <si>
    <t>길드 코인 잔액 표시</t>
  </si>
  <si>
    <t>잔액 정보 출력</t>
  </si>
  <si>
    <t>현재 보유 길드 코인 잔액과 갱신까지 남은 시간이 표시된다</t>
  </si>
  <si>
    <t>참고 화면: 11. 길드 상점</t>
  </si>
  <si>
    <t>상품 그리드</t>
  </si>
  <si>
    <t>상품 정보 표시</t>
  </si>
  <si>
    <t>상품이 그리드 형태(2행 x 4열)로 나열되며, 각 상품에 상품명, 재고량, 가격(길드 코인)이 표시된다</t>
  </si>
  <si>
    <t>레벨 미달 품목 잠금 표시</t>
  </si>
  <si>
    <t>잠금 상태 아이템이 반투명 처리되고, 잠금 아이콘과 함께 '길드 상점 Lv.5 필요' 텍스트가 오버레이로 표시된다</t>
  </si>
  <si>
    <t>참고 화면: 11. 길드 상점 / 02번 영역 / [확인 필요] 잠금 아이템 터치 시 동작(토스트/팝업) 미명시</t>
  </si>
  <si>
    <t>품절 상태 표시</t>
  </si>
  <si>
    <t>해당 상품이 품절 또는 비활성화 상태로 표시되어 구매가 불가하다</t>
  </si>
  <si>
    <t>참고 화면: 11. 길드 상점 / [확인 필요] 재고 소진 시 '품절' 표시 또는 버튼 비활성 여부 미명시</t>
  </si>
  <si>
    <t>상품 구매</t>
  </si>
  <si>
    <t>구매 가능 상품</t>
  </si>
  <si>
    <t>구매 실행</t>
  </si>
  <si>
    <t>길드 코인이 차감되고 해당 아이템이 지급되며, 재고량이 1 감소된다</t>
  </si>
  <si>
    <t>레벨 미달 상품</t>
  </si>
  <si>
    <t>구매 불가 처리</t>
  </si>
  <si>
    <t>해당 상품은 구매할 수 없으며, 필요 길드 상점 레벨이 안내된다</t>
  </si>
  <si>
    <t>참고 화면: 11. 길드 상점 / 02번 영역</t>
  </si>
  <si>
    <t>코인 부족 시</t>
  </si>
  <si>
    <t>부족 안내</t>
  </si>
  <si>
    <t>길드 코인 부족 안내가 출력되고 구매가 진행되지 않는다</t>
  </si>
  <si>
    <t>갱신 타이머</t>
  </si>
  <si>
    <t>갱신 시간 표시</t>
  </si>
  <si>
    <t>갱신까지 남은 시간이 카운트다운 형태로 표시된다 (예: '27일 13시간')</t>
  </si>
  <si>
    <t>참고 화면: 11. 길드 상점 / [확인 필요] 갱신 시 재고 리셋 여부 미명시</t>
  </si>
  <si>
    <t>길드 스킬 적용 안내</t>
  </si>
  <si>
    <t>길드전 등급 보상 팝업</t>
  </si>
  <si>
    <t>스킬 레벨 정보 표시</t>
  </si>
  <si>
    <t>'길드전 등급 보상 Lv.3' 형식으로 길드 스킬 레벨 정보가 포함된 타이틀이 표시된다</t>
  </si>
  <si>
    <t>참고 화면: 12. 길드 스킬 적용 안내 정보 / 01번 영역</t>
  </si>
  <si>
    <t>스킬 적용 안내</t>
  </si>
  <si>
    <t>안내 메시지 출력</t>
  </si>
  <si>
    <t>길드 스킬이 적용 중이라는 안내 메시지가 구체적으로 표기되어 표시된다</t>
  </si>
  <si>
    <t>참고 화면: 12. 길드 스킬 적용 안내 정보 / 02번 영역</t>
  </si>
  <si>
    <t>보상 상승 효과 표시</t>
  </si>
  <si>
    <t>스킬 적용을 통해 보상량이 증가했음을 나타내는 상승 효과가 보상 아이콘에 표시된다</t>
  </si>
  <si>
    <t>참고 화면: 12. 길드 스킬 적용 안내 정보 / 02번 영역 / [확인 필요] 보상 상승 표시 방식(아이콘 위 증가 마크 or 수치 색상 변경 등) 구체적 방법 미명시</t>
  </si>
  <si>
    <t>스킬 미적용 시</t>
  </si>
  <si>
    <t>안내 미노출</t>
  </si>
  <si>
    <t>스킬 적용 안내 메시지 및 보상 상승 효과 아이콘이 표시되지 않는다</t>
  </si>
  <si>
    <t>참고 화면: 12. 길드 스킬 적용 안내 정보</t>
  </si>
  <si>
    <t>등급별 보상 목록</t>
  </si>
  <si>
    <t>보상 정보 출력</t>
  </si>
  <si>
    <t>250,000점, 225,000점, 200,000점, 100,000점 이상 획득 기준별 보상이 목록으로 표시된다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</si>
</sst>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COUNTIF(I10:I157,"Pass")</f>
      </c>
      <c r="K3" t="s">
        <v>4</v>
      </c>
      <c r="L3">
        <f>COUNTIF(I10:I157,"")</f>
      </c>
      <c r="M3" s="3" t="s">
        <v>3</v>
      </c>
      <c r="N3">
        <f>COUNTIF(J10:J157,"Pass")</f>
      </c>
    </row>
    <row r="4" spans="9:14" x14ac:dyDescent="0.25">
      <c r="I4" s="4" t="s">
        <v>5</v>
      </c>
      <c r="J4">
        <f>COUNTIF(I10:I157,"N/T")</f>
      </c>
      <c r="K4" t="s">
        <v>6</v>
      </c>
      <c r="L4">
        <f>COUNTA(I10:I157)-COUNTIF(I10:I157,"")</f>
      </c>
      <c r="M4" s="4" t="s">
        <v>5</v>
      </c>
      <c r="N4">
        <f>COUNTIF(J10:J157,"N/T")</f>
      </c>
    </row>
    <row r="5" spans="9:14" x14ac:dyDescent="0.25">
      <c r="I5" s="5" t="s">
        <v>7</v>
      </c>
      <c r="J5">
        <f>COUNTIF(I10:I157,"Fail")</f>
      </c>
      <c r="K5" t="s">
        <v>8</v>
      </c>
      <c r="L5">
        <v>148</v>
      </c>
      <c r="M5" s="5" t="s">
        <v>7</v>
      </c>
      <c r="N5">
        <f>COUNTIF(J10:J157,"Fail")</f>
      </c>
    </row>
    <row r="6" spans="9:14" x14ac:dyDescent="0.25">
      <c r="I6" s="6" t="s">
        <v>9</v>
      </c>
      <c r="J6">
        <f>COUNTIF(I10:I157,"Block")</f>
      </c>
      <c r="K6" t="s">
        <v>10</v>
      </c>
      <c r="L6" s="7">
        <f>IF(L5=0,0,L4/L5)</f>
      </c>
      <c r="M6" s="6" t="s">
        <v>9</v>
      </c>
      <c r="N6">
        <f>COUNTIF(J10:J157,"Block")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32</v>
      </c>
    </row>
    <row r="12" spans="2:14" x14ac:dyDescent="0.25">
      <c r="B12" s="9">
        <v>3</v>
      </c>
      <c r="C12" s="15" t="s">
        <v>29</v>
      </c>
      <c r="D12" s="11"/>
      <c r="E12" s="11"/>
      <c r="F12" s="11"/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35</v>
      </c>
    </row>
    <row r="13" spans="2:14" x14ac:dyDescent="0.25">
      <c r="B13" s="9">
        <v>4</v>
      </c>
      <c r="C13" s="10" t="s">
        <v>22</v>
      </c>
      <c r="D13" s="11"/>
      <c r="E13" s="11"/>
      <c r="F13" s="12" t="s">
        <v>36</v>
      </c>
      <c r="G13" s="12" t="s">
        <v>37</v>
      </c>
      <c r="H13" s="13" t="s">
        <v>38</v>
      </c>
      <c r="I13" s="12"/>
      <c r="J13" s="12"/>
      <c r="K13" s="12"/>
      <c r="L13" s="12"/>
      <c r="M13" s="12"/>
      <c r="N13" s="14" t="s">
        <v>39</v>
      </c>
    </row>
    <row r="14" spans="2:14" x14ac:dyDescent="0.25">
      <c r="B14" s="9">
        <v>5</v>
      </c>
      <c r="C14" s="10" t="s">
        <v>22</v>
      </c>
      <c r="D14" s="11"/>
      <c r="E14" s="11"/>
      <c r="F14" s="11" t="s">
        <v>25</v>
      </c>
      <c r="G14" s="12" t="s">
        <v>40</v>
      </c>
      <c r="H14" s="13" t="s">
        <v>41</v>
      </c>
      <c r="I14" s="12"/>
      <c r="J14" s="12"/>
      <c r="K14" s="12"/>
      <c r="L14" s="12"/>
      <c r="M14" s="12"/>
      <c r="N14" s="14" t="s">
        <v>42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43</v>
      </c>
      <c r="H15" s="13" t="s">
        <v>41</v>
      </c>
      <c r="I15" s="12"/>
      <c r="J15" s="12"/>
      <c r="K15" s="12"/>
      <c r="L15" s="12"/>
      <c r="M15" s="12"/>
      <c r="N15" s="14" t="s">
        <v>44</v>
      </c>
    </row>
    <row r="16" spans="2:14" x14ac:dyDescent="0.25">
      <c r="B16" s="9">
        <v>7</v>
      </c>
      <c r="C16" s="10" t="s">
        <v>22</v>
      </c>
      <c r="D16" s="11"/>
      <c r="E16" s="11" t="s">
        <v>45</v>
      </c>
      <c r="F16" s="12" t="s">
        <v>46</v>
      </c>
      <c r="G16" s="12" t="s">
        <v>26</v>
      </c>
      <c r="H16" s="13" t="s">
        <v>47</v>
      </c>
      <c r="I16" s="12"/>
      <c r="J16" s="12"/>
      <c r="K16" s="12"/>
      <c r="L16" s="12"/>
      <c r="M16" s="12"/>
      <c r="N16" s="14" t="s">
        <v>48</v>
      </c>
    </row>
    <row r="17" spans="2:14" x14ac:dyDescent="0.25">
      <c r="B17" s="9">
        <v>8</v>
      </c>
      <c r="C17" s="15" t="s">
        <v>29</v>
      </c>
      <c r="D17" s="11"/>
      <c r="E17" s="11"/>
      <c r="F17" s="11" t="s">
        <v>49</v>
      </c>
      <c r="G17" s="12" t="s">
        <v>50</v>
      </c>
      <c r="H17" s="13" t="s">
        <v>51</v>
      </c>
      <c r="I17" s="12"/>
      <c r="J17" s="12"/>
      <c r="K17" s="12"/>
      <c r="L17" s="12"/>
      <c r="M17" s="12"/>
      <c r="N17" s="14" t="s">
        <v>48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52</v>
      </c>
      <c r="H18" s="13" t="s">
        <v>53</v>
      </c>
      <c r="I18" s="12"/>
      <c r="J18" s="12"/>
      <c r="K18" s="12"/>
      <c r="L18" s="12"/>
      <c r="M18" s="12"/>
      <c r="N18" s="14" t="s">
        <v>48</v>
      </c>
    </row>
    <row r="19" spans="2:14" x14ac:dyDescent="0.25">
      <c r="B19" s="9">
        <v>10</v>
      </c>
      <c r="C19" s="10" t="s">
        <v>22</v>
      </c>
      <c r="D19" s="11"/>
      <c r="E19" s="11"/>
      <c r="F19" s="12" t="s">
        <v>54</v>
      </c>
      <c r="G19" s="12" t="s">
        <v>55</v>
      </c>
      <c r="H19" s="13" t="s">
        <v>56</v>
      </c>
      <c r="I19" s="12"/>
      <c r="J19" s="12"/>
      <c r="K19" s="12"/>
      <c r="L19" s="12"/>
      <c r="M19" s="12"/>
      <c r="N19" s="14" t="s">
        <v>57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58</v>
      </c>
      <c r="G20" s="12" t="s">
        <v>55</v>
      </c>
      <c r="H20" s="13" t="s">
        <v>59</v>
      </c>
      <c r="I20" s="12"/>
      <c r="J20" s="12"/>
      <c r="K20" s="12"/>
      <c r="L20" s="12"/>
      <c r="M20" s="12"/>
      <c r="N20" s="14" t="s">
        <v>60</v>
      </c>
    </row>
    <row r="21" spans="2:14" x14ac:dyDescent="0.25">
      <c r="B21" s="9">
        <v>12</v>
      </c>
      <c r="C21" s="16" t="s">
        <v>61</v>
      </c>
      <c r="D21" s="11"/>
      <c r="E21" s="11"/>
      <c r="F21" s="11" t="s">
        <v>62</v>
      </c>
      <c r="G21" s="12" t="s">
        <v>63</v>
      </c>
      <c r="H21" s="13" t="s">
        <v>64</v>
      </c>
      <c r="I21" s="12"/>
      <c r="J21" s="12"/>
      <c r="K21" s="12"/>
      <c r="L21" s="12"/>
      <c r="M21" s="12"/>
      <c r="N21" s="14" t="s">
        <v>48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65</v>
      </c>
      <c r="H22" s="13" t="s">
        <v>66</v>
      </c>
      <c r="I22" s="12"/>
      <c r="J22" s="12"/>
      <c r="K22" s="12"/>
      <c r="L22" s="12"/>
      <c r="M22" s="12"/>
      <c r="N22" s="14" t="s">
        <v>48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67</v>
      </c>
      <c r="H23" s="13" t="s">
        <v>68</v>
      </c>
      <c r="I23" s="12"/>
      <c r="J23" s="12"/>
      <c r="K23" s="12"/>
      <c r="L23" s="12"/>
      <c r="M23" s="12"/>
      <c r="N23" s="14" t="s">
        <v>48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69</v>
      </c>
      <c r="G24" s="12" t="s">
        <v>70</v>
      </c>
      <c r="H24" s="13" t="s">
        <v>71</v>
      </c>
      <c r="I24" s="12"/>
      <c r="J24" s="12"/>
      <c r="K24" s="12"/>
      <c r="L24" s="12"/>
      <c r="M24" s="12"/>
      <c r="N24" s="14" t="s">
        <v>48</v>
      </c>
    </row>
    <row r="25" spans="2:14" x14ac:dyDescent="0.25">
      <c r="B25" s="9">
        <v>16</v>
      </c>
      <c r="C25" s="15" t="s">
        <v>29</v>
      </c>
      <c r="D25" s="11"/>
      <c r="E25" s="11"/>
      <c r="F25" s="12" t="s">
        <v>72</v>
      </c>
      <c r="G25" s="12" t="s">
        <v>73</v>
      </c>
      <c r="H25" s="13" t="s">
        <v>74</v>
      </c>
      <c r="I25" s="12"/>
      <c r="J25" s="12"/>
      <c r="K25" s="12"/>
      <c r="L25" s="12"/>
      <c r="M25" s="12"/>
      <c r="N25" s="14" t="s">
        <v>75</v>
      </c>
    </row>
    <row r="26" spans="2:14" x14ac:dyDescent="0.25">
      <c r="B26" s="9">
        <v>17</v>
      </c>
      <c r="C26" s="15" t="s">
        <v>29</v>
      </c>
      <c r="D26" s="11"/>
      <c r="E26" s="11"/>
      <c r="F26" s="11" t="s">
        <v>76</v>
      </c>
      <c r="G26" s="12" t="s">
        <v>77</v>
      </c>
      <c r="H26" s="13" t="s">
        <v>78</v>
      </c>
      <c r="I26" s="12"/>
      <c r="J26" s="12"/>
      <c r="K26" s="12"/>
      <c r="L26" s="12"/>
      <c r="M26" s="12"/>
      <c r="N26" s="14" t="s">
        <v>79</v>
      </c>
    </row>
    <row r="27" spans="2:14" x14ac:dyDescent="0.25">
      <c r="B27" s="9">
        <v>18</v>
      </c>
      <c r="C27" s="15" t="s">
        <v>29</v>
      </c>
      <c r="D27" s="11"/>
      <c r="E27" s="11"/>
      <c r="F27" s="11"/>
      <c r="G27" s="12" t="s">
        <v>80</v>
      </c>
      <c r="H27" s="13" t="s">
        <v>81</v>
      </c>
      <c r="I27" s="12"/>
      <c r="J27" s="12"/>
      <c r="K27" s="12"/>
      <c r="L27" s="12"/>
      <c r="M27" s="12"/>
      <c r="N27" s="14" t="s">
        <v>79</v>
      </c>
    </row>
    <row r="28" spans="2:14" x14ac:dyDescent="0.25">
      <c r="B28" s="9">
        <v>19</v>
      </c>
      <c r="C28" s="15" t="s">
        <v>29</v>
      </c>
      <c r="D28" s="11" t="s">
        <v>82</v>
      </c>
      <c r="E28" s="11" t="s">
        <v>83</v>
      </c>
      <c r="F28" s="12" t="s">
        <v>84</v>
      </c>
      <c r="G28" s="12" t="s">
        <v>85</v>
      </c>
      <c r="H28" s="13" t="s">
        <v>86</v>
      </c>
      <c r="I28" s="12"/>
      <c r="J28" s="12"/>
      <c r="K28" s="12"/>
      <c r="L28" s="12"/>
      <c r="M28" s="12"/>
      <c r="N28" s="14" t="s">
        <v>87</v>
      </c>
    </row>
    <row r="29" spans="2:14" x14ac:dyDescent="0.25">
      <c r="B29" s="9">
        <v>20</v>
      </c>
      <c r="C29" s="10" t="s">
        <v>22</v>
      </c>
      <c r="D29" s="11"/>
      <c r="E29" s="11"/>
      <c r="F29" s="12" t="s">
        <v>88</v>
      </c>
      <c r="G29" s="12" t="s">
        <v>89</v>
      </c>
      <c r="H29" s="13" t="s">
        <v>90</v>
      </c>
      <c r="I29" s="12"/>
      <c r="J29" s="12"/>
      <c r="K29" s="12"/>
      <c r="L29" s="12"/>
      <c r="M29" s="12"/>
      <c r="N29" s="14" t="s">
        <v>91</v>
      </c>
    </row>
    <row r="30" spans="2:14" x14ac:dyDescent="0.25">
      <c r="B30" s="9">
        <v>21</v>
      </c>
      <c r="C30" s="15" t="s">
        <v>29</v>
      </c>
      <c r="D30" s="11"/>
      <c r="E30" s="11"/>
      <c r="F30" s="12" t="s">
        <v>92</v>
      </c>
      <c r="G30" s="12" t="s">
        <v>93</v>
      </c>
      <c r="H30" s="13" t="s">
        <v>94</v>
      </c>
      <c r="I30" s="12"/>
      <c r="J30" s="12"/>
      <c r="K30" s="12"/>
      <c r="L30" s="12"/>
      <c r="M30" s="12"/>
      <c r="N30" s="14" t="s">
        <v>95</v>
      </c>
    </row>
    <row r="31" spans="2:14" x14ac:dyDescent="0.25">
      <c r="B31" s="9">
        <v>22</v>
      </c>
      <c r="C31" s="15" t="s">
        <v>29</v>
      </c>
      <c r="D31" s="11"/>
      <c r="E31" s="11"/>
      <c r="F31" s="11" t="s">
        <v>96</v>
      </c>
      <c r="G31" s="12" t="s">
        <v>97</v>
      </c>
      <c r="H31" s="13" t="s">
        <v>98</v>
      </c>
      <c r="I31" s="12"/>
      <c r="J31" s="12"/>
      <c r="K31" s="12"/>
      <c r="L31" s="12"/>
      <c r="M31" s="12"/>
      <c r="N31" s="14" t="s">
        <v>99</v>
      </c>
    </row>
    <row r="32" spans="2:14" x14ac:dyDescent="0.25">
      <c r="B32" s="9">
        <v>23</v>
      </c>
      <c r="C32" s="15" t="s">
        <v>29</v>
      </c>
      <c r="D32" s="11"/>
      <c r="E32" s="11"/>
      <c r="F32" s="11"/>
      <c r="G32" s="12" t="s">
        <v>100</v>
      </c>
      <c r="H32" s="13" t="s">
        <v>101</v>
      </c>
      <c r="I32" s="12"/>
      <c r="J32" s="12"/>
      <c r="K32" s="12"/>
      <c r="L32" s="12"/>
      <c r="M32" s="12"/>
      <c r="N32" s="14" t="s">
        <v>99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102</v>
      </c>
      <c r="H33" s="13" t="s">
        <v>103</v>
      </c>
      <c r="I33" s="12"/>
      <c r="J33" s="12"/>
      <c r="K33" s="12"/>
      <c r="L33" s="12"/>
      <c r="M33" s="12"/>
      <c r="N33" s="14" t="s">
        <v>104</v>
      </c>
    </row>
    <row r="34" spans="2:14" x14ac:dyDescent="0.25">
      <c r="B34" s="9">
        <v>25</v>
      </c>
      <c r="C34" s="16" t="s">
        <v>61</v>
      </c>
      <c r="D34" s="11"/>
      <c r="E34" s="11" t="s">
        <v>105</v>
      </c>
      <c r="F34" s="11" t="s">
        <v>106</v>
      </c>
      <c r="G34" s="12" t="s">
        <v>107</v>
      </c>
      <c r="H34" s="13" t="s">
        <v>108</v>
      </c>
      <c r="I34" s="12"/>
      <c r="J34" s="12"/>
      <c r="K34" s="12"/>
      <c r="L34" s="12"/>
      <c r="M34" s="12"/>
      <c r="N34" s="14" t="s">
        <v>109</v>
      </c>
    </row>
    <row r="35" spans="2:14" x14ac:dyDescent="0.25">
      <c r="B35" s="9">
        <v>26</v>
      </c>
      <c r="C35" s="16" t="s">
        <v>61</v>
      </c>
      <c r="D35" s="11"/>
      <c r="E35" s="11"/>
      <c r="F35" s="11"/>
      <c r="G35" s="12" t="s">
        <v>110</v>
      </c>
      <c r="H35" s="13" t="s">
        <v>111</v>
      </c>
      <c r="I35" s="12"/>
      <c r="J35" s="12"/>
      <c r="K35" s="12"/>
      <c r="L35" s="12"/>
      <c r="M35" s="12"/>
      <c r="N35" s="14" t="s">
        <v>112</v>
      </c>
    </row>
    <row r="36" spans="2:14" x14ac:dyDescent="0.25">
      <c r="B36" s="9">
        <v>27</v>
      </c>
      <c r="C36" s="16" t="s">
        <v>61</v>
      </c>
      <c r="D36" s="11"/>
      <c r="E36" s="11"/>
      <c r="F36" s="11" t="s">
        <v>113</v>
      </c>
      <c r="G36" s="12" t="s">
        <v>114</v>
      </c>
      <c r="H36" s="13" t="s">
        <v>115</v>
      </c>
      <c r="I36" s="12"/>
      <c r="J36" s="12"/>
      <c r="K36" s="12"/>
      <c r="L36" s="12"/>
      <c r="M36" s="12"/>
      <c r="N36" s="14" t="s">
        <v>109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116</v>
      </c>
      <c r="H37" s="13" t="s">
        <v>117</v>
      </c>
      <c r="I37" s="12"/>
      <c r="J37" s="12"/>
      <c r="K37" s="12"/>
      <c r="L37" s="12"/>
      <c r="M37" s="12"/>
      <c r="N37" s="14" t="s">
        <v>112</v>
      </c>
    </row>
    <row r="38" spans="2:14" x14ac:dyDescent="0.25">
      <c r="B38" s="9">
        <v>29</v>
      </c>
      <c r="C38" s="10" t="s">
        <v>22</v>
      </c>
      <c r="D38" s="11"/>
      <c r="E38" s="11"/>
      <c r="F38" s="11" t="s">
        <v>118</v>
      </c>
      <c r="G38" s="12" t="s">
        <v>119</v>
      </c>
      <c r="H38" s="13" t="s">
        <v>120</v>
      </c>
      <c r="I38" s="12"/>
      <c r="J38" s="12"/>
      <c r="K38" s="12"/>
      <c r="L38" s="12"/>
      <c r="M38" s="12"/>
      <c r="N38" s="14" t="s">
        <v>112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121</v>
      </c>
      <c r="H39" s="13" t="s">
        <v>122</v>
      </c>
      <c r="I39" s="12"/>
      <c r="J39" s="12"/>
      <c r="K39" s="12"/>
      <c r="L39" s="12"/>
      <c r="M39" s="12"/>
      <c r="N39" s="14" t="s">
        <v>112</v>
      </c>
    </row>
    <row r="40" spans="2:14" x14ac:dyDescent="0.25">
      <c r="B40" s="9">
        <v>31</v>
      </c>
      <c r="C40" s="10" t="s">
        <v>22</v>
      </c>
      <c r="D40" s="11"/>
      <c r="E40" s="11"/>
      <c r="F40" s="12" t="s">
        <v>37</v>
      </c>
      <c r="G40" s="12" t="s">
        <v>123</v>
      </c>
      <c r="H40" s="13" t="s">
        <v>124</v>
      </c>
      <c r="I40" s="12"/>
      <c r="J40" s="12"/>
      <c r="K40" s="12"/>
      <c r="L40" s="12"/>
      <c r="M40" s="12"/>
      <c r="N40" s="14" t="s">
        <v>112</v>
      </c>
    </row>
    <row r="41" spans="2:14" x14ac:dyDescent="0.25">
      <c r="B41" s="9">
        <v>32</v>
      </c>
      <c r="C41" s="10" t="s">
        <v>22</v>
      </c>
      <c r="D41" s="11"/>
      <c r="E41" s="11" t="s">
        <v>125</v>
      </c>
      <c r="F41" s="12" t="s">
        <v>126</v>
      </c>
      <c r="G41" s="12" t="s">
        <v>127</v>
      </c>
      <c r="H41" s="13" t="s">
        <v>128</v>
      </c>
      <c r="I41" s="12"/>
      <c r="J41" s="12"/>
      <c r="K41" s="12"/>
      <c r="L41" s="12"/>
      <c r="M41" s="12"/>
      <c r="N41" s="14" t="s">
        <v>112</v>
      </c>
    </row>
    <row r="42" spans="2:14" x14ac:dyDescent="0.25">
      <c r="B42" s="9">
        <v>33</v>
      </c>
      <c r="C42" s="15" t="s">
        <v>29</v>
      </c>
      <c r="D42" s="11"/>
      <c r="E42" s="11"/>
      <c r="F42" s="12" t="s">
        <v>129</v>
      </c>
      <c r="G42" s="12" t="s">
        <v>130</v>
      </c>
      <c r="H42" s="13" t="s">
        <v>131</v>
      </c>
      <c r="I42" s="12"/>
      <c r="J42" s="12"/>
      <c r="K42" s="12"/>
      <c r="L42" s="12"/>
      <c r="M42" s="12"/>
      <c r="N42" s="14" t="s">
        <v>112</v>
      </c>
    </row>
    <row r="43" spans="2:14" x14ac:dyDescent="0.25">
      <c r="B43" s="9">
        <v>34</v>
      </c>
      <c r="C43" s="15" t="s">
        <v>29</v>
      </c>
      <c r="D43" s="11"/>
      <c r="E43" s="11"/>
      <c r="F43" s="12" t="s">
        <v>132</v>
      </c>
      <c r="G43" s="12" t="s">
        <v>133</v>
      </c>
      <c r="H43" s="13" t="s">
        <v>134</v>
      </c>
      <c r="I43" s="12"/>
      <c r="J43" s="12"/>
      <c r="K43" s="12"/>
      <c r="L43" s="12"/>
      <c r="M43" s="12"/>
      <c r="N43" s="14" t="s">
        <v>112</v>
      </c>
    </row>
    <row r="44" spans="2:14" x14ac:dyDescent="0.25">
      <c r="B44" s="9">
        <v>35</v>
      </c>
      <c r="C44" s="15" t="s">
        <v>29</v>
      </c>
      <c r="D44" s="11"/>
      <c r="E44" s="11"/>
      <c r="F44" s="12" t="s">
        <v>135</v>
      </c>
      <c r="G44" s="12" t="s">
        <v>136</v>
      </c>
      <c r="H44" s="13" t="s">
        <v>137</v>
      </c>
      <c r="I44" s="12"/>
      <c r="J44" s="12"/>
      <c r="K44" s="12"/>
      <c r="L44" s="12"/>
      <c r="M44" s="12"/>
      <c r="N44" s="14" t="s">
        <v>112</v>
      </c>
    </row>
    <row r="45" spans="2:14" x14ac:dyDescent="0.25">
      <c r="B45" s="9">
        <v>36</v>
      </c>
      <c r="C45" s="10" t="s">
        <v>22</v>
      </c>
      <c r="D45" s="11" t="s">
        <v>138</v>
      </c>
      <c r="E45" s="11" t="s">
        <v>139</v>
      </c>
      <c r="F45" s="12" t="s">
        <v>140</v>
      </c>
      <c r="G45" s="12" t="s">
        <v>141</v>
      </c>
      <c r="H45" s="13" t="s">
        <v>142</v>
      </c>
      <c r="I45" s="12"/>
      <c r="J45" s="12"/>
      <c r="K45" s="12"/>
      <c r="L45" s="12"/>
      <c r="M45" s="12"/>
      <c r="N45" s="14" t="s">
        <v>143</v>
      </c>
    </row>
    <row r="46" spans="2:14" x14ac:dyDescent="0.25">
      <c r="B46" s="9">
        <v>37</v>
      </c>
      <c r="C46" s="15" t="s">
        <v>29</v>
      </c>
      <c r="D46" s="11"/>
      <c r="E46" s="11"/>
      <c r="F46" s="12" t="s">
        <v>144</v>
      </c>
      <c r="G46" s="12" t="s">
        <v>145</v>
      </c>
      <c r="H46" s="13" t="s">
        <v>146</v>
      </c>
      <c r="I46" s="12"/>
      <c r="J46" s="12"/>
      <c r="K46" s="12"/>
      <c r="L46" s="12"/>
      <c r="M46" s="12"/>
      <c r="N46" s="14" t="s">
        <v>143</v>
      </c>
    </row>
    <row r="47" spans="2:14" x14ac:dyDescent="0.25">
      <c r="B47" s="9">
        <v>38</v>
      </c>
      <c r="C47" s="15" t="s">
        <v>29</v>
      </c>
      <c r="D47" s="11"/>
      <c r="E47" s="11"/>
      <c r="F47" s="12" t="s">
        <v>147</v>
      </c>
      <c r="G47" s="12" t="s">
        <v>148</v>
      </c>
      <c r="H47" s="13" t="s">
        <v>149</v>
      </c>
      <c r="I47" s="12"/>
      <c r="J47" s="12"/>
      <c r="K47" s="12"/>
      <c r="L47" s="12"/>
      <c r="M47" s="12"/>
      <c r="N47" s="14" t="s">
        <v>143</v>
      </c>
    </row>
    <row r="48" spans="2:14" x14ac:dyDescent="0.25">
      <c r="B48" s="9">
        <v>39</v>
      </c>
      <c r="C48" s="10" t="s">
        <v>22</v>
      </c>
      <c r="D48" s="11"/>
      <c r="E48" s="11" t="s">
        <v>150</v>
      </c>
      <c r="F48" s="12" t="s">
        <v>46</v>
      </c>
      <c r="G48" s="12" t="s">
        <v>26</v>
      </c>
      <c r="H48" s="13" t="s">
        <v>151</v>
      </c>
      <c r="I48" s="12"/>
      <c r="J48" s="12"/>
      <c r="K48" s="12"/>
      <c r="L48" s="12"/>
      <c r="M48" s="12"/>
      <c r="N48" s="14" t="s">
        <v>152</v>
      </c>
    </row>
    <row r="49" spans="2:14" x14ac:dyDescent="0.25">
      <c r="B49" s="9">
        <v>40</v>
      </c>
      <c r="C49" s="10" t="s">
        <v>22</v>
      </c>
      <c r="D49" s="11"/>
      <c r="E49" s="11"/>
      <c r="F49" s="12" t="s">
        <v>153</v>
      </c>
      <c r="G49" s="12" t="s">
        <v>154</v>
      </c>
      <c r="H49" s="13" t="s">
        <v>155</v>
      </c>
      <c r="I49" s="12"/>
      <c r="J49" s="12"/>
      <c r="K49" s="12"/>
      <c r="L49" s="12"/>
      <c r="M49" s="12"/>
      <c r="N49" s="14" t="s">
        <v>143</v>
      </c>
    </row>
    <row r="50" spans="2:14" x14ac:dyDescent="0.25">
      <c r="B50" s="9">
        <v>41</v>
      </c>
      <c r="C50" s="10" t="s">
        <v>22</v>
      </c>
      <c r="D50" s="11"/>
      <c r="E50" s="11"/>
      <c r="F50" s="12" t="s">
        <v>156</v>
      </c>
      <c r="G50" s="12" t="s">
        <v>157</v>
      </c>
      <c r="H50" s="13" t="s">
        <v>158</v>
      </c>
      <c r="I50" s="12"/>
      <c r="J50" s="12"/>
      <c r="K50" s="12"/>
      <c r="L50" s="12"/>
      <c r="M50" s="12"/>
      <c r="N50" s="14" t="s">
        <v>143</v>
      </c>
    </row>
    <row r="51" spans="2:14" x14ac:dyDescent="0.25">
      <c r="B51" s="9">
        <v>42</v>
      </c>
      <c r="C51" s="10" t="s">
        <v>22</v>
      </c>
      <c r="D51" s="11"/>
      <c r="E51" s="11"/>
      <c r="F51" s="12" t="s">
        <v>46</v>
      </c>
      <c r="G51" s="12" t="s">
        <v>159</v>
      </c>
      <c r="H51" s="13" t="s">
        <v>160</v>
      </c>
      <c r="I51" s="12"/>
      <c r="J51" s="12"/>
      <c r="K51" s="12"/>
      <c r="L51" s="12"/>
      <c r="M51" s="12"/>
      <c r="N51" s="14" t="s">
        <v>143</v>
      </c>
    </row>
    <row r="52" spans="2:14" x14ac:dyDescent="0.25">
      <c r="B52" s="9">
        <v>43</v>
      </c>
      <c r="C52" s="16" t="s">
        <v>61</v>
      </c>
      <c r="D52" s="11"/>
      <c r="E52" s="11" t="s">
        <v>161</v>
      </c>
      <c r="F52" s="11" t="s">
        <v>162</v>
      </c>
      <c r="G52" s="12" t="s">
        <v>163</v>
      </c>
      <c r="H52" s="13" t="s">
        <v>164</v>
      </c>
      <c r="I52" s="12"/>
      <c r="J52" s="12"/>
      <c r="K52" s="12"/>
      <c r="L52" s="12"/>
      <c r="M52" s="12"/>
      <c r="N52" s="14" t="s">
        <v>143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165</v>
      </c>
      <c r="H53" s="13" t="s">
        <v>166</v>
      </c>
      <c r="I53" s="12"/>
      <c r="J53" s="12"/>
      <c r="K53" s="12"/>
      <c r="L53" s="12"/>
      <c r="M53" s="12"/>
      <c r="N53" s="14" t="s">
        <v>143</v>
      </c>
    </row>
    <row r="54" spans="2:14" x14ac:dyDescent="0.25">
      <c r="B54" s="9">
        <v>45</v>
      </c>
      <c r="C54" s="15" t="s">
        <v>29</v>
      </c>
      <c r="D54" s="11"/>
      <c r="E54" s="11"/>
      <c r="F54" s="12" t="s">
        <v>167</v>
      </c>
      <c r="G54" s="12" t="s">
        <v>168</v>
      </c>
      <c r="H54" s="13" t="s">
        <v>169</v>
      </c>
      <c r="I54" s="12"/>
      <c r="J54" s="12"/>
      <c r="K54" s="12"/>
      <c r="L54" s="12"/>
      <c r="M54" s="12"/>
      <c r="N54" s="14" t="s">
        <v>170</v>
      </c>
    </row>
    <row r="55" spans="2:14" x14ac:dyDescent="0.25">
      <c r="B55" s="9">
        <v>46</v>
      </c>
      <c r="C55" s="10" t="s">
        <v>22</v>
      </c>
      <c r="D55" s="11" t="s">
        <v>171</v>
      </c>
      <c r="E55" s="11" t="s">
        <v>172</v>
      </c>
      <c r="F55" s="12" t="s">
        <v>173</v>
      </c>
      <c r="G55" s="12" t="s">
        <v>174</v>
      </c>
      <c r="H55" s="13" t="s">
        <v>175</v>
      </c>
      <c r="I55" s="12"/>
      <c r="J55" s="12"/>
      <c r="K55" s="12"/>
      <c r="L55" s="12"/>
      <c r="M55" s="12"/>
      <c r="N55" s="14" t="s">
        <v>176</v>
      </c>
    </row>
    <row r="56" spans="2:14" x14ac:dyDescent="0.25">
      <c r="B56" s="9">
        <v>47</v>
      </c>
      <c r="C56" s="10" t="s">
        <v>22</v>
      </c>
      <c r="D56" s="11"/>
      <c r="E56" s="11"/>
      <c r="F56" s="12" t="s">
        <v>177</v>
      </c>
      <c r="G56" s="12" t="s">
        <v>178</v>
      </c>
      <c r="H56" s="13" t="s">
        <v>179</v>
      </c>
      <c r="I56" s="12"/>
      <c r="J56" s="12"/>
      <c r="K56" s="12"/>
      <c r="L56" s="12"/>
      <c r="M56" s="12"/>
      <c r="N56" s="14" t="s">
        <v>176</v>
      </c>
    </row>
    <row r="57" spans="2:14" x14ac:dyDescent="0.25">
      <c r="B57" s="9">
        <v>48</v>
      </c>
      <c r="C57" s="10" t="s">
        <v>22</v>
      </c>
      <c r="D57" s="11"/>
      <c r="E57" s="11"/>
      <c r="F57" s="12" t="s">
        <v>180</v>
      </c>
      <c r="G57" s="12" t="s">
        <v>181</v>
      </c>
      <c r="H57" s="13" t="s">
        <v>182</v>
      </c>
      <c r="I57" s="12"/>
      <c r="J57" s="12"/>
      <c r="K57" s="12"/>
      <c r="L57" s="12"/>
      <c r="M57" s="12"/>
      <c r="N57" s="14" t="s">
        <v>176</v>
      </c>
    </row>
    <row r="58" spans="2:14" x14ac:dyDescent="0.25">
      <c r="B58" s="9">
        <v>49</v>
      </c>
      <c r="C58" s="15" t="s">
        <v>29</v>
      </c>
      <c r="D58" s="11"/>
      <c r="E58" s="11" t="s">
        <v>183</v>
      </c>
      <c r="F58" s="11" t="s">
        <v>184</v>
      </c>
      <c r="G58" s="12" t="s">
        <v>185</v>
      </c>
      <c r="H58" s="13" t="s">
        <v>186</v>
      </c>
      <c r="I58" s="12"/>
      <c r="J58" s="12"/>
      <c r="K58" s="12"/>
      <c r="L58" s="12"/>
      <c r="M58" s="12"/>
      <c r="N58" s="14" t="s">
        <v>187</v>
      </c>
    </row>
    <row r="59" spans="2:14" x14ac:dyDescent="0.25">
      <c r="B59" s="9">
        <v>50</v>
      </c>
      <c r="C59" s="15" t="s">
        <v>29</v>
      </c>
      <c r="D59" s="11"/>
      <c r="E59" s="11"/>
      <c r="F59" s="11"/>
      <c r="G59" s="12" t="s">
        <v>188</v>
      </c>
      <c r="H59" s="13" t="s">
        <v>189</v>
      </c>
      <c r="I59" s="12"/>
      <c r="J59" s="12"/>
      <c r="K59" s="12"/>
      <c r="L59" s="12"/>
      <c r="M59" s="12"/>
      <c r="N59" s="14" t="s">
        <v>190</v>
      </c>
    </row>
    <row r="60" spans="2:14" x14ac:dyDescent="0.25">
      <c r="B60" s="9">
        <v>51</v>
      </c>
      <c r="C60" s="10" t="s">
        <v>22</v>
      </c>
      <c r="D60" s="11"/>
      <c r="E60" s="11" t="s">
        <v>191</v>
      </c>
      <c r="F60" s="12" t="s">
        <v>192</v>
      </c>
      <c r="G60" s="12" t="s">
        <v>193</v>
      </c>
      <c r="H60" s="13" t="s">
        <v>194</v>
      </c>
      <c r="I60" s="12"/>
      <c r="J60" s="12"/>
      <c r="K60" s="12"/>
      <c r="L60" s="12"/>
      <c r="M60" s="12"/>
      <c r="N60" s="14" t="s">
        <v>195</v>
      </c>
    </row>
    <row r="61" spans="2:14" x14ac:dyDescent="0.25">
      <c r="B61" s="9">
        <v>52</v>
      </c>
      <c r="C61" s="10" t="s">
        <v>22</v>
      </c>
      <c r="D61" s="11"/>
      <c r="E61" s="11"/>
      <c r="F61" s="12" t="s">
        <v>196</v>
      </c>
      <c r="G61" s="12" t="s">
        <v>197</v>
      </c>
      <c r="H61" s="13" t="s">
        <v>198</v>
      </c>
      <c r="I61" s="12"/>
      <c r="J61" s="12"/>
      <c r="K61" s="12"/>
      <c r="L61" s="12"/>
      <c r="M61" s="12"/>
      <c r="N61" s="14" t="s">
        <v>176</v>
      </c>
    </row>
    <row r="62" spans="2:14" x14ac:dyDescent="0.25">
      <c r="B62" s="9">
        <v>53</v>
      </c>
      <c r="C62" s="10" t="s">
        <v>22</v>
      </c>
      <c r="D62" s="11"/>
      <c r="E62" s="11"/>
      <c r="F62" s="12" t="s">
        <v>199</v>
      </c>
      <c r="G62" s="12" t="s">
        <v>200</v>
      </c>
      <c r="H62" s="13" t="s">
        <v>201</v>
      </c>
      <c r="I62" s="12"/>
      <c r="J62" s="12"/>
      <c r="K62" s="12"/>
      <c r="L62" s="12"/>
      <c r="M62" s="12"/>
      <c r="N62" s="14" t="s">
        <v>176</v>
      </c>
    </row>
    <row r="63" spans="2:14" x14ac:dyDescent="0.25">
      <c r="B63" s="9">
        <v>54</v>
      </c>
      <c r="C63" s="15" t="s">
        <v>29</v>
      </c>
      <c r="D63" s="11"/>
      <c r="E63" s="11"/>
      <c r="F63" s="12" t="s">
        <v>202</v>
      </c>
      <c r="G63" s="12" t="s">
        <v>203</v>
      </c>
      <c r="H63" s="13" t="s">
        <v>204</v>
      </c>
      <c r="I63" s="12"/>
      <c r="J63" s="12"/>
      <c r="K63" s="12"/>
      <c r="L63" s="12"/>
      <c r="M63" s="12"/>
      <c r="N63" s="14" t="s">
        <v>176</v>
      </c>
    </row>
    <row r="64" spans="2:14" x14ac:dyDescent="0.25">
      <c r="B64" s="9">
        <v>55</v>
      </c>
      <c r="C64" s="16" t="s">
        <v>61</v>
      </c>
      <c r="D64" s="11"/>
      <c r="E64" s="11" t="s">
        <v>205</v>
      </c>
      <c r="F64" s="12" t="s">
        <v>206</v>
      </c>
      <c r="G64" s="12" t="s">
        <v>207</v>
      </c>
      <c r="H64" s="13" t="s">
        <v>208</v>
      </c>
      <c r="I64" s="12"/>
      <c r="J64" s="12"/>
      <c r="K64" s="12"/>
      <c r="L64" s="12"/>
      <c r="M64" s="12"/>
      <c r="N64" s="14" t="s">
        <v>209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210</v>
      </c>
      <c r="G65" s="12" t="s">
        <v>211</v>
      </c>
      <c r="H65" s="13" t="s">
        <v>212</v>
      </c>
      <c r="I65" s="12"/>
      <c r="J65" s="12"/>
      <c r="K65" s="12"/>
      <c r="L65" s="12"/>
      <c r="M65" s="12"/>
      <c r="N65" s="14" t="s">
        <v>176</v>
      </c>
    </row>
    <row r="66" spans="2:14" x14ac:dyDescent="0.25">
      <c r="B66" s="9">
        <v>57</v>
      </c>
      <c r="C66" s="16" t="s">
        <v>61</v>
      </c>
      <c r="D66" s="11"/>
      <c r="E66" s="11" t="s">
        <v>213</v>
      </c>
      <c r="F66" s="12" t="s">
        <v>206</v>
      </c>
      <c r="G66" s="12" t="s">
        <v>207</v>
      </c>
      <c r="H66" s="13" t="s">
        <v>214</v>
      </c>
      <c r="I66" s="12"/>
      <c r="J66" s="12"/>
      <c r="K66" s="12"/>
      <c r="L66" s="12"/>
      <c r="M66" s="12"/>
      <c r="N66" s="14" t="s">
        <v>190</v>
      </c>
    </row>
    <row r="67" spans="2:14" x14ac:dyDescent="0.25">
      <c r="B67" s="9">
        <v>58</v>
      </c>
      <c r="C67" s="10" t="s">
        <v>22</v>
      </c>
      <c r="D67" s="11"/>
      <c r="E67" s="11"/>
      <c r="F67" s="12" t="s">
        <v>215</v>
      </c>
      <c r="G67" s="12" t="s">
        <v>216</v>
      </c>
      <c r="H67" s="13" t="s">
        <v>217</v>
      </c>
      <c r="I67" s="12"/>
      <c r="J67" s="12"/>
      <c r="K67" s="12"/>
      <c r="L67" s="12"/>
      <c r="M67" s="12"/>
      <c r="N67" s="14" t="s">
        <v>218</v>
      </c>
    </row>
    <row r="68" spans="2:14" x14ac:dyDescent="0.25">
      <c r="B68" s="9">
        <v>59</v>
      </c>
      <c r="C68" s="10" t="s">
        <v>22</v>
      </c>
      <c r="D68" s="11"/>
      <c r="E68" s="11"/>
      <c r="F68" s="12" t="s">
        <v>210</v>
      </c>
      <c r="G68" s="12" t="s">
        <v>211</v>
      </c>
      <c r="H68" s="13" t="s">
        <v>219</v>
      </c>
      <c r="I68" s="12"/>
      <c r="J68" s="12"/>
      <c r="K68" s="12"/>
      <c r="L68" s="12"/>
      <c r="M68" s="12"/>
      <c r="N68" s="14" t="s">
        <v>176</v>
      </c>
    </row>
    <row r="69" spans="2:14" x14ac:dyDescent="0.25">
      <c r="B69" s="9">
        <v>60</v>
      </c>
      <c r="C69" s="10" t="s">
        <v>22</v>
      </c>
      <c r="D69" s="11"/>
      <c r="E69" s="11" t="s">
        <v>220</v>
      </c>
      <c r="F69" s="12" t="s">
        <v>221</v>
      </c>
      <c r="G69" s="12" t="s">
        <v>222</v>
      </c>
      <c r="H69" s="13" t="s">
        <v>223</v>
      </c>
      <c r="I69" s="12"/>
      <c r="J69" s="12"/>
      <c r="K69" s="12"/>
      <c r="L69" s="12"/>
      <c r="M69" s="12"/>
      <c r="N69" s="14" t="s">
        <v>176</v>
      </c>
    </row>
    <row r="70" spans="2:14" x14ac:dyDescent="0.25">
      <c r="B70" s="9">
        <v>61</v>
      </c>
      <c r="C70" s="15" t="s">
        <v>29</v>
      </c>
      <c r="D70" s="11"/>
      <c r="E70" s="11"/>
      <c r="F70" s="12" t="s">
        <v>224</v>
      </c>
      <c r="G70" s="12" t="s">
        <v>225</v>
      </c>
      <c r="H70" s="13" t="s">
        <v>226</v>
      </c>
      <c r="I70" s="12"/>
      <c r="J70" s="12"/>
      <c r="K70" s="12"/>
      <c r="L70" s="12"/>
      <c r="M70" s="12"/>
      <c r="N70" s="14" t="s">
        <v>176</v>
      </c>
    </row>
    <row r="71" spans="2:14" x14ac:dyDescent="0.25">
      <c r="B71" s="9">
        <v>62</v>
      </c>
      <c r="C71" s="15" t="s">
        <v>29</v>
      </c>
      <c r="D71" s="11"/>
      <c r="E71" s="12" t="s">
        <v>125</v>
      </c>
      <c r="F71" s="12" t="s">
        <v>227</v>
      </c>
      <c r="G71" s="12" t="s">
        <v>228</v>
      </c>
      <c r="H71" s="13" t="s">
        <v>229</v>
      </c>
      <c r="I71" s="12"/>
      <c r="J71" s="12"/>
      <c r="K71" s="12"/>
      <c r="L71" s="12"/>
      <c r="M71" s="12"/>
      <c r="N71" s="14" t="s">
        <v>230</v>
      </c>
    </row>
    <row r="72" spans="2:14" x14ac:dyDescent="0.25">
      <c r="B72" s="9">
        <v>63</v>
      </c>
      <c r="C72" s="15" t="s">
        <v>29</v>
      </c>
      <c r="D72" s="11" t="s">
        <v>231</v>
      </c>
      <c r="E72" s="11" t="s">
        <v>232</v>
      </c>
      <c r="F72" s="12" t="s">
        <v>233</v>
      </c>
      <c r="G72" s="12" t="s">
        <v>234</v>
      </c>
      <c r="H72" s="13" t="s">
        <v>235</v>
      </c>
      <c r="I72" s="12"/>
      <c r="J72" s="12"/>
      <c r="K72" s="12"/>
      <c r="L72" s="12"/>
      <c r="M72" s="12"/>
      <c r="N72" s="14" t="s">
        <v>236</v>
      </c>
    </row>
    <row r="73" spans="2:14" x14ac:dyDescent="0.25">
      <c r="B73" s="9">
        <v>64</v>
      </c>
      <c r="C73" s="10" t="s">
        <v>22</v>
      </c>
      <c r="D73" s="11"/>
      <c r="E73" s="11"/>
      <c r="F73" s="12" t="s">
        <v>77</v>
      </c>
      <c r="G73" s="12" t="s">
        <v>237</v>
      </c>
      <c r="H73" s="13" t="s">
        <v>238</v>
      </c>
      <c r="I73" s="12"/>
      <c r="J73" s="12"/>
      <c r="K73" s="12"/>
      <c r="L73" s="12"/>
      <c r="M73" s="12"/>
      <c r="N73" s="14" t="s">
        <v>239</v>
      </c>
    </row>
    <row r="74" spans="2:14" x14ac:dyDescent="0.25">
      <c r="B74" s="9">
        <v>65</v>
      </c>
      <c r="C74" s="15" t="s">
        <v>29</v>
      </c>
      <c r="D74" s="11"/>
      <c r="E74" s="11" t="s">
        <v>240</v>
      </c>
      <c r="F74" s="11" t="s">
        <v>241</v>
      </c>
      <c r="G74" s="12" t="s">
        <v>242</v>
      </c>
      <c r="H74" s="13" t="s">
        <v>243</v>
      </c>
      <c r="I74" s="12"/>
      <c r="J74" s="12"/>
      <c r="K74" s="12"/>
      <c r="L74" s="12"/>
      <c r="M74" s="12"/>
      <c r="N74" s="14" t="s">
        <v>244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245</v>
      </c>
      <c r="H75" s="13" t="s">
        <v>246</v>
      </c>
      <c r="I75" s="12"/>
      <c r="J75" s="12"/>
      <c r="K75" s="12"/>
      <c r="L75" s="12"/>
      <c r="M75" s="12"/>
      <c r="N75" s="14" t="s">
        <v>244</v>
      </c>
    </row>
    <row r="76" spans="2:14" x14ac:dyDescent="0.25">
      <c r="B76" s="9">
        <v>67</v>
      </c>
      <c r="C76" s="16" t="s">
        <v>61</v>
      </c>
      <c r="D76" s="11"/>
      <c r="E76" s="11"/>
      <c r="F76" s="11"/>
      <c r="G76" s="12" t="s">
        <v>247</v>
      </c>
      <c r="H76" s="13" t="s">
        <v>248</v>
      </c>
      <c r="I76" s="12"/>
      <c r="J76" s="12"/>
      <c r="K76" s="12"/>
      <c r="L76" s="12"/>
      <c r="M76" s="12"/>
      <c r="N76" s="14" t="s">
        <v>244</v>
      </c>
    </row>
    <row r="77" spans="2:14" x14ac:dyDescent="0.25">
      <c r="B77" s="9">
        <v>68</v>
      </c>
      <c r="C77" s="16" t="s">
        <v>61</v>
      </c>
      <c r="D77" s="11"/>
      <c r="E77" s="11"/>
      <c r="F77" s="11"/>
      <c r="G77" s="12" t="s">
        <v>249</v>
      </c>
      <c r="H77" s="13" t="s">
        <v>250</v>
      </c>
      <c r="I77" s="12"/>
      <c r="J77" s="12"/>
      <c r="K77" s="12"/>
      <c r="L77" s="12"/>
      <c r="M77" s="12"/>
      <c r="N77" s="14" t="s">
        <v>244</v>
      </c>
    </row>
    <row r="78" spans="2:14" x14ac:dyDescent="0.25">
      <c r="B78" s="9">
        <v>69</v>
      </c>
      <c r="C78" s="15" t="s">
        <v>29</v>
      </c>
      <c r="D78" s="11"/>
      <c r="E78" s="11"/>
      <c r="F78" s="11"/>
      <c r="G78" s="12" t="s">
        <v>251</v>
      </c>
      <c r="H78" s="13" t="s">
        <v>252</v>
      </c>
      <c r="I78" s="12"/>
      <c r="J78" s="12"/>
      <c r="K78" s="12"/>
      <c r="L78" s="12"/>
      <c r="M78" s="12"/>
      <c r="N78" s="14" t="s">
        <v>244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253</v>
      </c>
      <c r="H79" s="13" t="s">
        <v>254</v>
      </c>
      <c r="I79" s="12"/>
      <c r="J79" s="12"/>
      <c r="K79" s="12"/>
      <c r="L79" s="12"/>
      <c r="M79" s="12"/>
      <c r="N79" s="14" t="s">
        <v>244</v>
      </c>
    </row>
    <row r="80" spans="2:14" x14ac:dyDescent="0.25">
      <c r="B80" s="9">
        <v>71</v>
      </c>
      <c r="C80" s="15" t="s">
        <v>29</v>
      </c>
      <c r="D80" s="11"/>
      <c r="E80" s="11"/>
      <c r="F80" s="11" t="s">
        <v>255</v>
      </c>
      <c r="G80" s="12" t="s">
        <v>242</v>
      </c>
      <c r="H80" s="13" t="s">
        <v>256</v>
      </c>
      <c r="I80" s="12"/>
      <c r="J80" s="12"/>
      <c r="K80" s="12"/>
      <c r="L80" s="12"/>
      <c r="M80" s="12"/>
      <c r="N80" s="14" t="s">
        <v>257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245</v>
      </c>
      <c r="H81" s="13" t="s">
        <v>258</v>
      </c>
      <c r="I81" s="12"/>
      <c r="J81" s="12"/>
      <c r="K81" s="12"/>
      <c r="L81" s="12"/>
      <c r="M81" s="12"/>
      <c r="N81" s="14" t="s">
        <v>257</v>
      </c>
    </row>
    <row r="82" spans="2:14" x14ac:dyDescent="0.25">
      <c r="B82" s="9">
        <v>73</v>
      </c>
      <c r="C82" s="16" t="s">
        <v>61</v>
      </c>
      <c r="D82" s="11"/>
      <c r="E82" s="11"/>
      <c r="F82" s="11"/>
      <c r="G82" s="12" t="s">
        <v>247</v>
      </c>
      <c r="H82" s="13" t="s">
        <v>259</v>
      </c>
      <c r="I82" s="12"/>
      <c r="J82" s="12"/>
      <c r="K82" s="12"/>
      <c r="L82" s="12"/>
      <c r="M82" s="12"/>
      <c r="N82" s="14" t="s">
        <v>257</v>
      </c>
    </row>
    <row r="83" spans="2:14" x14ac:dyDescent="0.25">
      <c r="B83" s="9">
        <v>74</v>
      </c>
      <c r="C83" s="15" t="s">
        <v>29</v>
      </c>
      <c r="D83" s="11"/>
      <c r="E83" s="11"/>
      <c r="F83" s="11"/>
      <c r="G83" s="12" t="s">
        <v>251</v>
      </c>
      <c r="H83" s="13" t="s">
        <v>260</v>
      </c>
      <c r="I83" s="12"/>
      <c r="J83" s="12"/>
      <c r="K83" s="12"/>
      <c r="L83" s="12"/>
      <c r="M83" s="12"/>
      <c r="N83" s="14" t="s">
        <v>257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253</v>
      </c>
      <c r="H84" s="13" t="s">
        <v>254</v>
      </c>
      <c r="I84" s="12"/>
      <c r="J84" s="12"/>
      <c r="K84" s="12"/>
      <c r="L84" s="12"/>
      <c r="M84" s="12"/>
      <c r="N84" s="14" t="s">
        <v>257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261</v>
      </c>
      <c r="H85" s="13" t="s">
        <v>262</v>
      </c>
      <c r="I85" s="12"/>
      <c r="J85" s="12"/>
      <c r="K85" s="12"/>
      <c r="L85" s="12"/>
      <c r="M85" s="12"/>
      <c r="N85" s="14" t="s">
        <v>263</v>
      </c>
    </row>
    <row r="86" spans="2:14" x14ac:dyDescent="0.25">
      <c r="B86" s="9">
        <v>77</v>
      </c>
      <c r="C86" s="10" t="s">
        <v>22</v>
      </c>
      <c r="D86" s="11"/>
      <c r="E86" s="11"/>
      <c r="F86" s="11" t="s">
        <v>264</v>
      </c>
      <c r="G86" s="12" t="s">
        <v>265</v>
      </c>
      <c r="H86" s="13" t="s">
        <v>266</v>
      </c>
      <c r="I86" s="12"/>
      <c r="J86" s="12"/>
      <c r="K86" s="12"/>
      <c r="L86" s="12"/>
      <c r="M86" s="12"/>
      <c r="N86" s="14" t="s">
        <v>267</v>
      </c>
    </row>
    <row r="87" spans="2:14" x14ac:dyDescent="0.25">
      <c r="B87" s="9">
        <v>78</v>
      </c>
      <c r="C87" s="10" t="s">
        <v>22</v>
      </c>
      <c r="D87" s="11"/>
      <c r="E87" s="11"/>
      <c r="F87" s="11"/>
      <c r="G87" s="12" t="s">
        <v>268</v>
      </c>
      <c r="H87" s="13" t="s">
        <v>269</v>
      </c>
      <c r="I87" s="12"/>
      <c r="J87" s="12"/>
      <c r="K87" s="12"/>
      <c r="L87" s="12"/>
      <c r="M87" s="12"/>
      <c r="N87" s="14" t="s">
        <v>267</v>
      </c>
    </row>
    <row r="88" spans="2:14" x14ac:dyDescent="0.25">
      <c r="B88" s="9">
        <v>79</v>
      </c>
      <c r="C88" s="15" t="s">
        <v>29</v>
      </c>
      <c r="D88" s="11"/>
      <c r="E88" s="11" t="s">
        <v>270</v>
      </c>
      <c r="F88" s="11" t="s">
        <v>271</v>
      </c>
      <c r="G88" s="12" t="s">
        <v>272</v>
      </c>
      <c r="H88" s="13" t="s">
        <v>273</v>
      </c>
      <c r="I88" s="12"/>
      <c r="J88" s="12"/>
      <c r="K88" s="12"/>
      <c r="L88" s="12"/>
      <c r="M88" s="12"/>
      <c r="N88" s="14" t="s">
        <v>274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197</v>
      </c>
      <c r="H89" s="13" t="s">
        <v>275</v>
      </c>
      <c r="I89" s="12"/>
      <c r="J89" s="12"/>
      <c r="K89" s="12"/>
      <c r="L89" s="12"/>
      <c r="M89" s="12"/>
      <c r="N89" s="14" t="s">
        <v>276</v>
      </c>
    </row>
    <row r="90" spans="2:14" x14ac:dyDescent="0.25">
      <c r="B90" s="9">
        <v>81</v>
      </c>
      <c r="C90" s="16" t="s">
        <v>61</v>
      </c>
      <c r="D90" s="11"/>
      <c r="E90" s="11"/>
      <c r="F90" s="11"/>
      <c r="G90" s="12" t="s">
        <v>277</v>
      </c>
      <c r="H90" s="13" t="s">
        <v>278</v>
      </c>
      <c r="I90" s="12"/>
      <c r="J90" s="12"/>
      <c r="K90" s="12"/>
      <c r="L90" s="12"/>
      <c r="M90" s="12"/>
      <c r="N90" s="14" t="s">
        <v>276</v>
      </c>
    </row>
    <row r="91" spans="2:14" x14ac:dyDescent="0.25">
      <c r="B91" s="9">
        <v>82</v>
      </c>
      <c r="C91" s="10" t="s">
        <v>22</v>
      </c>
      <c r="D91" s="11"/>
      <c r="E91" s="11"/>
      <c r="F91" s="11" t="s">
        <v>279</v>
      </c>
      <c r="G91" s="12" t="s">
        <v>280</v>
      </c>
      <c r="H91" s="13" t="s">
        <v>281</v>
      </c>
      <c r="I91" s="12"/>
      <c r="J91" s="12"/>
      <c r="K91" s="12"/>
      <c r="L91" s="12"/>
      <c r="M91" s="12"/>
      <c r="N91" s="14" t="s">
        <v>282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283</v>
      </c>
      <c r="H92" s="13" t="s">
        <v>284</v>
      </c>
      <c r="I92" s="12"/>
      <c r="J92" s="12"/>
      <c r="K92" s="12"/>
      <c r="L92" s="12"/>
      <c r="M92" s="12"/>
      <c r="N92" s="14" t="s">
        <v>282</v>
      </c>
    </row>
    <row r="93" spans="2:14" x14ac:dyDescent="0.25">
      <c r="B93" s="9">
        <v>84</v>
      </c>
      <c r="C93" s="16" t="s">
        <v>61</v>
      </c>
      <c r="D93" s="11"/>
      <c r="E93" s="11"/>
      <c r="F93" s="11"/>
      <c r="G93" s="12" t="s">
        <v>285</v>
      </c>
      <c r="H93" s="13" t="s">
        <v>286</v>
      </c>
      <c r="I93" s="12"/>
      <c r="J93" s="12"/>
      <c r="K93" s="12"/>
      <c r="L93" s="12"/>
      <c r="M93" s="12"/>
      <c r="N93" s="14" t="s">
        <v>282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287</v>
      </c>
      <c r="H94" s="13" t="s">
        <v>288</v>
      </c>
      <c r="I94" s="12"/>
      <c r="J94" s="12"/>
      <c r="K94" s="12"/>
      <c r="L94" s="12"/>
      <c r="M94" s="12"/>
      <c r="N94" s="14" t="s">
        <v>282</v>
      </c>
    </row>
    <row r="95" spans="2:14" x14ac:dyDescent="0.25">
      <c r="B95" s="9">
        <v>86</v>
      </c>
      <c r="C95" s="10" t="s">
        <v>22</v>
      </c>
      <c r="D95" s="11"/>
      <c r="E95" s="11"/>
      <c r="F95" s="12" t="s">
        <v>289</v>
      </c>
      <c r="G95" s="12" t="s">
        <v>290</v>
      </c>
      <c r="H95" s="13" t="s">
        <v>291</v>
      </c>
      <c r="I95" s="12"/>
      <c r="J95" s="12"/>
      <c r="K95" s="12"/>
      <c r="L95" s="12"/>
      <c r="M95" s="12"/>
      <c r="N95" s="14" t="s">
        <v>292</v>
      </c>
    </row>
    <row r="96" spans="2:14" x14ac:dyDescent="0.25">
      <c r="B96" s="9">
        <v>87</v>
      </c>
      <c r="C96" s="15" t="s">
        <v>29</v>
      </c>
      <c r="D96" s="11"/>
      <c r="E96" s="11" t="s">
        <v>125</v>
      </c>
      <c r="F96" s="12" t="s">
        <v>293</v>
      </c>
      <c r="G96" s="12" t="s">
        <v>294</v>
      </c>
      <c r="H96" s="13" t="s">
        <v>295</v>
      </c>
      <c r="I96" s="12"/>
      <c r="J96" s="12"/>
      <c r="K96" s="12"/>
      <c r="L96" s="12"/>
      <c r="M96" s="12"/>
      <c r="N96" s="14" t="s">
        <v>267</v>
      </c>
    </row>
    <row r="97" spans="2:14" x14ac:dyDescent="0.25">
      <c r="B97" s="9">
        <v>88</v>
      </c>
      <c r="C97" s="15" t="s">
        <v>29</v>
      </c>
      <c r="D97" s="11"/>
      <c r="E97" s="11"/>
      <c r="F97" s="12" t="s">
        <v>296</v>
      </c>
      <c r="G97" s="12" t="s">
        <v>297</v>
      </c>
      <c r="H97" s="13" t="s">
        <v>298</v>
      </c>
      <c r="I97" s="12"/>
      <c r="J97" s="12"/>
      <c r="K97" s="12"/>
      <c r="L97" s="12"/>
      <c r="M97" s="12"/>
      <c r="N97" s="14" t="s">
        <v>267</v>
      </c>
    </row>
    <row r="98" spans="2:14" x14ac:dyDescent="0.25">
      <c r="B98" s="9">
        <v>89</v>
      </c>
      <c r="C98" s="15" t="s">
        <v>29</v>
      </c>
      <c r="D98" s="11"/>
      <c r="E98" s="11"/>
      <c r="F98" s="12" t="s">
        <v>299</v>
      </c>
      <c r="G98" s="12" t="s">
        <v>300</v>
      </c>
      <c r="H98" s="13" t="s">
        <v>301</v>
      </c>
      <c r="I98" s="12"/>
      <c r="J98" s="12"/>
      <c r="K98" s="12"/>
      <c r="L98" s="12"/>
      <c r="M98" s="12"/>
      <c r="N98" s="14" t="s">
        <v>302</v>
      </c>
    </row>
    <row r="99" spans="2:14" x14ac:dyDescent="0.25">
      <c r="B99" s="9">
        <v>90</v>
      </c>
      <c r="C99" s="15" t="s">
        <v>29</v>
      </c>
      <c r="D99" s="11" t="s">
        <v>303</v>
      </c>
      <c r="E99" s="11" t="s">
        <v>304</v>
      </c>
      <c r="F99" s="12" t="s">
        <v>305</v>
      </c>
      <c r="G99" s="12" t="s">
        <v>306</v>
      </c>
      <c r="H99" s="13" t="s">
        <v>307</v>
      </c>
      <c r="I99" s="12"/>
      <c r="J99" s="12"/>
      <c r="K99" s="12"/>
      <c r="L99" s="12"/>
      <c r="M99" s="12"/>
      <c r="N99" s="14" t="s">
        <v>308</v>
      </c>
    </row>
    <row r="100" spans="2:14" x14ac:dyDescent="0.25">
      <c r="B100" s="9">
        <v>91</v>
      </c>
      <c r="C100" s="10" t="s">
        <v>22</v>
      </c>
      <c r="D100" s="11"/>
      <c r="E100" s="11"/>
      <c r="F100" s="11" t="s">
        <v>309</v>
      </c>
      <c r="G100" s="12" t="s">
        <v>310</v>
      </c>
      <c r="H100" s="13" t="s">
        <v>311</v>
      </c>
      <c r="I100" s="12"/>
      <c r="J100" s="12"/>
      <c r="K100" s="12"/>
      <c r="L100" s="12"/>
      <c r="M100" s="12"/>
      <c r="N100" s="14" t="s">
        <v>312</v>
      </c>
    </row>
    <row r="101" spans="2:14" x14ac:dyDescent="0.25">
      <c r="B101" s="9">
        <v>92</v>
      </c>
      <c r="C101" s="15" t="s">
        <v>29</v>
      </c>
      <c r="D101" s="11"/>
      <c r="E101" s="11"/>
      <c r="F101" s="11"/>
      <c r="G101" s="12" t="s">
        <v>313</v>
      </c>
      <c r="H101" s="13" t="s">
        <v>314</v>
      </c>
      <c r="I101" s="12"/>
      <c r="J101" s="12"/>
      <c r="K101" s="12"/>
      <c r="L101" s="12"/>
      <c r="M101" s="12"/>
      <c r="N101" s="14" t="s">
        <v>312</v>
      </c>
    </row>
    <row r="102" spans="2:14" x14ac:dyDescent="0.25">
      <c r="B102" s="9">
        <v>93</v>
      </c>
      <c r="C102" s="10" t="s">
        <v>22</v>
      </c>
      <c r="D102" s="11"/>
      <c r="E102" s="11" t="s">
        <v>315</v>
      </c>
      <c r="F102" s="12" t="s">
        <v>316</v>
      </c>
      <c r="G102" s="12" t="s">
        <v>317</v>
      </c>
      <c r="H102" s="13" t="s">
        <v>318</v>
      </c>
      <c r="I102" s="12"/>
      <c r="J102" s="12"/>
      <c r="K102" s="12"/>
      <c r="L102" s="12"/>
      <c r="M102" s="12"/>
      <c r="N102" s="14" t="s">
        <v>319</v>
      </c>
    </row>
    <row r="103" spans="2:14" x14ac:dyDescent="0.25">
      <c r="B103" s="9">
        <v>94</v>
      </c>
      <c r="C103" s="15" t="s">
        <v>29</v>
      </c>
      <c r="D103" s="11"/>
      <c r="E103" s="11"/>
      <c r="F103" s="11" t="s">
        <v>320</v>
      </c>
      <c r="G103" s="12" t="s">
        <v>321</v>
      </c>
      <c r="H103" s="13" t="s">
        <v>322</v>
      </c>
      <c r="I103" s="12"/>
      <c r="J103" s="12"/>
      <c r="K103" s="12"/>
      <c r="L103" s="12"/>
      <c r="M103" s="12"/>
      <c r="N103" s="14" t="s">
        <v>319</v>
      </c>
    </row>
    <row r="104" spans="2:14" x14ac:dyDescent="0.25">
      <c r="B104" s="9">
        <v>95</v>
      </c>
      <c r="C104" s="10" t="s">
        <v>22</v>
      </c>
      <c r="D104" s="11"/>
      <c r="E104" s="11"/>
      <c r="F104" s="11"/>
      <c r="G104" s="12" t="s">
        <v>323</v>
      </c>
      <c r="H104" s="13" t="s">
        <v>324</v>
      </c>
      <c r="I104" s="12"/>
      <c r="J104" s="12"/>
      <c r="K104" s="12"/>
      <c r="L104" s="12"/>
      <c r="M104" s="12"/>
      <c r="N104" s="14" t="s">
        <v>319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325</v>
      </c>
      <c r="H105" s="13" t="s">
        <v>326</v>
      </c>
      <c r="I105" s="12"/>
      <c r="J105" s="12"/>
      <c r="K105" s="12"/>
      <c r="L105" s="12"/>
      <c r="M105" s="12"/>
      <c r="N105" s="14" t="s">
        <v>319</v>
      </c>
    </row>
    <row r="106" spans="2:14" x14ac:dyDescent="0.25">
      <c r="B106" s="9">
        <v>97</v>
      </c>
      <c r="C106" s="15" t="s">
        <v>29</v>
      </c>
      <c r="D106" s="11"/>
      <c r="E106" s="11"/>
      <c r="F106" s="11" t="s">
        <v>327</v>
      </c>
      <c r="G106" s="12" t="s">
        <v>328</v>
      </c>
      <c r="H106" s="13" t="s">
        <v>329</v>
      </c>
      <c r="I106" s="12"/>
      <c r="J106" s="12"/>
      <c r="K106" s="12"/>
      <c r="L106" s="12"/>
      <c r="M106" s="12"/>
      <c r="N106" s="14" t="s">
        <v>319</v>
      </c>
    </row>
    <row r="107" spans="2:14" x14ac:dyDescent="0.25">
      <c r="B107" s="9">
        <v>98</v>
      </c>
      <c r="C107" s="10" t="s">
        <v>22</v>
      </c>
      <c r="D107" s="11"/>
      <c r="E107" s="11"/>
      <c r="F107" s="11"/>
      <c r="G107" s="12" t="s">
        <v>330</v>
      </c>
      <c r="H107" s="13" t="s">
        <v>331</v>
      </c>
      <c r="I107" s="12"/>
      <c r="J107" s="12"/>
      <c r="K107" s="12"/>
      <c r="L107" s="12"/>
      <c r="M107" s="12"/>
      <c r="N107" s="14" t="s">
        <v>332</v>
      </c>
    </row>
    <row r="108" spans="2:14" x14ac:dyDescent="0.25">
      <c r="B108" s="9">
        <v>99</v>
      </c>
      <c r="C108" s="10" t="s">
        <v>22</v>
      </c>
      <c r="D108" s="11"/>
      <c r="E108" s="11"/>
      <c r="F108" s="11"/>
      <c r="G108" s="12" t="s">
        <v>333</v>
      </c>
      <c r="H108" s="13" t="s">
        <v>334</v>
      </c>
      <c r="I108" s="12"/>
      <c r="J108" s="12"/>
      <c r="K108" s="12"/>
      <c r="L108" s="12"/>
      <c r="M108" s="12"/>
      <c r="N108" s="14" t="s">
        <v>319</v>
      </c>
    </row>
    <row r="109" spans="2:14" x14ac:dyDescent="0.25">
      <c r="B109" s="9">
        <v>100</v>
      </c>
      <c r="C109" s="10" t="s">
        <v>22</v>
      </c>
      <c r="D109" s="11"/>
      <c r="E109" s="11"/>
      <c r="F109" s="11"/>
      <c r="G109" s="12" t="s">
        <v>335</v>
      </c>
      <c r="H109" s="13" t="s">
        <v>336</v>
      </c>
      <c r="I109" s="12"/>
      <c r="J109" s="12"/>
      <c r="K109" s="12"/>
      <c r="L109" s="12"/>
      <c r="M109" s="12"/>
      <c r="N109" s="14" t="s">
        <v>337</v>
      </c>
    </row>
    <row r="110" spans="2:14" x14ac:dyDescent="0.25">
      <c r="B110" s="9">
        <v>101</v>
      </c>
      <c r="C110" s="10" t="s">
        <v>22</v>
      </c>
      <c r="D110" s="11"/>
      <c r="E110" s="11"/>
      <c r="F110" s="11"/>
      <c r="G110" s="12" t="s">
        <v>338</v>
      </c>
      <c r="H110" s="13" t="s">
        <v>339</v>
      </c>
      <c r="I110" s="12"/>
      <c r="J110" s="12"/>
      <c r="K110" s="12"/>
      <c r="L110" s="12"/>
      <c r="M110" s="12"/>
      <c r="N110" s="14" t="s">
        <v>337</v>
      </c>
    </row>
    <row r="111" spans="2:14" x14ac:dyDescent="0.25">
      <c r="B111" s="9">
        <v>102</v>
      </c>
      <c r="C111" s="10" t="s">
        <v>22</v>
      </c>
      <c r="D111" s="11"/>
      <c r="E111" s="11"/>
      <c r="F111" s="11" t="s">
        <v>340</v>
      </c>
      <c r="G111" s="12" t="s">
        <v>26</v>
      </c>
      <c r="H111" s="13" t="s">
        <v>341</v>
      </c>
      <c r="I111" s="12"/>
      <c r="J111" s="12"/>
      <c r="K111" s="12"/>
      <c r="L111" s="12"/>
      <c r="M111" s="12"/>
      <c r="N111" s="14" t="s">
        <v>337</v>
      </c>
    </row>
    <row r="112" spans="2:14" x14ac:dyDescent="0.25">
      <c r="B112" s="9">
        <v>103</v>
      </c>
      <c r="C112" s="16" t="s">
        <v>61</v>
      </c>
      <c r="D112" s="11"/>
      <c r="E112" s="11"/>
      <c r="F112" s="11"/>
      <c r="G112" s="12" t="s">
        <v>342</v>
      </c>
      <c r="H112" s="13" t="s">
        <v>343</v>
      </c>
      <c r="I112" s="12"/>
      <c r="J112" s="12"/>
      <c r="K112" s="12"/>
      <c r="L112" s="12"/>
      <c r="M112" s="12"/>
      <c r="N112" s="14" t="s">
        <v>337</v>
      </c>
    </row>
    <row r="113" spans="2:14" x14ac:dyDescent="0.25">
      <c r="B113" s="9">
        <v>104</v>
      </c>
      <c r="C113" s="15" t="s">
        <v>29</v>
      </c>
      <c r="D113" s="11"/>
      <c r="E113" s="11"/>
      <c r="F113" s="11"/>
      <c r="G113" s="12" t="s">
        <v>344</v>
      </c>
      <c r="H113" s="13" t="s">
        <v>345</v>
      </c>
      <c r="I113" s="12"/>
      <c r="J113" s="12"/>
      <c r="K113" s="12"/>
      <c r="L113" s="12"/>
      <c r="M113" s="12"/>
      <c r="N113" s="14" t="s">
        <v>337</v>
      </c>
    </row>
    <row r="114" spans="2:14" x14ac:dyDescent="0.25">
      <c r="B114" s="9">
        <v>105</v>
      </c>
      <c r="C114" s="16" t="s">
        <v>61</v>
      </c>
      <c r="D114" s="11"/>
      <c r="E114" s="11"/>
      <c r="F114" s="11" t="s">
        <v>346</v>
      </c>
      <c r="G114" s="12" t="s">
        <v>347</v>
      </c>
      <c r="H114" s="13" t="s">
        <v>348</v>
      </c>
      <c r="I114" s="12"/>
      <c r="J114" s="12"/>
      <c r="K114" s="12"/>
      <c r="L114" s="12"/>
      <c r="M114" s="12"/>
      <c r="N114" s="14" t="s">
        <v>337</v>
      </c>
    </row>
    <row r="115" spans="2:14" x14ac:dyDescent="0.25">
      <c r="B115" s="9">
        <v>106</v>
      </c>
      <c r="C115" s="16" t="s">
        <v>61</v>
      </c>
      <c r="D115" s="11"/>
      <c r="E115" s="11"/>
      <c r="F115" s="11"/>
      <c r="G115" s="12" t="s">
        <v>349</v>
      </c>
      <c r="H115" s="13" t="s">
        <v>350</v>
      </c>
      <c r="I115" s="12"/>
      <c r="J115" s="12"/>
      <c r="K115" s="12"/>
      <c r="L115" s="12"/>
      <c r="M115" s="12"/>
      <c r="N115" s="14" t="s">
        <v>337</v>
      </c>
    </row>
    <row r="116" spans="2:14" x14ac:dyDescent="0.25">
      <c r="B116" s="9">
        <v>107</v>
      </c>
      <c r="C116" s="10" t="s">
        <v>22</v>
      </c>
      <c r="D116" s="11"/>
      <c r="E116" s="11" t="s">
        <v>351</v>
      </c>
      <c r="F116" s="12" t="s">
        <v>352</v>
      </c>
      <c r="G116" s="12" t="s">
        <v>26</v>
      </c>
      <c r="H116" s="13" t="s">
        <v>353</v>
      </c>
      <c r="I116" s="12"/>
      <c r="J116" s="12"/>
      <c r="K116" s="12"/>
      <c r="L116" s="12"/>
      <c r="M116" s="12"/>
      <c r="N116" s="14" t="s">
        <v>354</v>
      </c>
    </row>
    <row r="117" spans="2:14" x14ac:dyDescent="0.25">
      <c r="B117" s="9">
        <v>108</v>
      </c>
      <c r="C117" s="15" t="s">
        <v>29</v>
      </c>
      <c r="D117" s="11"/>
      <c r="E117" s="11"/>
      <c r="F117" s="12" t="s">
        <v>355</v>
      </c>
      <c r="G117" s="12" t="s">
        <v>356</v>
      </c>
      <c r="H117" s="13" t="s">
        <v>357</v>
      </c>
      <c r="I117" s="12"/>
      <c r="J117" s="12"/>
      <c r="K117" s="12"/>
      <c r="L117" s="12"/>
      <c r="M117" s="12"/>
      <c r="N117" s="14" t="s">
        <v>354</v>
      </c>
    </row>
    <row r="118" spans="2:14" x14ac:dyDescent="0.25">
      <c r="B118" s="9">
        <v>109</v>
      </c>
      <c r="C118" s="10" t="s">
        <v>22</v>
      </c>
      <c r="D118" s="11"/>
      <c r="E118" s="11"/>
      <c r="F118" s="11" t="s">
        <v>358</v>
      </c>
      <c r="G118" s="12" t="s">
        <v>283</v>
      </c>
      <c r="H118" s="13" t="s">
        <v>359</v>
      </c>
      <c r="I118" s="12"/>
      <c r="J118" s="12"/>
      <c r="K118" s="12"/>
      <c r="L118" s="12"/>
      <c r="M118" s="12"/>
      <c r="N118" s="14" t="s">
        <v>354</v>
      </c>
    </row>
    <row r="119" spans="2:14" x14ac:dyDescent="0.25">
      <c r="B119" s="9">
        <v>110</v>
      </c>
      <c r="C119" s="15" t="s">
        <v>29</v>
      </c>
      <c r="D119" s="11"/>
      <c r="E119" s="11"/>
      <c r="F119" s="11"/>
      <c r="G119" s="12" t="s">
        <v>360</v>
      </c>
      <c r="H119" s="13" t="s">
        <v>357</v>
      </c>
      <c r="I119" s="12"/>
      <c r="J119" s="12"/>
      <c r="K119" s="12"/>
      <c r="L119" s="12"/>
      <c r="M119" s="12"/>
      <c r="N119" s="14" t="s">
        <v>354</v>
      </c>
    </row>
    <row r="120" spans="2:14" x14ac:dyDescent="0.25">
      <c r="B120" s="9">
        <v>111</v>
      </c>
      <c r="C120" s="10" t="s">
        <v>22</v>
      </c>
      <c r="D120" s="11"/>
      <c r="E120" s="11"/>
      <c r="F120" s="11" t="s">
        <v>361</v>
      </c>
      <c r="G120" s="12" t="s">
        <v>283</v>
      </c>
      <c r="H120" s="13" t="s">
        <v>362</v>
      </c>
      <c r="I120" s="12"/>
      <c r="J120" s="12"/>
      <c r="K120" s="12"/>
      <c r="L120" s="12"/>
      <c r="M120" s="12"/>
      <c r="N120" s="14" t="s">
        <v>354</v>
      </c>
    </row>
    <row r="121" spans="2:14" x14ac:dyDescent="0.25">
      <c r="B121" s="9">
        <v>112</v>
      </c>
      <c r="C121" s="15" t="s">
        <v>29</v>
      </c>
      <c r="D121" s="11"/>
      <c r="E121" s="11"/>
      <c r="F121" s="11"/>
      <c r="G121" s="12" t="s">
        <v>360</v>
      </c>
      <c r="H121" s="13" t="s">
        <v>357</v>
      </c>
      <c r="I121" s="12"/>
      <c r="J121" s="12"/>
      <c r="K121" s="12"/>
      <c r="L121" s="12"/>
      <c r="M121" s="12"/>
      <c r="N121" s="14" t="s">
        <v>354</v>
      </c>
    </row>
    <row r="122" spans="2:14" x14ac:dyDescent="0.25">
      <c r="B122" s="9">
        <v>113</v>
      </c>
      <c r="C122" s="10" t="s">
        <v>22</v>
      </c>
      <c r="D122" s="11"/>
      <c r="E122" s="11"/>
      <c r="F122" s="11" t="s">
        <v>363</v>
      </c>
      <c r="G122" s="12" t="s">
        <v>283</v>
      </c>
      <c r="H122" s="13" t="s">
        <v>364</v>
      </c>
      <c r="I122" s="12"/>
      <c r="J122" s="12"/>
      <c r="K122" s="12"/>
      <c r="L122" s="12"/>
      <c r="M122" s="12"/>
      <c r="N122" s="14" t="s">
        <v>354</v>
      </c>
    </row>
    <row r="123" spans="2:14" x14ac:dyDescent="0.25">
      <c r="B123" s="9">
        <v>114</v>
      </c>
      <c r="C123" s="10" t="s">
        <v>22</v>
      </c>
      <c r="D123" s="11"/>
      <c r="E123" s="11"/>
      <c r="F123" s="11"/>
      <c r="G123" s="12" t="s">
        <v>365</v>
      </c>
      <c r="H123" s="13" t="s">
        <v>366</v>
      </c>
      <c r="I123" s="12"/>
      <c r="J123" s="12"/>
      <c r="K123" s="12"/>
      <c r="L123" s="12"/>
      <c r="M123" s="12"/>
      <c r="N123" s="14" t="s">
        <v>354</v>
      </c>
    </row>
    <row r="124" spans="2:14" x14ac:dyDescent="0.25">
      <c r="B124" s="9">
        <v>115</v>
      </c>
      <c r="C124" s="15" t="s">
        <v>29</v>
      </c>
      <c r="D124" s="11"/>
      <c r="E124" s="11"/>
      <c r="F124" s="11"/>
      <c r="G124" s="12" t="s">
        <v>360</v>
      </c>
      <c r="H124" s="13" t="s">
        <v>357</v>
      </c>
      <c r="I124" s="12"/>
      <c r="J124" s="12"/>
      <c r="K124" s="12"/>
      <c r="L124" s="12"/>
      <c r="M124" s="12"/>
      <c r="N124" s="14" t="s">
        <v>354</v>
      </c>
    </row>
    <row r="125" spans="2:14" x14ac:dyDescent="0.25">
      <c r="B125" s="9">
        <v>116</v>
      </c>
      <c r="C125" s="15" t="s">
        <v>29</v>
      </c>
      <c r="D125" s="11"/>
      <c r="E125" s="11" t="s">
        <v>125</v>
      </c>
      <c r="F125" s="12" t="s">
        <v>367</v>
      </c>
      <c r="G125" s="12" t="s">
        <v>368</v>
      </c>
      <c r="H125" s="13" t="s">
        <v>369</v>
      </c>
      <c r="I125" s="12"/>
      <c r="J125" s="12"/>
      <c r="K125" s="12"/>
      <c r="L125" s="12"/>
      <c r="M125" s="12"/>
      <c r="N125" s="14" t="s">
        <v>370</v>
      </c>
    </row>
    <row r="126" spans="2:14" x14ac:dyDescent="0.25">
      <c r="B126" s="9">
        <v>117</v>
      </c>
      <c r="C126" s="15" t="s">
        <v>29</v>
      </c>
      <c r="D126" s="11"/>
      <c r="E126" s="11"/>
      <c r="F126" s="12" t="s">
        <v>371</v>
      </c>
      <c r="G126" s="12" t="s">
        <v>372</v>
      </c>
      <c r="H126" s="13" t="s">
        <v>373</v>
      </c>
      <c r="I126" s="12"/>
      <c r="J126" s="12"/>
      <c r="K126" s="12"/>
      <c r="L126" s="12"/>
      <c r="M126" s="12"/>
      <c r="N126" s="14" t="s">
        <v>337</v>
      </c>
    </row>
    <row r="127" spans="2:14" x14ac:dyDescent="0.25">
      <c r="B127" s="9">
        <v>118</v>
      </c>
      <c r="C127" s="15" t="s">
        <v>29</v>
      </c>
      <c r="D127" s="11"/>
      <c r="E127" s="11"/>
      <c r="F127" s="12" t="s">
        <v>293</v>
      </c>
      <c r="G127" s="12" t="s">
        <v>374</v>
      </c>
      <c r="H127" s="13" t="s">
        <v>375</v>
      </c>
      <c r="I127" s="12"/>
      <c r="J127" s="12"/>
      <c r="K127" s="12"/>
      <c r="L127" s="12"/>
      <c r="M127" s="12"/>
      <c r="N127" s="14" t="s">
        <v>337</v>
      </c>
    </row>
    <row r="128" spans="2:14" x14ac:dyDescent="0.25">
      <c r="B128" s="9">
        <v>119</v>
      </c>
      <c r="C128" s="15" t="s">
        <v>29</v>
      </c>
      <c r="D128" s="11"/>
      <c r="E128" s="11"/>
      <c r="F128" s="12" t="s">
        <v>296</v>
      </c>
      <c r="G128" s="12" t="s">
        <v>297</v>
      </c>
      <c r="H128" s="13" t="s">
        <v>298</v>
      </c>
      <c r="I128" s="12"/>
      <c r="J128" s="12"/>
      <c r="K128" s="12"/>
      <c r="L128" s="12"/>
      <c r="M128" s="12"/>
      <c r="N128" s="14" t="s">
        <v>337</v>
      </c>
    </row>
    <row r="129" spans="2:14" x14ac:dyDescent="0.25">
      <c r="B129" s="9">
        <v>120</v>
      </c>
      <c r="C129" s="15" t="s">
        <v>29</v>
      </c>
      <c r="D129" s="11" t="s">
        <v>376</v>
      </c>
      <c r="E129" s="11" t="s">
        <v>377</v>
      </c>
      <c r="F129" s="12" t="s">
        <v>378</v>
      </c>
      <c r="G129" s="12" t="s">
        <v>379</v>
      </c>
      <c r="H129" s="13" t="s">
        <v>380</v>
      </c>
      <c r="I129" s="12"/>
      <c r="J129" s="12"/>
      <c r="K129" s="12"/>
      <c r="L129" s="12"/>
      <c r="M129" s="12"/>
      <c r="N129" s="14" t="s">
        <v>381</v>
      </c>
    </row>
    <row r="130" spans="2:14" x14ac:dyDescent="0.25">
      <c r="B130" s="9">
        <v>121</v>
      </c>
      <c r="C130" s="10" t="s">
        <v>22</v>
      </c>
      <c r="D130" s="11"/>
      <c r="E130" s="11"/>
      <c r="F130" s="11" t="s">
        <v>382</v>
      </c>
      <c r="G130" s="12" t="s">
        <v>383</v>
      </c>
      <c r="H130" s="13" t="s">
        <v>384</v>
      </c>
      <c r="I130" s="12"/>
      <c r="J130" s="12"/>
      <c r="K130" s="12"/>
      <c r="L130" s="12"/>
      <c r="M130" s="12"/>
      <c r="N130" s="14" t="s">
        <v>385</v>
      </c>
    </row>
    <row r="131" spans="2:14" x14ac:dyDescent="0.25">
      <c r="B131" s="9">
        <v>122</v>
      </c>
      <c r="C131" s="15" t="s">
        <v>29</v>
      </c>
      <c r="D131" s="11"/>
      <c r="E131" s="11"/>
      <c r="F131" s="11"/>
      <c r="G131" s="12" t="s">
        <v>386</v>
      </c>
      <c r="H131" s="13" t="s">
        <v>387</v>
      </c>
      <c r="I131" s="12"/>
      <c r="J131" s="12"/>
      <c r="K131" s="12"/>
      <c r="L131" s="12"/>
      <c r="M131" s="12"/>
      <c r="N131" s="14" t="s">
        <v>388</v>
      </c>
    </row>
    <row r="132" spans="2:14" x14ac:dyDescent="0.25">
      <c r="B132" s="9">
        <v>123</v>
      </c>
      <c r="C132" s="10" t="s">
        <v>22</v>
      </c>
      <c r="D132" s="11"/>
      <c r="E132" s="11"/>
      <c r="F132" s="11"/>
      <c r="G132" s="12" t="s">
        <v>389</v>
      </c>
      <c r="H132" s="13" t="s">
        <v>390</v>
      </c>
      <c r="I132" s="12"/>
      <c r="J132" s="12"/>
      <c r="K132" s="12"/>
      <c r="L132" s="12"/>
      <c r="M132" s="12"/>
      <c r="N132" s="14" t="s">
        <v>385</v>
      </c>
    </row>
    <row r="133" spans="2:14" x14ac:dyDescent="0.25">
      <c r="B133" s="9">
        <v>124</v>
      </c>
      <c r="C133" s="15" t="s">
        <v>29</v>
      </c>
      <c r="D133" s="11"/>
      <c r="E133" s="11"/>
      <c r="F133" s="12" t="s">
        <v>391</v>
      </c>
      <c r="G133" s="12" t="s">
        <v>392</v>
      </c>
      <c r="H133" s="13" t="s">
        <v>393</v>
      </c>
      <c r="I133" s="12"/>
      <c r="J133" s="12"/>
      <c r="K133" s="12"/>
      <c r="L133" s="12"/>
      <c r="M133" s="12"/>
      <c r="N133" s="14" t="s">
        <v>394</v>
      </c>
    </row>
    <row r="134" spans="2:14" x14ac:dyDescent="0.25">
      <c r="B134" s="9">
        <v>125</v>
      </c>
      <c r="C134" s="16" t="s">
        <v>61</v>
      </c>
      <c r="D134" s="11"/>
      <c r="E134" s="11" t="s">
        <v>395</v>
      </c>
      <c r="F134" s="11" t="s">
        <v>396</v>
      </c>
      <c r="G134" s="12" t="s">
        <v>397</v>
      </c>
      <c r="H134" s="13" t="s">
        <v>398</v>
      </c>
      <c r="I134" s="12"/>
      <c r="J134" s="12"/>
      <c r="K134" s="12"/>
      <c r="L134" s="12"/>
      <c r="M134" s="12"/>
      <c r="N134" s="14" t="s">
        <v>394</v>
      </c>
    </row>
    <row r="135" spans="2:14" x14ac:dyDescent="0.25">
      <c r="B135" s="9">
        <v>126</v>
      </c>
      <c r="C135" s="10" t="s">
        <v>22</v>
      </c>
      <c r="D135" s="11"/>
      <c r="E135" s="11"/>
      <c r="F135" s="11"/>
      <c r="G135" s="12" t="s">
        <v>399</v>
      </c>
      <c r="H135" s="13" t="s">
        <v>400</v>
      </c>
      <c r="I135" s="12"/>
      <c r="J135" s="12"/>
      <c r="K135" s="12"/>
      <c r="L135" s="12"/>
      <c r="M135" s="12"/>
      <c r="N135" s="14" t="s">
        <v>394</v>
      </c>
    </row>
    <row r="136" spans="2:14" x14ac:dyDescent="0.25">
      <c r="B136" s="9">
        <v>127</v>
      </c>
      <c r="C136" s="15" t="s">
        <v>29</v>
      </c>
      <c r="D136" s="11"/>
      <c r="E136" s="11"/>
      <c r="F136" s="11" t="s">
        <v>401</v>
      </c>
      <c r="G136" s="12" t="s">
        <v>402</v>
      </c>
      <c r="H136" s="13" t="s">
        <v>403</v>
      </c>
      <c r="I136" s="12"/>
      <c r="J136" s="12"/>
      <c r="K136" s="12"/>
      <c r="L136" s="12"/>
      <c r="M136" s="12"/>
      <c r="N136" s="14" t="s">
        <v>404</v>
      </c>
    </row>
    <row r="137" spans="2:14" x14ac:dyDescent="0.25">
      <c r="B137" s="9">
        <v>128</v>
      </c>
      <c r="C137" s="15" t="s">
        <v>29</v>
      </c>
      <c r="D137" s="11"/>
      <c r="E137" s="11"/>
      <c r="F137" s="11"/>
      <c r="G137" s="12" t="s">
        <v>405</v>
      </c>
      <c r="H137" s="13" t="s">
        <v>406</v>
      </c>
      <c r="I137" s="12"/>
      <c r="J137" s="12"/>
      <c r="K137" s="12"/>
      <c r="L137" s="12"/>
      <c r="M137" s="12"/>
      <c r="N137" s="14" t="s">
        <v>407</v>
      </c>
    </row>
    <row r="138" spans="2:14" x14ac:dyDescent="0.25">
      <c r="B138" s="9">
        <v>129</v>
      </c>
      <c r="C138" s="10" t="s">
        <v>22</v>
      </c>
      <c r="D138" s="11"/>
      <c r="E138" s="11"/>
      <c r="F138" s="11"/>
      <c r="G138" s="12" t="s">
        <v>342</v>
      </c>
      <c r="H138" s="13" t="s">
        <v>408</v>
      </c>
      <c r="I138" s="12"/>
      <c r="J138" s="12"/>
      <c r="K138" s="12"/>
      <c r="L138" s="12"/>
      <c r="M138" s="12"/>
      <c r="N138" s="14" t="s">
        <v>407</v>
      </c>
    </row>
    <row r="139" spans="2:14" x14ac:dyDescent="0.25">
      <c r="B139" s="9">
        <v>130</v>
      </c>
      <c r="C139" s="16" t="s">
        <v>61</v>
      </c>
      <c r="D139" s="11"/>
      <c r="E139" s="11"/>
      <c r="F139" s="11" t="s">
        <v>409</v>
      </c>
      <c r="G139" s="12" t="s">
        <v>410</v>
      </c>
      <c r="H139" s="13" t="s">
        <v>411</v>
      </c>
      <c r="I139" s="12"/>
      <c r="J139" s="12"/>
      <c r="K139" s="12"/>
      <c r="L139" s="12"/>
      <c r="M139" s="12"/>
      <c r="N139" s="14" t="s">
        <v>412</v>
      </c>
    </row>
    <row r="140" spans="2:14" x14ac:dyDescent="0.25">
      <c r="B140" s="9">
        <v>131</v>
      </c>
      <c r="C140" s="10" t="s">
        <v>22</v>
      </c>
      <c r="D140" s="11"/>
      <c r="E140" s="11"/>
      <c r="F140" s="11"/>
      <c r="G140" s="12" t="s">
        <v>413</v>
      </c>
      <c r="H140" s="13" t="s">
        <v>414</v>
      </c>
      <c r="I140" s="12"/>
      <c r="J140" s="12"/>
      <c r="K140" s="12"/>
      <c r="L140" s="12"/>
      <c r="M140" s="12"/>
      <c r="N140" s="14" t="s">
        <v>412</v>
      </c>
    </row>
    <row r="141" spans="2:14" x14ac:dyDescent="0.25">
      <c r="B141" s="9">
        <v>132</v>
      </c>
      <c r="C141" s="15" t="s">
        <v>29</v>
      </c>
      <c r="D141" s="11"/>
      <c r="E141" s="11"/>
      <c r="F141" s="11"/>
      <c r="G141" s="12" t="s">
        <v>415</v>
      </c>
      <c r="H141" s="13" t="s">
        <v>416</v>
      </c>
      <c r="I141" s="12"/>
      <c r="J141" s="12"/>
      <c r="K141" s="12"/>
      <c r="L141" s="12"/>
      <c r="M141" s="12"/>
      <c r="N141" s="14" t="s">
        <v>412</v>
      </c>
    </row>
    <row r="142" spans="2:14" x14ac:dyDescent="0.25">
      <c r="B142" s="9">
        <v>133</v>
      </c>
      <c r="C142" s="10" t="s">
        <v>22</v>
      </c>
      <c r="D142" s="11"/>
      <c r="E142" s="12" t="s">
        <v>417</v>
      </c>
      <c r="F142" s="12" t="s">
        <v>418</v>
      </c>
      <c r="G142" s="12" t="s">
        <v>419</v>
      </c>
      <c r="H142" s="13" t="s">
        <v>420</v>
      </c>
      <c r="I142" s="12"/>
      <c r="J142" s="12"/>
      <c r="K142" s="12"/>
      <c r="L142" s="12"/>
      <c r="M142" s="12"/>
      <c r="N142" s="14" t="s">
        <v>412</v>
      </c>
    </row>
    <row r="143" spans="2:14" x14ac:dyDescent="0.25">
      <c r="B143" s="9">
        <v>134</v>
      </c>
      <c r="C143" s="15" t="s">
        <v>29</v>
      </c>
      <c r="D143" s="11"/>
      <c r="E143" s="12" t="s">
        <v>125</v>
      </c>
      <c r="F143" s="12" t="s">
        <v>421</v>
      </c>
      <c r="G143" s="12" t="s">
        <v>422</v>
      </c>
      <c r="H143" s="13" t="s">
        <v>423</v>
      </c>
      <c r="I143" s="12"/>
      <c r="J143" s="12"/>
      <c r="K143" s="12"/>
      <c r="L143" s="12"/>
      <c r="M143" s="12"/>
      <c r="N143" s="14" t="s">
        <v>412</v>
      </c>
    </row>
    <row r="144" spans="2:14" x14ac:dyDescent="0.25">
      <c r="B144" s="9">
        <v>135</v>
      </c>
      <c r="C144" s="15" t="s">
        <v>29</v>
      </c>
      <c r="D144" s="11" t="s">
        <v>424</v>
      </c>
      <c r="E144" s="11" t="s">
        <v>425</v>
      </c>
      <c r="F144" s="12" t="s">
        <v>426</v>
      </c>
      <c r="G144" s="12" t="s">
        <v>427</v>
      </c>
      <c r="H144" s="13" t="s">
        <v>428</v>
      </c>
      <c r="I144" s="12"/>
      <c r="J144" s="12"/>
      <c r="K144" s="12"/>
      <c r="L144" s="12"/>
      <c r="M144" s="12"/>
      <c r="N144" s="14" t="s">
        <v>429</v>
      </c>
    </row>
    <row r="145" spans="2:14" x14ac:dyDescent="0.25">
      <c r="B145" s="9">
        <v>136</v>
      </c>
      <c r="C145" s="15" t="s">
        <v>29</v>
      </c>
      <c r="D145" s="11"/>
      <c r="E145" s="11"/>
      <c r="F145" s="12" t="s">
        <v>430</v>
      </c>
      <c r="G145" s="12" t="s">
        <v>431</v>
      </c>
      <c r="H145" s="13" t="s">
        <v>432</v>
      </c>
      <c r="I145" s="12"/>
      <c r="J145" s="12"/>
      <c r="K145" s="12"/>
      <c r="L145" s="12"/>
      <c r="M145" s="12"/>
      <c r="N145" s="14" t="s">
        <v>433</v>
      </c>
    </row>
    <row r="146" spans="2:14" x14ac:dyDescent="0.25">
      <c r="B146" s="9">
        <v>137</v>
      </c>
      <c r="C146" s="10" t="s">
        <v>22</v>
      </c>
      <c r="D146" s="11"/>
      <c r="E146" s="11"/>
      <c r="F146" s="11" t="s">
        <v>434</v>
      </c>
      <c r="G146" s="12" t="s">
        <v>435</v>
      </c>
      <c r="H146" s="13" t="s">
        <v>436</v>
      </c>
      <c r="I146" s="12"/>
      <c r="J146" s="12"/>
      <c r="K146" s="12"/>
      <c r="L146" s="12"/>
      <c r="M146" s="12"/>
      <c r="N146" s="14" t="s">
        <v>433</v>
      </c>
    </row>
    <row r="147" spans="2:14" x14ac:dyDescent="0.25">
      <c r="B147" s="9">
        <v>138</v>
      </c>
      <c r="C147" s="10" t="s">
        <v>22</v>
      </c>
      <c r="D147" s="11"/>
      <c r="E147" s="11"/>
      <c r="F147" s="11"/>
      <c r="G147" s="12" t="s">
        <v>437</v>
      </c>
      <c r="H147" s="13" t="s">
        <v>438</v>
      </c>
      <c r="I147" s="12"/>
      <c r="J147" s="12"/>
      <c r="K147" s="12"/>
      <c r="L147" s="12"/>
      <c r="M147" s="12"/>
      <c r="N147" s="14" t="s">
        <v>439</v>
      </c>
    </row>
    <row r="148" spans="2:14" x14ac:dyDescent="0.25">
      <c r="B148" s="9">
        <v>139</v>
      </c>
      <c r="C148" s="10" t="s">
        <v>22</v>
      </c>
      <c r="D148" s="11"/>
      <c r="E148" s="11"/>
      <c r="F148" s="11"/>
      <c r="G148" s="12" t="s">
        <v>440</v>
      </c>
      <c r="H148" s="13" t="s">
        <v>441</v>
      </c>
      <c r="I148" s="12"/>
      <c r="J148" s="12"/>
      <c r="K148" s="12"/>
      <c r="L148" s="12"/>
      <c r="M148" s="12"/>
      <c r="N148" s="14" t="s">
        <v>442</v>
      </c>
    </row>
    <row r="149" spans="2:14" x14ac:dyDescent="0.25">
      <c r="B149" s="9">
        <v>140</v>
      </c>
      <c r="C149" s="16" t="s">
        <v>61</v>
      </c>
      <c r="D149" s="11"/>
      <c r="E149" s="11" t="s">
        <v>443</v>
      </c>
      <c r="F149" s="12" t="s">
        <v>444</v>
      </c>
      <c r="G149" s="12" t="s">
        <v>445</v>
      </c>
      <c r="H149" s="13" t="s">
        <v>446</v>
      </c>
      <c r="I149" s="12"/>
      <c r="J149" s="12"/>
      <c r="K149" s="12"/>
      <c r="L149" s="12"/>
      <c r="M149" s="12"/>
      <c r="N149" s="14" t="s">
        <v>433</v>
      </c>
    </row>
    <row r="150" spans="2:14" x14ac:dyDescent="0.25">
      <c r="B150" s="9">
        <v>141</v>
      </c>
      <c r="C150" s="10" t="s">
        <v>22</v>
      </c>
      <c r="D150" s="11"/>
      <c r="E150" s="11"/>
      <c r="F150" s="12" t="s">
        <v>447</v>
      </c>
      <c r="G150" s="12" t="s">
        <v>448</v>
      </c>
      <c r="H150" s="13" t="s">
        <v>449</v>
      </c>
      <c r="I150" s="12"/>
      <c r="J150" s="12"/>
      <c r="K150" s="12"/>
      <c r="L150" s="12"/>
      <c r="M150" s="12"/>
      <c r="N150" s="14" t="s">
        <v>450</v>
      </c>
    </row>
    <row r="151" spans="2:14" x14ac:dyDescent="0.25">
      <c r="B151" s="9">
        <v>142</v>
      </c>
      <c r="C151" s="10" t="s">
        <v>22</v>
      </c>
      <c r="D151" s="11"/>
      <c r="E151" s="11"/>
      <c r="F151" s="12" t="s">
        <v>451</v>
      </c>
      <c r="G151" s="12" t="s">
        <v>452</v>
      </c>
      <c r="H151" s="13" t="s">
        <v>453</v>
      </c>
      <c r="I151" s="12"/>
      <c r="J151" s="12"/>
      <c r="K151" s="12"/>
      <c r="L151" s="12"/>
      <c r="M151" s="12"/>
      <c r="N151" s="14" t="s">
        <v>433</v>
      </c>
    </row>
    <row r="152" spans="2:14" x14ac:dyDescent="0.25">
      <c r="B152" s="9">
        <v>143</v>
      </c>
      <c r="C152" s="15" t="s">
        <v>29</v>
      </c>
      <c r="D152" s="11"/>
      <c r="E152" s="12" t="s">
        <v>425</v>
      </c>
      <c r="F152" s="12" t="s">
        <v>454</v>
      </c>
      <c r="G152" s="12" t="s">
        <v>455</v>
      </c>
      <c r="H152" s="13" t="s">
        <v>456</v>
      </c>
      <c r="I152" s="12"/>
      <c r="J152" s="12"/>
      <c r="K152" s="12"/>
      <c r="L152" s="12"/>
      <c r="M152" s="12"/>
      <c r="N152" s="14" t="s">
        <v>457</v>
      </c>
    </row>
    <row r="153" spans="2:14" x14ac:dyDescent="0.25">
      <c r="B153" s="9">
        <v>144</v>
      </c>
      <c r="C153" s="15" t="s">
        <v>29</v>
      </c>
      <c r="D153" s="11" t="s">
        <v>458</v>
      </c>
      <c r="E153" s="11" t="s">
        <v>459</v>
      </c>
      <c r="F153" s="12" t="s">
        <v>233</v>
      </c>
      <c r="G153" s="12" t="s">
        <v>460</v>
      </c>
      <c r="H153" s="13" t="s">
        <v>461</v>
      </c>
      <c r="I153" s="12"/>
      <c r="J153" s="12"/>
      <c r="K153" s="12"/>
      <c r="L153" s="12"/>
      <c r="M153" s="12"/>
      <c r="N153" s="14" t="s">
        <v>462</v>
      </c>
    </row>
    <row r="154" spans="2:14" x14ac:dyDescent="0.25">
      <c r="B154" s="9">
        <v>145</v>
      </c>
      <c r="C154" s="10" t="s">
        <v>22</v>
      </c>
      <c r="D154" s="11"/>
      <c r="E154" s="11"/>
      <c r="F154" s="11" t="s">
        <v>463</v>
      </c>
      <c r="G154" s="12" t="s">
        <v>464</v>
      </c>
      <c r="H154" s="13" t="s">
        <v>465</v>
      </c>
      <c r="I154" s="12"/>
      <c r="J154" s="12"/>
      <c r="K154" s="12"/>
      <c r="L154" s="12"/>
      <c r="M154" s="12"/>
      <c r="N154" s="14" t="s">
        <v>466</v>
      </c>
    </row>
    <row r="155" spans="2:14" x14ac:dyDescent="0.25">
      <c r="B155" s="9">
        <v>146</v>
      </c>
      <c r="C155" s="10" t="s">
        <v>22</v>
      </c>
      <c r="D155" s="11"/>
      <c r="E155" s="11"/>
      <c r="F155" s="11"/>
      <c r="G155" s="12" t="s">
        <v>467</v>
      </c>
      <c r="H155" s="13" t="s">
        <v>468</v>
      </c>
      <c r="I155" s="12"/>
      <c r="J155" s="12"/>
      <c r="K155" s="12"/>
      <c r="L155" s="12"/>
      <c r="M155" s="12"/>
      <c r="N155" s="14" t="s">
        <v>469</v>
      </c>
    </row>
    <row r="156" spans="2:14" x14ac:dyDescent="0.25">
      <c r="B156" s="9">
        <v>147</v>
      </c>
      <c r="C156" s="10" t="s">
        <v>22</v>
      </c>
      <c r="D156" s="11"/>
      <c r="E156" s="11"/>
      <c r="F156" s="12" t="s">
        <v>470</v>
      </c>
      <c r="G156" s="12" t="s">
        <v>471</v>
      </c>
      <c r="H156" s="13" t="s">
        <v>472</v>
      </c>
      <c r="I156" s="12"/>
      <c r="J156" s="12"/>
      <c r="K156" s="12"/>
      <c r="L156" s="12"/>
      <c r="M156" s="12"/>
      <c r="N156" s="14" t="s">
        <v>473</v>
      </c>
    </row>
    <row r="157" spans="2:14" x14ac:dyDescent="0.25">
      <c r="B157" s="9">
        <v>148</v>
      </c>
      <c r="C157" s="15" t="s">
        <v>29</v>
      </c>
      <c r="D157" s="11"/>
      <c r="E157" s="11"/>
      <c r="F157" s="12" t="s">
        <v>474</v>
      </c>
      <c r="G157" s="12" t="s">
        <v>475</v>
      </c>
      <c r="H157" s="13" t="s">
        <v>476</v>
      </c>
      <c r="I157" s="12"/>
      <c r="J157" s="12"/>
      <c r="K157" s="12"/>
      <c r="L157" s="12"/>
      <c r="M157" s="12"/>
      <c r="N157" s="14" t="s">
        <v>462</v>
      </c>
    </row>
  </sheetData>
  <mergeCells count="66">
    <mergeCell ref="D10:D27"/>
    <mergeCell ref="E10:E15"/>
    <mergeCell ref="F10:F12"/>
    <mergeCell ref="F14:F15"/>
    <mergeCell ref="E16:E27"/>
    <mergeCell ref="F17:F18"/>
    <mergeCell ref="F21:F23"/>
    <mergeCell ref="F26:F27"/>
    <mergeCell ref="D28:D44"/>
    <mergeCell ref="E28:E33"/>
    <mergeCell ref="F31:F33"/>
    <mergeCell ref="E34:E40"/>
    <mergeCell ref="F34:F35"/>
    <mergeCell ref="F36:F37"/>
    <mergeCell ref="F38:F39"/>
    <mergeCell ref="E41:E44"/>
    <mergeCell ref="D45:D54"/>
    <mergeCell ref="E45:E47"/>
    <mergeCell ref="E48:E51"/>
    <mergeCell ref="E52:E54"/>
    <mergeCell ref="F52:F53"/>
    <mergeCell ref="D55:D71"/>
    <mergeCell ref="E55:E57"/>
    <mergeCell ref="E58:E59"/>
    <mergeCell ref="F58:F59"/>
    <mergeCell ref="E60:E63"/>
    <mergeCell ref="E64:E65"/>
    <mergeCell ref="E66:E68"/>
    <mergeCell ref="E69:E70"/>
    <mergeCell ref="D72:D98"/>
    <mergeCell ref="E72:E73"/>
    <mergeCell ref="E74:E87"/>
    <mergeCell ref="F74:F79"/>
    <mergeCell ref="F80:F85"/>
    <mergeCell ref="F86:F87"/>
    <mergeCell ref="E88:E95"/>
    <mergeCell ref="F88:F90"/>
    <mergeCell ref="F91:F94"/>
    <mergeCell ref="E96:E98"/>
    <mergeCell ref="D99:D128"/>
    <mergeCell ref="E99:E101"/>
    <mergeCell ref="F100:F101"/>
    <mergeCell ref="E102:E115"/>
    <mergeCell ref="F103:F105"/>
    <mergeCell ref="F106:F110"/>
    <mergeCell ref="F111:F113"/>
    <mergeCell ref="F114:F115"/>
    <mergeCell ref="E116:E124"/>
    <mergeCell ref="F118:F119"/>
    <mergeCell ref="F120:F121"/>
    <mergeCell ref="F122:F124"/>
    <mergeCell ref="E125:E128"/>
    <mergeCell ref="D129:D143"/>
    <mergeCell ref="E129:E133"/>
    <mergeCell ref="F130:F132"/>
    <mergeCell ref="E134:E141"/>
    <mergeCell ref="F134:F135"/>
    <mergeCell ref="F136:F138"/>
    <mergeCell ref="F139:F141"/>
    <mergeCell ref="D144:D152"/>
    <mergeCell ref="E144:E148"/>
    <mergeCell ref="F146:F148"/>
    <mergeCell ref="E149:E151"/>
    <mergeCell ref="D153:D157"/>
    <mergeCell ref="E153:E157"/>
    <mergeCell ref="F154:F155"/>
  </mergeCells>
  <dataValidations count="1">
    <dataValidation type="list" allowBlank="1" showErrorMessage="1" errorTitle="잘못된 값" error="Pass, Fail, N/T, Block 중 하나를 선택하세요." sqref="I10:J157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길드 개선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2026-05-21T05:54:51Z</dcterms:created>
  <dcterms:modified xsi:type="dcterms:W3CDTF">2026-05-21T05:54:51Z</dcterms:modified>
</cp:coreProperties>
</file>