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신비 속성 추가" state="visible" r:id="rId4"/>
  </sheets>
  <calcPr calcId="171027"/>
</workbook>
</file>

<file path=xl/sharedStrings.xml><?xml version="1.0" encoding="utf-8"?>
<sst xmlns="http://schemas.openxmlformats.org/spreadsheetml/2006/main" count="593" uniqueCount="248">
  <si>
    <t>(C)신비 속성 추가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</si>
  <si>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</si>
  <si>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</si>
  <si>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</si>
  <si>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</si>
  <si>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</si>
  <si>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</si>
  <si>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</si>
  <si>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</si>
  <si>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</si>
  <si>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</si>
  <si>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</si>
  <si>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</si>
  <si>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</si>
  <si>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</si>
  <si>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</si>
  <si>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</si>
  <si>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</si>
  <si>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</si>
  <si>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</si>
  <si>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</si>
  <si>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</si>
  <si>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</si>
  <si>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신비 속성 공통</t>
  </si>
  <si>
    <t>입장 조건 / 추천 속성 혜택 규칙</t>
  </si>
  <si>
    <t>23.0 빌드의 신비 속성은 신비 + 어둠 + 빛으로 구성된 다중 속성으로 적용된다.</t>
  </si>
  <si>
    <t>기획서: 신비 속성 개념/규칙</t>
  </si>
  <si>
    <t>어둠 또는 빛 속성이 입장 조건인 던전 입장 시, 신비 속성 쿠키가 입장 가능하다.</t>
  </si>
  <si>
    <t>기획서: 입장 조건</t>
  </si>
  <si>
    <t>어둠 + 불 다중 속성 입장 조건 던전 입장 시, 신비 속성 쿠키가 입장 가능하다.</t>
  </si>
  <si>
    <t>기획서: 입장 조건 다중 속성</t>
  </si>
  <si>
    <t>신비 속성과 무관한 속성(예: 불 + 물)이 입장 조건인 던전 입장 시, 신비 속성 쿠키는 입장이 차단된다.</t>
  </si>
  <si>
    <t>기획서: 입장 조건 예외</t>
  </si>
  <si>
    <t>추천 속성 혜택은 신비 속성 단독으로만 적용되며, 어둠/빛 속성에는 추천 속성 보너스가 적용되지 않는다.</t>
  </si>
  <si>
    <t>기획서: 추천 속성 혜택 규칙</t>
  </si>
  <si>
    <t>신비 속성 추천 던전에 신비 속성 쿠키 편성 시, 추천 속성 보너스 효과가 적용된다.</t>
  </si>
  <si>
    <t>기획서: 추천 속성 보너스</t>
  </si>
  <si>
    <t>Normal</t>
  </si>
  <si>
    <t>신비 속성 변경 시, 변경된 네이밍에 따라 구성 속성 정보가 갱신되어 표시된다.</t>
  </si>
  <si>
    <t>기획서: 네이밍 변경 처리</t>
  </si>
  <si>
    <t>신비 속성 아이콘이 다른 속성 아이콘과 구분되는 형태로 표시된다.</t>
  </si>
  <si>
    <t>기획서: 신비 속성 아이콘</t>
  </si>
  <si>
    <t>가이드북</t>
  </si>
  <si>
    <t>속성 안내</t>
  </si>
  <si>
    <t>가이드북 내 속성 카테고리 진입 시, 신비 속성 항목이 노출된다.</t>
  </si>
  <si>
    <t>기획서: 가이드북</t>
  </si>
  <si>
    <t>가이드북 내 신비 속성 항목 선택 시, 신비 속성 설명 내용이 출력된다.</t>
  </si>
  <si>
    <t>가이드북 신비 속성 설명 내, 입장 조건 및 추천 속성 혜택 관련 안내 문구가 출력된다.</t>
  </si>
  <si>
    <t>기획서: 가이드북 안내 내용</t>
  </si>
  <si>
    <t>가이드 팝업 출력 시, 신비 속성 안내 문구가 함께 노출된다.</t>
  </si>
  <si>
    <t>기획서: 가이드 팝업</t>
  </si>
  <si>
    <t>가이드북 내 신비 속성 항목에 신비 속성 아이콘이 함께 표시된다.</t>
  </si>
  <si>
    <t>기획서: 가이드북 UI</t>
  </si>
  <si>
    <t>잠재력</t>
  </si>
  <si>
    <t>잠재력 주문서 (아이템)</t>
  </si>
  <si>
    <t>신비 속성 잠재력 주문서가 에픽 등급으로 인벤토리에 추가된다.</t>
  </si>
  <si>
    <t>기획서: 잠재력 주문서</t>
  </si>
  <si>
    <t>상급 신비 속성 잠재력 주문서가 슈퍼에픽 등급으로 인벤토리에 추가된다.</t>
  </si>
  <si>
    <t>기획서: 상급 잠재력 주문서</t>
  </si>
  <si>
    <t>신비 속성 잠재력 주문서 정보 확인 시, 신비 속성 공격력 스탯 항목이 표시된다.</t>
  </si>
  <si>
    <t>기획서: 잠재력 스탯</t>
  </si>
  <si>
    <t>잠재력 선택 상자 오픈 시, 노출 가능한 주문서 목록에 신비 속성 주문서가 포함되어 출력된다.</t>
  </si>
  <si>
    <t>기획서: 잠재력 선택 상자</t>
  </si>
  <si>
    <t>Critical</t>
  </si>
  <si>
    <t>신비 속성 잠재력 주문서 사용 시, 해당 장비에 신비 속성 잠재력이 적용되고 주문서가 차감된다.</t>
  </si>
  <si>
    <t>기획서: 잠재력 적용</t>
  </si>
  <si>
    <t>신비 속성 잠재력이 설정된 장비 아이콘에 신비 속성 잠재력 아이콘이 표시된다.</t>
  </si>
  <si>
    <t>기획서: 잠재력 아이콘</t>
  </si>
  <si>
    <t>잠재력 변경</t>
  </si>
  <si>
    <t>잠재력 변경 화면 진입 시, 신비 속성 잠재력이 선택 가능한 항목으로 노출된다.</t>
  </si>
  <si>
    <t>기획서: 잠재력 변경</t>
  </si>
  <si>
    <t>잠재력 변경 화면에서 신비 속성 선택 시, 신비 속성 잠재력 정보가 표시된다.</t>
  </si>
  <si>
    <t>기���서: 잠재력 변경</t>
  </si>
  <si>
    <t>잠재력 변경 화면에서 신비 속성으로 변경 확정 시, 해당 장비의 잠재력이 신비 속성으로 변경된다.</t>
  </si>
  <si>
    <t>기획서: 잠재력 변경 확정</t>
  </si>
  <si>
    <t>잠재력 세트 효과</t>
  </si>
  <si>
    <t>장착 중인 모든 장비의 잠재력을 신비 속성으로 설정 시, 신비 속성 잠재력 세트 효과가 활성화된다.</t>
  </si>
  <si>
    <t>기획서: 잠재력 세트 효과</t>
  </si>
  <si>
    <t>장착 중인 장비 중 일부만 신비 속성 잠재력으로 설정된 경우, 신비 속성 세트 효과가 비활성화된다.</t>
  </si>
  <si>
    <t>기획서: 잠재력 세트 효과 조건</t>
  </si>
  <si>
    <t>신비 속성 세트 효과 활성화 시, 장비 정보에 세트 효과 활성 상태가 표시된다.</t>
  </si>
  <si>
    <t>기획서: 세트 효과 표시</t>
  </si>
  <si>
    <t>신비 속성 세트 효과 활성화 시, 신비 속성 잠재력 아이콘이 활성 상태로 표시된다.</t>
  </si>
  <si>
    <t>기획서: 세트 효과 아이콘</t>
  </si>
  <si>
    <t>신비 속성 잠재력 적용 시, 잠재력 적용 효과음이 출력된다.</t>
  </si>
  <si>
    <t>기획서: 효과음</t>
  </si>
  <si>
    <t>신비 속성 잠재력 적용 시, 잠재력 적용 연출 애니메이션이 재생된다.</t>
  </si>
  <si>
    <t>기획서: 연출</t>
  </si>
  <si>
    <t>신비 속성 잠재력 주문서 툴팁에 등급, 효과 등 상세 정보가 표시된다.</t>
  </si>
  <si>
    <t>기획서: 주문서 툴팁</t>
  </si>
  <si>
    <t>제작소</t>
  </si>
  <si>
    <t>신비 속성 잠재력 주문서 제작</t>
  </si>
  <si>
    <t>제작소 잠재력 카테고리 진입 시, 상급 신비 속성 잠재력 주문서 제작식이 노출된다.</t>
  </si>
  <si>
    <t>기획서: 제작소</t>
  </si>
  <si>
    <t>상급 신비 속성 잠재력 주문서 제작식 선택 시, 일반 신비 속성 잠재력 주문서 5개가 재료로 표시된다.</t>
  </si>
  <si>
    <t>기획서: 제작 재료</t>
  </si>
  <si>
    <t>재료 부족 상태에서 제작식 진입 시, 제작 버튼이 비활성화 상태로 표시된다.</t>
  </si>
  <si>
    <t>기획서: 제작 조건</t>
  </si>
  <si>
    <t>상급 신비 속성 잠재력 주문서 제작 완료 시, 일반 신비 속성 잠재력 주문서 5개가 차감되고 상급 신비 속성 잠재력 주문서 1개가 지급된다.</t>
  </si>
  <si>
    <t>기획서: 제작 처리</t>
  </si>
  <si>
    <t>상급 신비 속성 잠재력 주문서 제작 완료 시, 제작 결과 팝업이 출력된다.</t>
  </si>
  <si>
    <t>기획서: 제작 결과</t>
  </si>
  <si>
    <t>상급 신비 속성 잠재력 주문서 제작 완료 시, 제작 효과음이 출력된다.</t>
  </si>
  <si>
    <t>상급 신비 속성 잠재력 주문서 제작 완료 시, 제작 연출 애니메이션이 재생된다.</t>
  </si>
  <si>
    <t>돌파석</t>
  </si>
  <si>
    <t>돌파석 아이템</t>
  </si>
  <si>
    <t>신비 속성 쿠키 돌파석이 레어 등급으로 인벤토리에 추가된다.</t>
  </si>
  <si>
    <t>기획서: 돌파석 아이템</t>
  </si>
  <si>
    <t>신비 속성 쿠키 돌파석 정보 확인 시, 등급 및 사용 처 등 상세 정보가 표시된다.</t>
  </si>
  <si>
    <t>기획서: 돌파석 정보</t>
  </si>
  <si>
    <t>랜덤 돌파석 상자</t>
  </si>
  <si>
    <t>랜덤 돌파석 상자 오픈 시, 획득 가능 목록에 신비 속성 돌파석이 포함되어 출력된다.</t>
  </si>
  <si>
    <t>기획서: 랜덤 상자</t>
  </si>
  <si>
    <t>랜덤 돌파석 상자 오픈 결과로 신비 속성 돌파석 획득 시, 인벤토리에 신비 속성 돌파석이 추가된다.</t>
  </si>
  <si>
    <t>기획서: 랜덤 상자 결과</t>
  </si>
  <si>
    <t>돌파석 채광장</t>
  </si>
  <si>
    <t>채광장 메인 화면</t>
  </si>
  <si>
    <t>돌파석 채광장 메인 화면 진입 시, 신비 속성 전용 7번째 던전이 추가되어 노출된다.</t>
  </si>
  <si>
    <t>기획서: 채광장 신규 던전</t>
  </si>
  <si>
    <t>돌파석 채광장 좌측 속성 선택 영역에 스크롤 기능이 적용되어 7번째 던전까지 확인 가능하다.</t>
  </si>
  <si>
    <t>기획서: 채광장 스크롤</t>
  </si>
  <si>
    <t>돌파석 채광장 좌측 속성 선택 영역 스크롤 시, 스크롤 동작에 따라 던전 목록이 위/아래로 이동된다.</t>
  </si>
  <si>
    <t>기획서: 채광장 스크롤 동작</t>
  </si>
  <si>
    <t>돌파석 채광장 신비 속성 던전 항목에 신비 속성 아이콘이 표시된다.</t>
  </si>
  <si>
    <t>기획서: 던전 아이콘</t>
  </si>
  <si>
    <t>신비 속성 채광장 던전 플레이 로비</t>
  </si>
  <si>
    <t>신비 속성 채광장 던전 선택 시, 해당 던전 플레이 로비 화면으로 전환된다.</t>
  </si>
  <si>
    <t>기획서: 채광장 던전 진입</t>
  </si>
  <si>
    <t>신비 속성 채광장 던전 플레이 로비에서 단계 진행 정보가 표시된다.</t>
  </si>
  <si>
    <t>기획서: 단계 진행</t>
  </si>
  <si>
    <t>신비 속성 채광장 던전 플레이 로비에서 PLAY 버튼 터치 시, 인게임 로딩 화면으로 진입된다.</t>
  </si>
  <si>
    <t>기획서: 채광장 PLAY</t>
  </si>
  <si>
    <t>신비 속성 채광장 던전 플레이 로비에서 소탕 조건 충족 시, 소탕 버튼이 활성화 상태로 표시된다.</t>
  </si>
  <si>
    <t>기획서: 소탕</t>
  </si>
  <si>
    <t>신비 속성 채광장 던전 플레이 로비에서 소탕 조건 미달 시, 소탕 버튼이 비활성화 상태로 표시된다.</t>
  </si>
  <si>
    <t>기획서: 소탕 조건</t>
  </si>
  <si>
    <t>신비 속성 채광장 던전 플레이 로비에서 소탕 실행 시, 입장 재화가 차감되고 보상이 지급된다.</t>
  </si>
  <si>
    <t>기획서: 소탕 처리</t>
  </si>
  <si>
    <t>신비 속성 채광장 던전 클리어 시, 신비 속성 쿠키 돌파석이 보상으로 지급된다.</t>
  </si>
  <si>
    <t>기획서: 돌파석 보상</t>
  </si>
  <si>
    <t>신비 속성 채광장 던전 플레이 로비에 신비 속성 아이콘이 표시된다.</t>
  </si>
  <si>
    <t>기획서: 던전 UI</t>
  </si>
  <si>
    <t>신비 속성 채광장 던전 플레이 로비 진입 시, 진입 효과음이 출력된다.</t>
  </si>
  <si>
    <t>신비 속성 채광장 던전 플레이 로비 진입 시, 진입 연출 애니메이션이 재생된다.</t>
  </si>
  <si>
    <t>신비 속성 채광장 던전 플레이 로비에서 뒤로가기 버튼 터치 시, 채광장 메인 화면으로 이동된다.</t>
  </si>
  <si>
    <t>기획서: 뒤로가기</t>
  </si>
  <si>
    <t>돌파석 채광장 좌측 속성 선택 영역 스크롤 시, 스크롤 효과음이 출력된다.</t>
  </si>
  <si>
    <t>길드전</t>
  </si>
  <si>
    <t>길드 로비</t>
  </si>
  <si>
    <t>길드 로비 내 길드전 현황 UI 진입 시, 신비 속성 필터 항목이 노출된다.</t>
  </si>
  <si>
    <t>기획서: 길드전 필터</t>
  </si>
  <si>
    <t>길드전 현황 UI 필터에서 어둠+신비 항목 선택 시, 어둠+신비 속성 던전만 필터링되어 표시된다.</t>
  </si>
  <si>
    <t>기획서: 어둠+신비 필터</t>
  </si>
  <si>
    <t>길드전 현황 UI 필터에서 빛+신비 항목 선택 시, 빛+신비 속성 던전만 필터링되어 표시된다.</t>
  </si>
  <si>
    <t>기획서: 빛+신비 필터</t>
  </si>
  <si>
    <t>길드전 현황 UI 필터에서 ALL 항목 선택 시, 모든 속성 던전이 필터링 없이 표시된다.</t>
  </si>
  <si>
    <t>기획서: ALL 필터</t>
  </si>
  <si>
    <t>길드전 현황 UI 필터 항목 선택 시, 선택된 필터 상태로 UI가 갱신 표시된다.</t>
  </si>
  <si>
    <t>기획서: 필터 UI</t>
  </si>
  <si>
    <t>길드전 로비 던전 깃발</t>
  </si>
  <si>
    <t>길드전 로비 진입 시, 어둠+신비 속성 던전에 DarkMystic 깃발이 표시된다.</t>
  </si>
  <si>
    <t>기획서: DarkMystic 깃발</t>
  </si>
  <si>
    <t>길드전 로비 진입 시, 빛+신비 속성 던전에 LightMystic 깃발이 표시된다.</t>
  </si>
  <si>
    <t>기획서: LightMystic 깃발</t>
  </si>
  <si>
    <t>DarkMystic 깃발과 LightMystic 깃발이 기존 속성 깃발과 구분되는 형태로 표시된다.</t>
  </si>
  <si>
    <t>기획서: 깃발 디자인</t>
  </si>
  <si>
    <t>던전 플레이 로비</t>
  </si>
  <si>
    <t>어둠+신비 속성 던전 선택 시, 해당 던전 플레이 로비 화면으로 전환된다.</t>
  </si>
  <si>
    <t>기획서: 던전 진입</t>
  </si>
  <si>
    <t>빛+신비 속성 던전 선택 시, 해당 던전 플레이 로비 화면으로 전환된다.</t>
  </si>
  <si>
    <t>신비 속성이 추가된 빛 속성 던전 플레이 로비에 빛 + 신비 속성 아이콘이 함께 표시된다.</t>
  </si>
  <si>
    <t>기획서: 속성 아이콘</t>
  </si>
  <si>
    <t>신비 속성이 추가된 어둠 속성 던전 플레이 로비에 어둠 + 신비 속성 아이콘이 함께 표시된다.</t>
  </si>
  <si>
    <t>어둠+신비 속성 던전에 신비 속성 쿠키 편성 시, 편성이 가능하다.</t>
  </si>
  <si>
    <t>기획서: 편성 규칙</t>
  </si>
  <si>
    <t>어둠+신비 속성 던전에 어둠 속성 단독 편성 시, 편성이 차단된다.</t>
  </si>
  <si>
    <t>기획서: 어둠 단독 편성 차단</t>
  </si>
  <si>
    <t>빛+신비 속성 던전에 빛 속성 단독 편성 시, 편성이 차단된다.</t>
  </si>
  <si>
    <t>기획서: 빛 단독 편성 차단</t>
  </si>
  <si>
    <t>빛+신비 속성 던전에 신비 속성과 빛 속성 함께 편성 시, 편성이 가능하다.</t>
  </si>
  <si>
    <t>기획서: 신비+빛 편성</t>
  </si>
  <si>
    <t>어둠+신비 속성 던전에 신비 속성과 어둠 속성 함께 편성 시, 편성이 가능하다.</t>
  </si>
  <si>
    <t>기획서: 신비+어둠 편성</t>
  </si>
  <si>
    <t>길드전 현황 UI 필터 변경 시, 필터 변경 효과음이 출력된다.</t>
  </si>
  <si>
    <t>길드전 로비 진입 시, 신비 속성 던전 깃발 출력 연출이 재생된다.</t>
  </si>
  <si>
    <t>신비 속성 던전 플레이 로비에서 뒤로가기 버튼 터치 시, 길드전 로비 화면으로 이동된다.</t>
  </si>
  <si>
    <t>디바이스 뒤로가기 입력 시, 길드전 로비 화면으로 이동된다.</t>
  </si>
  <si>
    <t>기획서: 디바이스 뒤로가기</t>
  </si>
  <si>
    <t>길드전 현황 UI 신비 속성 필터에 신비 속성 아이콘이 표시된다.</t>
  </si>
  <si>
    <t>기획서: 필터 아이콘</t>
  </si>
  <si>
    <t>편성 차단 조건 발생 시, 차단 안내 문구가 표시된다.</t>
  </si>
  <si>
    <t>기획서: 편성 안내</t>
  </si>
  <si>
    <t>신비 속성 던전 플레이 로비 진입 시, 진입 효과음이 출력된다.</t>
  </si>
  <si>
    <t>레이드 챌린지 모드</t>
  </si>
  <si>
    <t>추천 속성 UI</t>
  </si>
  <si>
    <t>레이드 챌린지 모드 추천 속성 UI에 신비 속성 항목이 추가되어 표시된다.</t>
  </si>
  <si>
    <t>기획서: 레이드 추천 속성</t>
  </si>
  <si>
    <t>레이드 챌린지 모드 추천 속성 UI에 최대 3개의 속성이 표기되도록 적용된다.</t>
  </si>
  <si>
    <t>기획서: 3개 속성 표기</t>
  </si>
  <si>
    <t>신비 속성이 추천될 경우, 구성 추가 속성(어둠 또는 빛)이 함께 표기된다.</t>
  </si>
  <si>
    <t>기획서: 추천 표기 규칙</t>
  </si>
  <si>
    <t>신비 속성 추천 던전에 신비 속성 쿠키 편성 후 입장 시, 추천 속성 보너스가 적용되어 인게임 로딩 화면으로 진입된다.</t>
  </si>
  <si>
    <t>기획서: 추천 적용</t>
  </si>
  <si>
    <t>신비A 추천 시, 어둠 또는 빛 속성과 함께 편성된 형태로 추천 속성이 표시된다.</t>
  </si>
  <si>
    <t>기획서: 신비A 추천</t>
  </si>
  <si>
    <t>추천 속성 UI 내 신비 속성 항목에 신비 속성 아이콘이 표시된다.</t>
  </si>
  <si>
    <t>기획서: 추천 아이콘</t>
  </si>
  <si>
    <t>추천 속성 UI에 3개 속성 표기 적용 시, 각 속성 아이콘이 겹침 없이 정렬되어 표시된다.</t>
  </si>
  <si>
    <t>기획서: UI 정렬</t>
  </si>
  <si>
    <t>탑의 균열</t>
  </si>
  <si>
    <t>탑의 균열 요일별 추천 속성 UI에 신비 속성 항목이 추가되어 표시된다.</t>
  </si>
  <si>
    <t>기획서: 탑의 균열 추천</t>
  </si>
  <si>
    <t>탑의 균열 추천 속성 UI에 2개 이상 속성 표기가 가능하도록 적용된다.</t>
  </si>
  <si>
    <t>기획서: 다중 속성 표기</t>
  </si>
  <si>
    <t>탑의 균열 추천 속성에 신비 속성 추천 시, 구성 추가 속성과 함께 편성된 형태로 표기된다.</t>
  </si>
  <si>
    <t>기획서: 추천 표기</t>
  </si>
  <si>
    <t>탑의 균열 신비 속성 추천 일자에 신비 속성 쿠키 편성 시, 추천 속성 보너스가 적용된다.</t>
  </si>
  <si>
    <t>추천 속성 인포 팝업</t>
  </si>
  <si>
    <t>탑의 균열 추천 속성 인포 팝업 진입 시, 신비 속성 항목이 추가되어 표시된다.</t>
  </si>
  <si>
    <t>기획서: 인포 팝업</t>
  </si>
  <si>
    <t>탑의 균열 추천 속성 인포 팝업에 신비 속성이 ○일 후 진행 정보로 표시된다.</t>
  </si>
  <si>
    <t>기획서: 진행 일자 표기</t>
  </si>
  <si>
    <t>탑의 균열 추천 속성 인포 팝업에 신비 속성 진행 일자에 따른 추가 속성 구성이 함께 표시된다.</t>
  </si>
  <si>
    <t>기획서: 인포 팝업 구성</t>
  </si>
  <si>
    <t>탑의 균열 추천 속성 UI 내 신비 속성 항목에 신비 속성 아이콘이 표시된다.</t>
  </si>
  <si>
    <t>탑의 균열 추천 속성 인포 팝업 닫기 버튼 터치 시, 인포 팝업이 종료된다.</t>
  </si>
  <si>
    <t>기획서: 팝업 닫기</t>
  </si>
  <si>
    <t>탑의 균열 추천 속성 UI에 다중 속성 아이콘 표기 시, 각 아이콘이 겹침 없이 정렬되어 표시된다.</t>
  </si>
  <si>
    <t>탑의 균열 추천 속성 인포 팝업 출력 시, 팝업 출력 효과음이 재생된다.</t>
  </si>
  <si>
    <t>무한의 미궁</t>
  </si>
  <si>
    <t>추천 속성</t>
  </si>
  <si>
    <t>무한의 미궁 던전 추천 속성에 신비 속성 항목이 추가되어 표시된다.</t>
  </si>
  <si>
    <t>기획서: 무한의 미궁 추천</t>
  </si>
  <si>
    <t>무한의 미궁 전용 던전 추천 속성에는 신비 속성이 추가되지 않는다.</t>
  </si>
  <si>
    <t>기획서: 전용 던전 예외</t>
  </si>
  <si>
    <t>무한의 미궁 마지막 스테이지 기준 1~2개 라운드의 추천 속성에 신비 속성이 포함되어 표시된다.</t>
  </si>
  <si>
    <t>기획서: 라운드별 추천</t>
  </si>
  <si>
    <t>무한의 미궁 신비 속성 추천 라운드에 신비 속성 쿠키 편성 시, 추천 속성 보너스가 적용된다.</t>
  </si>
  <si>
    <t>무한의 미궁 추천 속성 UI 내 신비 속성 항목에 신비 속성 아이콘이 표시된다.</t>
  </si>
  <si>
    <t>무한의 미궁 추천 속성에 신비 속성 표기 시, 신비 속성과 구분되는 텍스트 안내가 함께 표시된다.</t>
  </si>
  <si>
    <t>에픽 쿠키 뽑기</t>
  </si>
  <si>
    <t>신비 속성 뽑기 배경</t>
  </si>
  <si>
    <t>신비 속성 에픽 쿠키 뽑기 화면 진입 시, 신비 속성 전용 뽑기 배경(낮 또는 밤 1종)이 출력된다.</t>
  </si>
  <si>
    <t>기획서: 뽑기 배경</t>
  </si>
  <si>
    <t>신비 속성 에픽 쿠키 뽑기 배경이 기존 속성 뽑기 배경과 구분되는 디자인으로 표시된다.</t>
  </si>
  <si>
    <t>기획서: 배경 디자인</t>
  </si>
  <si>
    <t>신비 속성 에픽 쿠키 뽑기 화면 진입 시, 배경 출력 연출이 재생된다.</t>
  </si>
  <si>
    <t>신비 속성 에픽 쿠키 뽑기 화면 진입 시, 진입 효과음이 출력된다.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</si>
</sst>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COUNTIF(I10:I117,"Pass")</f>
      </c>
      <c r="K3" t="s">
        <v>4</v>
      </c>
      <c r="L3">
        <f>COUNTIF(I10:I117,"")</f>
      </c>
      <c r="M3" s="3" t="s">
        <v>3</v>
      </c>
      <c r="N3">
        <f>COUNTIF(J10:J117,"Pass")</f>
      </c>
    </row>
    <row r="4" spans="9:14" x14ac:dyDescent="0.25">
      <c r="I4" s="4" t="s">
        <v>5</v>
      </c>
      <c r="J4">
        <f>COUNTIF(I10:I117,"N/T")</f>
      </c>
      <c r="K4" t="s">
        <v>6</v>
      </c>
      <c r="L4">
        <f>COUNTA(I10:I117)-COUNTIF(I10:I117,"")</f>
      </c>
      <c r="M4" s="4" t="s">
        <v>5</v>
      </c>
      <c r="N4">
        <f>COUNTIF(J10:J117,"N/T")</f>
      </c>
    </row>
    <row r="5" spans="9:14" x14ac:dyDescent="0.25">
      <c r="I5" s="5" t="s">
        <v>7</v>
      </c>
      <c r="J5">
        <f>COUNTIF(I10:I117,"Fail")</f>
      </c>
      <c r="K5" t="s">
        <v>8</v>
      </c>
      <c r="L5">
        <v>108</v>
      </c>
      <c r="M5" s="5" t="s">
        <v>7</v>
      </c>
      <c r="N5">
        <f>COUNTIF(J10:J117,"Fail")</f>
      </c>
    </row>
    <row r="6" spans="9:14" x14ac:dyDescent="0.25">
      <c r="I6" s="6" t="s">
        <v>9</v>
      </c>
      <c r="J6">
        <f>COUNTIF(I10:I117,"Block")</f>
      </c>
      <c r="K6" t="s">
        <v>10</v>
      </c>
      <c r="L6" s="7">
        <f>IF(L5=0,0,L4/L5)</f>
      </c>
      <c r="M6" s="6" t="s">
        <v>9</v>
      </c>
      <c r="N6">
        <f>COUNTIF(J10:J117,"Block")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11</v>
      </c>
      <c r="G10" s="12" t="s">
        <v>11</v>
      </c>
      <c r="H10" s="13" t="s">
        <v>25</v>
      </c>
      <c r="I10" s="12"/>
      <c r="J10" s="12"/>
      <c r="K10" s="12"/>
      <c r="L10" s="12"/>
      <c r="M10" s="12"/>
      <c r="N10" s="14" t="s">
        <v>26</v>
      </c>
    </row>
    <row r="11" spans="2:14" x14ac:dyDescent="0.25">
      <c r="B11" s="9">
        <v>2</v>
      </c>
      <c r="C11" s="10" t="s">
        <v>22</v>
      </c>
      <c r="D11" s="11"/>
      <c r="E11" s="11"/>
      <c r="F11" s="12" t="s">
        <v>11</v>
      </c>
      <c r="G11" s="12" t="s">
        <v>11</v>
      </c>
      <c r="H11" s="13" t="s">
        <v>27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2" t="s">
        <v>11</v>
      </c>
      <c r="G12" s="12" t="s">
        <v>11</v>
      </c>
      <c r="H12" s="13" t="s">
        <v>29</v>
      </c>
      <c r="I12" s="12"/>
      <c r="J12" s="12"/>
      <c r="K12" s="12"/>
      <c r="L12" s="12"/>
      <c r="M12" s="12"/>
      <c r="N12" s="14" t="s">
        <v>30</v>
      </c>
    </row>
    <row r="13" spans="2:14" x14ac:dyDescent="0.25">
      <c r="B13" s="9">
        <v>4</v>
      </c>
      <c r="C13" s="10" t="s">
        <v>22</v>
      </c>
      <c r="D13" s="11"/>
      <c r="E13" s="11"/>
      <c r="F13" s="12" t="s">
        <v>11</v>
      </c>
      <c r="G13" s="12" t="s">
        <v>11</v>
      </c>
      <c r="H13" s="13" t="s">
        <v>31</v>
      </c>
      <c r="I13" s="12"/>
      <c r="J13" s="12"/>
      <c r="K13" s="12"/>
      <c r="L13" s="12"/>
      <c r="M13" s="12"/>
      <c r="N13" s="14" t="s">
        <v>32</v>
      </c>
    </row>
    <row r="14" spans="2:14" x14ac:dyDescent="0.25">
      <c r="B14" s="9">
        <v>5</v>
      </c>
      <c r="C14" s="10" t="s">
        <v>22</v>
      </c>
      <c r="D14" s="11"/>
      <c r="E14" s="11"/>
      <c r="F14" s="12" t="s">
        <v>11</v>
      </c>
      <c r="G14" s="12" t="s">
        <v>11</v>
      </c>
      <c r="H14" s="13" t="s">
        <v>33</v>
      </c>
      <c r="I14" s="12"/>
      <c r="J14" s="12"/>
      <c r="K14" s="12"/>
      <c r="L14" s="12"/>
      <c r="M14" s="12"/>
      <c r="N14" s="14" t="s">
        <v>34</v>
      </c>
    </row>
    <row r="15" spans="2:14" x14ac:dyDescent="0.25">
      <c r="B15" s="9">
        <v>6</v>
      </c>
      <c r="C15" s="10" t="s">
        <v>22</v>
      </c>
      <c r="D15" s="11"/>
      <c r="E15" s="11"/>
      <c r="F15" s="12" t="s">
        <v>11</v>
      </c>
      <c r="G15" s="12" t="s">
        <v>11</v>
      </c>
      <c r="H15" s="13" t="s">
        <v>35</v>
      </c>
      <c r="I15" s="12"/>
      <c r="J15" s="12"/>
      <c r="K15" s="12"/>
      <c r="L15" s="12"/>
      <c r="M15" s="12"/>
      <c r="N15" s="14" t="s">
        <v>36</v>
      </c>
    </row>
    <row r="16" spans="2:14" x14ac:dyDescent="0.25">
      <c r="B16" s="9">
        <v>7</v>
      </c>
      <c r="C16" s="15" t="s">
        <v>37</v>
      </c>
      <c r="D16" s="11"/>
      <c r="E16" s="11"/>
      <c r="F16" s="12" t="s">
        <v>11</v>
      </c>
      <c r="G16" s="12" t="s">
        <v>11</v>
      </c>
      <c r="H16" s="13" t="s">
        <v>38</v>
      </c>
      <c r="I16" s="12"/>
      <c r="J16" s="12"/>
      <c r="K16" s="12"/>
      <c r="L16" s="12"/>
      <c r="M16" s="12"/>
      <c r="N16" s="14" t="s">
        <v>39</v>
      </c>
    </row>
    <row r="17" spans="2:14" x14ac:dyDescent="0.25">
      <c r="B17" s="9">
        <v>8</v>
      </c>
      <c r="C17" s="15" t="s">
        <v>37</v>
      </c>
      <c r="D17" s="11"/>
      <c r="E17" s="11"/>
      <c r="F17" s="12" t="s">
        <v>11</v>
      </c>
      <c r="G17" s="12" t="s">
        <v>11</v>
      </c>
      <c r="H17" s="13" t="s">
        <v>40</v>
      </c>
      <c r="I17" s="12"/>
      <c r="J17" s="12"/>
      <c r="K17" s="12"/>
      <c r="L17" s="12"/>
      <c r="M17" s="12"/>
      <c r="N17" s="14" t="s">
        <v>41</v>
      </c>
    </row>
    <row r="18" spans="2:14" x14ac:dyDescent="0.25">
      <c r="B18" s="9">
        <v>9</v>
      </c>
      <c r="C18" s="10" t="s">
        <v>22</v>
      </c>
      <c r="D18" s="11" t="s">
        <v>42</v>
      </c>
      <c r="E18" s="11" t="s">
        <v>43</v>
      </c>
      <c r="F18" s="12" t="s">
        <v>11</v>
      </c>
      <c r="G18" s="12" t="s">
        <v>11</v>
      </c>
      <c r="H18" s="13" t="s">
        <v>44</v>
      </c>
      <c r="I18" s="12"/>
      <c r="J18" s="12"/>
      <c r="K18" s="12"/>
      <c r="L18" s="12"/>
      <c r="M18" s="12"/>
      <c r="N18" s="14" t="s">
        <v>45</v>
      </c>
    </row>
    <row r="19" spans="2:14" x14ac:dyDescent="0.25">
      <c r="B19" s="9">
        <v>10</v>
      </c>
      <c r="C19" s="10" t="s">
        <v>22</v>
      </c>
      <c r="D19" s="11"/>
      <c r="E19" s="11"/>
      <c r="F19" s="12" t="s">
        <v>11</v>
      </c>
      <c r="G19" s="12" t="s">
        <v>11</v>
      </c>
      <c r="H19" s="13" t="s">
        <v>46</v>
      </c>
      <c r="I19" s="12"/>
      <c r="J19" s="12"/>
      <c r="K19" s="12"/>
      <c r="L19" s="12"/>
      <c r="M19" s="12"/>
      <c r="N19" s="14" t="s">
        <v>45</v>
      </c>
    </row>
    <row r="20" spans="2:14" x14ac:dyDescent="0.25">
      <c r="B20" s="9">
        <v>11</v>
      </c>
      <c r="C20" s="10" t="s">
        <v>22</v>
      </c>
      <c r="D20" s="11"/>
      <c r="E20" s="11"/>
      <c r="F20" s="12" t="s">
        <v>11</v>
      </c>
      <c r="G20" s="12" t="s">
        <v>11</v>
      </c>
      <c r="H20" s="13" t="s">
        <v>47</v>
      </c>
      <c r="I20" s="12"/>
      <c r="J20" s="12"/>
      <c r="K20" s="12"/>
      <c r="L20" s="12"/>
      <c r="M20" s="12"/>
      <c r="N20" s="14" t="s">
        <v>48</v>
      </c>
    </row>
    <row r="21" spans="2:14" x14ac:dyDescent="0.25">
      <c r="B21" s="9">
        <v>12</v>
      </c>
      <c r="C21" s="15" t="s">
        <v>37</v>
      </c>
      <c r="D21" s="11"/>
      <c r="E21" s="11"/>
      <c r="F21" s="12" t="s">
        <v>11</v>
      </c>
      <c r="G21" s="12" t="s">
        <v>11</v>
      </c>
      <c r="H21" s="13" t="s">
        <v>49</v>
      </c>
      <c r="I21" s="12"/>
      <c r="J21" s="12"/>
      <c r="K21" s="12"/>
      <c r="L21" s="12"/>
      <c r="M21" s="12"/>
      <c r="N21" s="14" t="s">
        <v>50</v>
      </c>
    </row>
    <row r="22" spans="2:14" x14ac:dyDescent="0.25">
      <c r="B22" s="9">
        <v>13</v>
      </c>
      <c r="C22" s="15" t="s">
        <v>37</v>
      </c>
      <c r="D22" s="11"/>
      <c r="E22" s="11"/>
      <c r="F22" s="12" t="s">
        <v>11</v>
      </c>
      <c r="G22" s="12" t="s">
        <v>11</v>
      </c>
      <c r="H22" s="13" t="s">
        <v>51</v>
      </c>
      <c r="I22" s="12"/>
      <c r="J22" s="12"/>
      <c r="K22" s="12"/>
      <c r="L22" s="12"/>
      <c r="M22" s="12"/>
      <c r="N22" s="14" t="s">
        <v>52</v>
      </c>
    </row>
    <row r="23" spans="2:14" x14ac:dyDescent="0.25">
      <c r="B23" s="9">
        <v>14</v>
      </c>
      <c r="C23" s="10" t="s">
        <v>22</v>
      </c>
      <c r="D23" s="11" t="s">
        <v>53</v>
      </c>
      <c r="E23" s="11" t="s">
        <v>54</v>
      </c>
      <c r="F23" s="12" t="s">
        <v>11</v>
      </c>
      <c r="G23" s="12" t="s">
        <v>11</v>
      </c>
      <c r="H23" s="13" t="s">
        <v>55</v>
      </c>
      <c r="I23" s="12"/>
      <c r="J23" s="12"/>
      <c r="K23" s="12"/>
      <c r="L23" s="12"/>
      <c r="M23" s="12"/>
      <c r="N23" s="14" t="s">
        <v>56</v>
      </c>
    </row>
    <row r="24" spans="2:14" x14ac:dyDescent="0.25">
      <c r="B24" s="9">
        <v>15</v>
      </c>
      <c r="C24" s="10" t="s">
        <v>22</v>
      </c>
      <c r="D24" s="11"/>
      <c r="E24" s="11"/>
      <c r="F24" s="12" t="s">
        <v>11</v>
      </c>
      <c r="G24" s="12" t="s">
        <v>11</v>
      </c>
      <c r="H24" s="13" t="s">
        <v>57</v>
      </c>
      <c r="I24" s="12"/>
      <c r="J24" s="12"/>
      <c r="K24" s="12"/>
      <c r="L24" s="12"/>
      <c r="M24" s="12"/>
      <c r="N24" s="14" t="s">
        <v>58</v>
      </c>
    </row>
    <row r="25" spans="2:14" x14ac:dyDescent="0.25">
      <c r="B25" s="9">
        <v>16</v>
      </c>
      <c r="C25" s="10" t="s">
        <v>22</v>
      </c>
      <c r="D25" s="11"/>
      <c r="E25" s="11"/>
      <c r="F25" s="12" t="s">
        <v>11</v>
      </c>
      <c r="G25" s="12" t="s">
        <v>11</v>
      </c>
      <c r="H25" s="13" t="s">
        <v>59</v>
      </c>
      <c r="I25" s="12"/>
      <c r="J25" s="12"/>
      <c r="K25" s="12"/>
      <c r="L25" s="12"/>
      <c r="M25" s="12"/>
      <c r="N25" s="14" t="s">
        <v>60</v>
      </c>
    </row>
    <row r="26" spans="2:14" x14ac:dyDescent="0.25">
      <c r="B26" s="9">
        <v>17</v>
      </c>
      <c r="C26" s="10" t="s">
        <v>22</v>
      </c>
      <c r="D26" s="11"/>
      <c r="E26" s="11"/>
      <c r="F26" s="12" t="s">
        <v>11</v>
      </c>
      <c r="G26" s="12" t="s">
        <v>11</v>
      </c>
      <c r="H26" s="13" t="s">
        <v>61</v>
      </c>
      <c r="I26" s="12"/>
      <c r="J26" s="12"/>
      <c r="K26" s="12"/>
      <c r="L26" s="12"/>
      <c r="M26" s="12"/>
      <c r="N26" s="14" t="s">
        <v>62</v>
      </c>
    </row>
    <row r="27" spans="2:14" x14ac:dyDescent="0.25">
      <c r="B27" s="9">
        <v>18</v>
      </c>
      <c r="C27" s="16" t="s">
        <v>63</v>
      </c>
      <c r="D27" s="11"/>
      <c r="E27" s="11"/>
      <c r="F27" s="12" t="s">
        <v>11</v>
      </c>
      <c r="G27" s="12" t="s">
        <v>11</v>
      </c>
      <c r="H27" s="13" t="s">
        <v>64</v>
      </c>
      <c r="I27" s="12"/>
      <c r="J27" s="12"/>
      <c r="K27" s="12"/>
      <c r="L27" s="12"/>
      <c r="M27" s="12"/>
      <c r="N27" s="14" t="s">
        <v>65</v>
      </c>
    </row>
    <row r="28" spans="2:14" x14ac:dyDescent="0.25">
      <c r="B28" s="9">
        <v>19</v>
      </c>
      <c r="C28" s="10" t="s">
        <v>22</v>
      </c>
      <c r="D28" s="11"/>
      <c r="E28" s="11"/>
      <c r="F28" s="12" t="s">
        <v>11</v>
      </c>
      <c r="G28" s="12" t="s">
        <v>11</v>
      </c>
      <c r="H28" s="13" t="s">
        <v>66</v>
      </c>
      <c r="I28" s="12"/>
      <c r="J28" s="12"/>
      <c r="K28" s="12"/>
      <c r="L28" s="12"/>
      <c r="M28" s="12"/>
      <c r="N28" s="14" t="s">
        <v>67</v>
      </c>
    </row>
    <row r="29" spans="2:14" x14ac:dyDescent="0.25">
      <c r="B29" s="9">
        <v>20</v>
      </c>
      <c r="C29" s="10" t="s">
        <v>22</v>
      </c>
      <c r="D29" s="11"/>
      <c r="E29" s="11" t="s">
        <v>68</v>
      </c>
      <c r="F29" s="12" t="s">
        <v>11</v>
      </c>
      <c r="G29" s="12" t="s">
        <v>11</v>
      </c>
      <c r="H29" s="13" t="s">
        <v>69</v>
      </c>
      <c r="I29" s="12"/>
      <c r="J29" s="12"/>
      <c r="K29" s="12"/>
      <c r="L29" s="12"/>
      <c r="M29" s="12"/>
      <c r="N29" s="14" t="s">
        <v>70</v>
      </c>
    </row>
    <row r="30" spans="2:14" x14ac:dyDescent="0.25">
      <c r="B30" s="9">
        <v>21</v>
      </c>
      <c r="C30" s="10" t="s">
        <v>22</v>
      </c>
      <c r="D30" s="11"/>
      <c r="E30" s="11"/>
      <c r="F30" s="12" t="s">
        <v>11</v>
      </c>
      <c r="G30" s="12" t="s">
        <v>11</v>
      </c>
      <c r="H30" s="13" t="s">
        <v>71</v>
      </c>
      <c r="I30" s="12"/>
      <c r="J30" s="12"/>
      <c r="K30" s="12"/>
      <c r="L30" s="12"/>
      <c r="M30" s="12"/>
      <c r="N30" s="14" t="s">
        <v>72</v>
      </c>
    </row>
    <row r="31" spans="2:14" x14ac:dyDescent="0.25">
      <c r="B31" s="9">
        <v>22</v>
      </c>
      <c r="C31" s="16" t="s">
        <v>63</v>
      </c>
      <c r="D31" s="11"/>
      <c r="E31" s="11"/>
      <c r="F31" s="12" t="s">
        <v>11</v>
      </c>
      <c r="G31" s="12" t="s">
        <v>11</v>
      </c>
      <c r="H31" s="13" t="s">
        <v>73</v>
      </c>
      <c r="I31" s="12"/>
      <c r="J31" s="12"/>
      <c r="K31" s="12"/>
      <c r="L31" s="12"/>
      <c r="M31" s="12"/>
      <c r="N31" s="14" t="s">
        <v>74</v>
      </c>
    </row>
    <row r="32" spans="2:14" x14ac:dyDescent="0.25">
      <c r="B32" s="9">
        <v>23</v>
      </c>
      <c r="C32" s="10" t="s">
        <v>22</v>
      </c>
      <c r="D32" s="11"/>
      <c r="E32" s="11" t="s">
        <v>75</v>
      </c>
      <c r="F32" s="12" t="s">
        <v>11</v>
      </c>
      <c r="G32" s="12" t="s">
        <v>11</v>
      </c>
      <c r="H32" s="13" t="s">
        <v>76</v>
      </c>
      <c r="I32" s="12"/>
      <c r="J32" s="12"/>
      <c r="K32" s="12"/>
      <c r="L32" s="12"/>
      <c r="M32" s="12"/>
      <c r="N32" s="14" t="s">
        <v>77</v>
      </c>
    </row>
    <row r="33" spans="2:14" x14ac:dyDescent="0.25">
      <c r="B33" s="9">
        <v>24</v>
      </c>
      <c r="C33" s="10" t="s">
        <v>22</v>
      </c>
      <c r="D33" s="11"/>
      <c r="E33" s="11"/>
      <c r="F33" s="12" t="s">
        <v>11</v>
      </c>
      <c r="G33" s="12" t="s">
        <v>11</v>
      </c>
      <c r="H33" s="13" t="s">
        <v>78</v>
      </c>
      <c r="I33" s="12"/>
      <c r="J33" s="12"/>
      <c r="K33" s="12"/>
      <c r="L33" s="12"/>
      <c r="M33" s="12"/>
      <c r="N33" s="14" t="s">
        <v>79</v>
      </c>
    </row>
    <row r="34" spans="2:14" x14ac:dyDescent="0.25">
      <c r="B34" s="9">
        <v>25</v>
      </c>
      <c r="C34" s="10" t="s">
        <v>22</v>
      </c>
      <c r="D34" s="11"/>
      <c r="E34" s="11"/>
      <c r="F34" s="12" t="s">
        <v>11</v>
      </c>
      <c r="G34" s="12" t="s">
        <v>11</v>
      </c>
      <c r="H34" s="13" t="s">
        <v>80</v>
      </c>
      <c r="I34" s="12"/>
      <c r="J34" s="12"/>
      <c r="K34" s="12"/>
      <c r="L34" s="12"/>
      <c r="M34" s="12"/>
      <c r="N34" s="14" t="s">
        <v>81</v>
      </c>
    </row>
    <row r="35" spans="2:14" x14ac:dyDescent="0.25">
      <c r="B35" s="9">
        <v>26</v>
      </c>
      <c r="C35" s="15" t="s">
        <v>37</v>
      </c>
      <c r="D35" s="11"/>
      <c r="E35" s="11"/>
      <c r="F35" s="12" t="s">
        <v>11</v>
      </c>
      <c r="G35" s="12" t="s">
        <v>11</v>
      </c>
      <c r="H35" s="13" t="s">
        <v>82</v>
      </c>
      <c r="I35" s="12"/>
      <c r="J35" s="12"/>
      <c r="K35" s="12"/>
      <c r="L35" s="12"/>
      <c r="M35" s="12"/>
      <c r="N35" s="14" t="s">
        <v>83</v>
      </c>
    </row>
    <row r="36" spans="2:14" x14ac:dyDescent="0.25">
      <c r="B36" s="9">
        <v>27</v>
      </c>
      <c r="C36" s="15" t="s">
        <v>37</v>
      </c>
      <c r="D36" s="11"/>
      <c r="E36" s="11"/>
      <c r="F36" s="12" t="s">
        <v>11</v>
      </c>
      <c r="G36" s="12" t="s">
        <v>11</v>
      </c>
      <c r="H36" s="13" t="s">
        <v>84</v>
      </c>
      <c r="I36" s="12"/>
      <c r="J36" s="12"/>
      <c r="K36" s="12"/>
      <c r="L36" s="12"/>
      <c r="M36" s="12"/>
      <c r="N36" s="14" t="s">
        <v>85</v>
      </c>
    </row>
    <row r="37" spans="2:14" x14ac:dyDescent="0.25">
      <c r="B37" s="9">
        <v>28</v>
      </c>
      <c r="C37" s="15" t="s">
        <v>37</v>
      </c>
      <c r="D37" s="11"/>
      <c r="E37" s="11"/>
      <c r="F37" s="12" t="s">
        <v>11</v>
      </c>
      <c r="G37" s="12" t="s">
        <v>11</v>
      </c>
      <c r="H37" s="13" t="s">
        <v>86</v>
      </c>
      <c r="I37" s="12"/>
      <c r="J37" s="12"/>
      <c r="K37" s="12"/>
      <c r="L37" s="12"/>
      <c r="M37" s="12"/>
      <c r="N37" s="14" t="s">
        <v>87</v>
      </c>
    </row>
    <row r="38" spans="2:14" x14ac:dyDescent="0.25">
      <c r="B38" s="9">
        <v>29</v>
      </c>
      <c r="C38" s="15" t="s">
        <v>37</v>
      </c>
      <c r="D38" s="11"/>
      <c r="E38" s="12" t="s">
        <v>54</v>
      </c>
      <c r="F38" s="12" t="s">
        <v>11</v>
      </c>
      <c r="G38" s="12" t="s">
        <v>11</v>
      </c>
      <c r="H38" s="13" t="s">
        <v>88</v>
      </c>
      <c r="I38" s="12"/>
      <c r="J38" s="12"/>
      <c r="K38" s="12"/>
      <c r="L38" s="12"/>
      <c r="M38" s="12"/>
      <c r="N38" s="14" t="s">
        <v>89</v>
      </c>
    </row>
    <row r="39" spans="2:14" x14ac:dyDescent="0.25">
      <c r="B39" s="9">
        <v>30</v>
      </c>
      <c r="C39" s="10" t="s">
        <v>22</v>
      </c>
      <c r="D39" s="11" t="s">
        <v>90</v>
      </c>
      <c r="E39" s="11" t="s">
        <v>91</v>
      </c>
      <c r="F39" s="12" t="s">
        <v>11</v>
      </c>
      <c r="G39" s="12" t="s">
        <v>11</v>
      </c>
      <c r="H39" s="13" t="s">
        <v>92</v>
      </c>
      <c r="I39" s="12"/>
      <c r="J39" s="12"/>
      <c r="K39" s="12"/>
      <c r="L39" s="12"/>
      <c r="M39" s="12"/>
      <c r="N39" s="14" t="s">
        <v>93</v>
      </c>
    </row>
    <row r="40" spans="2:14" x14ac:dyDescent="0.25">
      <c r="B40" s="9">
        <v>31</v>
      </c>
      <c r="C40" s="10" t="s">
        <v>22</v>
      </c>
      <c r="D40" s="11"/>
      <c r="E40" s="11"/>
      <c r="F40" s="12" t="s">
        <v>11</v>
      </c>
      <c r="G40" s="12" t="s">
        <v>11</v>
      </c>
      <c r="H40" s="13" t="s">
        <v>94</v>
      </c>
      <c r="I40" s="12"/>
      <c r="J40" s="12"/>
      <c r="K40" s="12"/>
      <c r="L40" s="12"/>
      <c r="M40" s="12"/>
      <c r="N40" s="14" t="s">
        <v>95</v>
      </c>
    </row>
    <row r="41" spans="2:14" x14ac:dyDescent="0.25">
      <c r="B41" s="9">
        <v>32</v>
      </c>
      <c r="C41" s="10" t="s">
        <v>22</v>
      </c>
      <c r="D41" s="11"/>
      <c r="E41" s="11"/>
      <c r="F41" s="12" t="s">
        <v>11</v>
      </c>
      <c r="G41" s="12" t="s">
        <v>11</v>
      </c>
      <c r="H41" s="13" t="s">
        <v>96</v>
      </c>
      <c r="I41" s="12"/>
      <c r="J41" s="12"/>
      <c r="K41" s="12"/>
      <c r="L41" s="12"/>
      <c r="M41" s="12"/>
      <c r="N41" s="14" t="s">
        <v>97</v>
      </c>
    </row>
    <row r="42" spans="2:14" x14ac:dyDescent="0.25">
      <c r="B42" s="9">
        <v>33</v>
      </c>
      <c r="C42" s="16" t="s">
        <v>63</v>
      </c>
      <c r="D42" s="11"/>
      <c r="E42" s="11"/>
      <c r="F42" s="12" t="s">
        <v>11</v>
      </c>
      <c r="G42" s="12" t="s">
        <v>11</v>
      </c>
      <c r="H42" s="13" t="s">
        <v>98</v>
      </c>
      <c r="I42" s="12"/>
      <c r="J42" s="12"/>
      <c r="K42" s="12"/>
      <c r="L42" s="12"/>
      <c r="M42" s="12"/>
      <c r="N42" s="14" t="s">
        <v>99</v>
      </c>
    </row>
    <row r="43" spans="2:14" x14ac:dyDescent="0.25">
      <c r="B43" s="9">
        <v>34</v>
      </c>
      <c r="C43" s="10" t="s">
        <v>22</v>
      </c>
      <c r="D43" s="11"/>
      <c r="E43" s="11"/>
      <c r="F43" s="12" t="s">
        <v>11</v>
      </c>
      <c r="G43" s="12" t="s">
        <v>11</v>
      </c>
      <c r="H43" s="13" t="s">
        <v>100</v>
      </c>
      <c r="I43" s="12"/>
      <c r="J43" s="12"/>
      <c r="K43" s="12"/>
      <c r="L43" s="12"/>
      <c r="M43" s="12"/>
      <c r="N43" s="14" t="s">
        <v>101</v>
      </c>
    </row>
    <row r="44" spans="2:14" x14ac:dyDescent="0.25">
      <c r="B44" s="9">
        <v>35</v>
      </c>
      <c r="C44" s="15" t="s">
        <v>37</v>
      </c>
      <c r="D44" s="11"/>
      <c r="E44" s="11"/>
      <c r="F44" s="12" t="s">
        <v>11</v>
      </c>
      <c r="G44" s="12" t="s">
        <v>11</v>
      </c>
      <c r="H44" s="13" t="s">
        <v>102</v>
      </c>
      <c r="I44" s="12"/>
      <c r="J44" s="12"/>
      <c r="K44" s="12"/>
      <c r="L44" s="12"/>
      <c r="M44" s="12"/>
      <c r="N44" s="14" t="s">
        <v>85</v>
      </c>
    </row>
    <row r="45" spans="2:14" x14ac:dyDescent="0.25">
      <c r="B45" s="9">
        <v>36</v>
      </c>
      <c r="C45" s="15" t="s">
        <v>37</v>
      </c>
      <c r="D45" s="11"/>
      <c r="E45" s="11"/>
      <c r="F45" s="12" t="s">
        <v>11</v>
      </c>
      <c r="G45" s="12" t="s">
        <v>11</v>
      </c>
      <c r="H45" s="13" t="s">
        <v>103</v>
      </c>
      <c r="I45" s="12"/>
      <c r="J45" s="12"/>
      <c r="K45" s="12"/>
      <c r="L45" s="12"/>
      <c r="M45" s="12"/>
      <c r="N45" s="14" t="s">
        <v>87</v>
      </c>
    </row>
    <row r="46" spans="2:14" x14ac:dyDescent="0.25">
      <c r="B46" s="9">
        <v>37</v>
      </c>
      <c r="C46" s="10" t="s">
        <v>22</v>
      </c>
      <c r="D46" s="11" t="s">
        <v>104</v>
      </c>
      <c r="E46" s="11" t="s">
        <v>105</v>
      </c>
      <c r="F46" s="12" t="s">
        <v>11</v>
      </c>
      <c r="G46" s="12" t="s">
        <v>11</v>
      </c>
      <c r="H46" s="13" t="s">
        <v>106</v>
      </c>
      <c r="I46" s="12"/>
      <c r="J46" s="12"/>
      <c r="K46" s="12"/>
      <c r="L46" s="12"/>
      <c r="M46" s="12"/>
      <c r="N46" s="14" t="s">
        <v>107</v>
      </c>
    </row>
    <row r="47" spans="2:14" x14ac:dyDescent="0.25">
      <c r="B47" s="9">
        <v>38</v>
      </c>
      <c r="C47" s="10" t="s">
        <v>22</v>
      </c>
      <c r="D47" s="11"/>
      <c r="E47" s="11"/>
      <c r="F47" s="12" t="s">
        <v>11</v>
      </c>
      <c r="G47" s="12" t="s">
        <v>11</v>
      </c>
      <c r="H47" s="13" t="s">
        <v>108</v>
      </c>
      <c r="I47" s="12"/>
      <c r="J47" s="12"/>
      <c r="K47" s="12"/>
      <c r="L47" s="12"/>
      <c r="M47" s="12"/>
      <c r="N47" s="14" t="s">
        <v>109</v>
      </c>
    </row>
    <row r="48" spans="2:14" x14ac:dyDescent="0.25">
      <c r="B48" s="9">
        <v>39</v>
      </c>
      <c r="C48" s="10" t="s">
        <v>22</v>
      </c>
      <c r="D48" s="11"/>
      <c r="E48" s="11" t="s">
        <v>110</v>
      </c>
      <c r="F48" s="12" t="s">
        <v>11</v>
      </c>
      <c r="G48" s="12" t="s">
        <v>11</v>
      </c>
      <c r="H48" s="13" t="s">
        <v>111</v>
      </c>
      <c r="I48" s="12"/>
      <c r="J48" s="12"/>
      <c r="K48" s="12"/>
      <c r="L48" s="12"/>
      <c r="M48" s="12"/>
      <c r="N48" s="14" t="s">
        <v>112</v>
      </c>
    </row>
    <row r="49" spans="2:14" x14ac:dyDescent="0.25">
      <c r="B49" s="9">
        <v>40</v>
      </c>
      <c r="C49" s="10" t="s">
        <v>22</v>
      </c>
      <c r="D49" s="11"/>
      <c r="E49" s="11"/>
      <c r="F49" s="12" t="s">
        <v>11</v>
      </c>
      <c r="G49" s="12" t="s">
        <v>11</v>
      </c>
      <c r="H49" s="13" t="s">
        <v>113</v>
      </c>
      <c r="I49" s="12"/>
      <c r="J49" s="12"/>
      <c r="K49" s="12"/>
      <c r="L49" s="12"/>
      <c r="M49" s="12"/>
      <c r="N49" s="14" t="s">
        <v>114</v>
      </c>
    </row>
    <row r="50" spans="2:14" x14ac:dyDescent="0.25">
      <c r="B50" s="9">
        <v>41</v>
      </c>
      <c r="C50" s="10" t="s">
        <v>22</v>
      </c>
      <c r="D50" s="11"/>
      <c r="E50" s="11" t="s">
        <v>115</v>
      </c>
      <c r="F50" s="11" t="s">
        <v>116</v>
      </c>
      <c r="G50" s="12" t="s">
        <v>11</v>
      </c>
      <c r="H50" s="13" t="s">
        <v>117</v>
      </c>
      <c r="I50" s="12"/>
      <c r="J50" s="12"/>
      <c r="K50" s="12"/>
      <c r="L50" s="12"/>
      <c r="M50" s="12"/>
      <c r="N50" s="14" t="s">
        <v>118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11</v>
      </c>
      <c r="H51" s="13" t="s">
        <v>119</v>
      </c>
      <c r="I51" s="12"/>
      <c r="J51" s="12"/>
      <c r="K51" s="12"/>
      <c r="L51" s="12"/>
      <c r="M51" s="12"/>
      <c r="N51" s="14" t="s">
        <v>120</v>
      </c>
    </row>
    <row r="52" spans="2:14" x14ac:dyDescent="0.25">
      <c r="B52" s="9">
        <v>43</v>
      </c>
      <c r="C52" s="15" t="s">
        <v>37</v>
      </c>
      <c r="D52" s="11"/>
      <c r="E52" s="11"/>
      <c r="F52" s="11"/>
      <c r="G52" s="12" t="s">
        <v>11</v>
      </c>
      <c r="H52" s="13" t="s">
        <v>121</v>
      </c>
      <c r="I52" s="12"/>
      <c r="J52" s="12"/>
      <c r="K52" s="12"/>
      <c r="L52" s="12"/>
      <c r="M52" s="12"/>
      <c r="N52" s="14" t="s">
        <v>122</v>
      </c>
    </row>
    <row r="53" spans="2:14" x14ac:dyDescent="0.25">
      <c r="B53" s="9">
        <v>44</v>
      </c>
      <c r="C53" s="15" t="s">
        <v>37</v>
      </c>
      <c r="D53" s="11"/>
      <c r="E53" s="11"/>
      <c r="F53" s="11"/>
      <c r="G53" s="12" t="s">
        <v>11</v>
      </c>
      <c r="H53" s="13" t="s">
        <v>123</v>
      </c>
      <c r="I53" s="12"/>
      <c r="J53" s="12"/>
      <c r="K53" s="12"/>
      <c r="L53" s="12"/>
      <c r="M53" s="12"/>
      <c r="N53" s="14" t="s">
        <v>124</v>
      </c>
    </row>
    <row r="54" spans="2:14" x14ac:dyDescent="0.25">
      <c r="B54" s="9">
        <v>45</v>
      </c>
      <c r="C54" s="10" t="s">
        <v>22</v>
      </c>
      <c r="D54" s="11"/>
      <c r="E54" s="11"/>
      <c r="F54" s="11" t="s">
        <v>125</v>
      </c>
      <c r="G54" s="12" t="s">
        <v>11</v>
      </c>
      <c r="H54" s="13" t="s">
        <v>126</v>
      </c>
      <c r="I54" s="12"/>
      <c r="J54" s="12"/>
      <c r="K54" s="12"/>
      <c r="L54" s="12"/>
      <c r="M54" s="12"/>
      <c r="N54" s="14" t="s">
        <v>127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11</v>
      </c>
      <c r="H55" s="13" t="s">
        <v>128</v>
      </c>
      <c r="I55" s="12"/>
      <c r="J55" s="12"/>
      <c r="K55" s="12"/>
      <c r="L55" s="12"/>
      <c r="M55" s="12"/>
      <c r="N55" s="14" t="s">
        <v>129</v>
      </c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11</v>
      </c>
      <c r="H56" s="13" t="s">
        <v>130</v>
      </c>
      <c r="I56" s="12"/>
      <c r="J56" s="12"/>
      <c r="K56" s="12"/>
      <c r="L56" s="12"/>
      <c r="M56" s="12"/>
      <c r="N56" s="14" t="s">
        <v>131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11</v>
      </c>
      <c r="H57" s="13" t="s">
        <v>132</v>
      </c>
      <c r="I57" s="12"/>
      <c r="J57" s="12"/>
      <c r="K57" s="12"/>
      <c r="L57" s="12"/>
      <c r="M57" s="12"/>
      <c r="N57" s="14" t="s">
        <v>133</v>
      </c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11</v>
      </c>
      <c r="H58" s="13" t="s">
        <v>134</v>
      </c>
      <c r="I58" s="12"/>
      <c r="J58" s="12"/>
      <c r="K58" s="12"/>
      <c r="L58" s="12"/>
      <c r="M58" s="12"/>
      <c r="N58" s="14" t="s">
        <v>135</v>
      </c>
    </row>
    <row r="59" spans="2:14" x14ac:dyDescent="0.25">
      <c r="B59" s="9">
        <v>50</v>
      </c>
      <c r="C59" s="16" t="s">
        <v>63</v>
      </c>
      <c r="D59" s="11"/>
      <c r="E59" s="11"/>
      <c r="F59" s="11"/>
      <c r="G59" s="12" t="s">
        <v>11</v>
      </c>
      <c r="H59" s="13" t="s">
        <v>136</v>
      </c>
      <c r="I59" s="12"/>
      <c r="J59" s="12"/>
      <c r="K59" s="12"/>
      <c r="L59" s="12"/>
      <c r="M59" s="12"/>
      <c r="N59" s="14" t="s">
        <v>137</v>
      </c>
    </row>
    <row r="60" spans="2:14" x14ac:dyDescent="0.25">
      <c r="B60" s="9">
        <v>51</v>
      </c>
      <c r="C60" s="16" t="s">
        <v>63</v>
      </c>
      <c r="D60" s="11"/>
      <c r="E60" s="11"/>
      <c r="F60" s="11"/>
      <c r="G60" s="12" t="s">
        <v>11</v>
      </c>
      <c r="H60" s="13" t="s">
        <v>138</v>
      </c>
      <c r="I60" s="12"/>
      <c r="J60" s="12"/>
      <c r="K60" s="12"/>
      <c r="L60" s="12"/>
      <c r="M60" s="12"/>
      <c r="N60" s="14" t="s">
        <v>139</v>
      </c>
    </row>
    <row r="61" spans="2:14" x14ac:dyDescent="0.25">
      <c r="B61" s="9">
        <v>52</v>
      </c>
      <c r="C61" s="15" t="s">
        <v>37</v>
      </c>
      <c r="D61" s="11"/>
      <c r="E61" s="11"/>
      <c r="F61" s="11"/>
      <c r="G61" s="12" t="s">
        <v>11</v>
      </c>
      <c r="H61" s="13" t="s">
        <v>140</v>
      </c>
      <c r="I61" s="12"/>
      <c r="J61" s="12"/>
      <c r="K61" s="12"/>
      <c r="L61" s="12"/>
      <c r="M61" s="12"/>
      <c r="N61" s="14" t="s">
        <v>141</v>
      </c>
    </row>
    <row r="62" spans="2:14" x14ac:dyDescent="0.25">
      <c r="B62" s="9">
        <v>53</v>
      </c>
      <c r="C62" s="15" t="s">
        <v>37</v>
      </c>
      <c r="D62" s="11"/>
      <c r="E62" s="11"/>
      <c r="F62" s="11"/>
      <c r="G62" s="12" t="s">
        <v>11</v>
      </c>
      <c r="H62" s="13" t="s">
        <v>142</v>
      </c>
      <c r="I62" s="12"/>
      <c r="J62" s="12"/>
      <c r="K62" s="12"/>
      <c r="L62" s="12"/>
      <c r="M62" s="12"/>
      <c r="N62" s="14" t="s">
        <v>85</v>
      </c>
    </row>
    <row r="63" spans="2:14" x14ac:dyDescent="0.25">
      <c r="B63" s="9">
        <v>54</v>
      </c>
      <c r="C63" s="15" t="s">
        <v>37</v>
      </c>
      <c r="D63" s="11"/>
      <c r="E63" s="11"/>
      <c r="F63" s="11"/>
      <c r="G63" s="12" t="s">
        <v>11</v>
      </c>
      <c r="H63" s="13" t="s">
        <v>143</v>
      </c>
      <c r="I63" s="12"/>
      <c r="J63" s="12"/>
      <c r="K63" s="12"/>
      <c r="L63" s="12"/>
      <c r="M63" s="12"/>
      <c r="N63" s="14" t="s">
        <v>87</v>
      </c>
    </row>
    <row r="64" spans="2:14" x14ac:dyDescent="0.25">
      <c r="B64" s="9">
        <v>55</v>
      </c>
      <c r="C64" s="15" t="s">
        <v>37</v>
      </c>
      <c r="D64" s="11"/>
      <c r="E64" s="11"/>
      <c r="F64" s="11"/>
      <c r="G64" s="12" t="s">
        <v>11</v>
      </c>
      <c r="H64" s="13" t="s">
        <v>144</v>
      </c>
      <c r="I64" s="12"/>
      <c r="J64" s="12"/>
      <c r="K64" s="12"/>
      <c r="L64" s="12"/>
      <c r="M64" s="12"/>
      <c r="N64" s="14" t="s">
        <v>145</v>
      </c>
    </row>
    <row r="65" spans="2:14" x14ac:dyDescent="0.25">
      <c r="B65" s="9">
        <v>56</v>
      </c>
      <c r="C65" s="15" t="s">
        <v>37</v>
      </c>
      <c r="D65" s="11"/>
      <c r="E65" s="11"/>
      <c r="F65" s="12" t="s">
        <v>116</v>
      </c>
      <c r="G65" s="12" t="s">
        <v>11</v>
      </c>
      <c r="H65" s="13" t="s">
        <v>146</v>
      </c>
      <c r="I65" s="12"/>
      <c r="J65" s="12"/>
      <c r="K65" s="12"/>
      <c r="L65" s="12"/>
      <c r="M65" s="12"/>
      <c r="N65" s="14" t="s">
        <v>85</v>
      </c>
    </row>
    <row r="66" spans="2:14" x14ac:dyDescent="0.25">
      <c r="B66" s="9">
        <v>57</v>
      </c>
      <c r="C66" s="10" t="s">
        <v>22</v>
      </c>
      <c r="D66" s="11" t="s">
        <v>147</v>
      </c>
      <c r="E66" s="11" t="s">
        <v>148</v>
      </c>
      <c r="F66" s="12" t="s">
        <v>11</v>
      </c>
      <c r="G66" s="12" t="s">
        <v>11</v>
      </c>
      <c r="H66" s="13" t="s">
        <v>149</v>
      </c>
      <c r="I66" s="12"/>
      <c r="J66" s="12"/>
      <c r="K66" s="12"/>
      <c r="L66" s="12"/>
      <c r="M66" s="12"/>
      <c r="N66" s="14" t="s">
        <v>150</v>
      </c>
    </row>
    <row r="67" spans="2:14" x14ac:dyDescent="0.25">
      <c r="B67" s="9">
        <v>58</v>
      </c>
      <c r="C67" s="10" t="s">
        <v>22</v>
      </c>
      <c r="D67" s="11"/>
      <c r="E67" s="11"/>
      <c r="F67" s="12" t="s">
        <v>11</v>
      </c>
      <c r="G67" s="12" t="s">
        <v>11</v>
      </c>
      <c r="H67" s="13" t="s">
        <v>151</v>
      </c>
      <c r="I67" s="12"/>
      <c r="J67" s="12"/>
      <c r="K67" s="12"/>
      <c r="L67" s="12"/>
      <c r="M67" s="12"/>
      <c r="N67" s="14" t="s">
        <v>152</v>
      </c>
    </row>
    <row r="68" spans="2:14" x14ac:dyDescent="0.25">
      <c r="B68" s="9">
        <v>59</v>
      </c>
      <c r="C68" s="10" t="s">
        <v>22</v>
      </c>
      <c r="D68" s="11"/>
      <c r="E68" s="11"/>
      <c r="F68" s="12" t="s">
        <v>11</v>
      </c>
      <c r="G68" s="12" t="s">
        <v>11</v>
      </c>
      <c r="H68" s="13" t="s">
        <v>153</v>
      </c>
      <c r="I68" s="12"/>
      <c r="J68" s="12"/>
      <c r="K68" s="12"/>
      <c r="L68" s="12"/>
      <c r="M68" s="12"/>
      <c r="N68" s="14" t="s">
        <v>154</v>
      </c>
    </row>
    <row r="69" spans="2:14" x14ac:dyDescent="0.25">
      <c r="B69" s="9">
        <v>60</v>
      </c>
      <c r="C69" s="10" t="s">
        <v>22</v>
      </c>
      <c r="D69" s="11"/>
      <c r="E69" s="11"/>
      <c r="F69" s="12" t="s">
        <v>11</v>
      </c>
      <c r="G69" s="12" t="s">
        <v>11</v>
      </c>
      <c r="H69" s="13" t="s">
        <v>155</v>
      </c>
      <c r="I69" s="12"/>
      <c r="J69" s="12"/>
      <c r="K69" s="12"/>
      <c r="L69" s="12"/>
      <c r="M69" s="12"/>
      <c r="N69" s="14" t="s">
        <v>156</v>
      </c>
    </row>
    <row r="70" spans="2:14" x14ac:dyDescent="0.25">
      <c r="B70" s="9">
        <v>61</v>
      </c>
      <c r="C70" s="15" t="s">
        <v>37</v>
      </c>
      <c r="D70" s="11"/>
      <c r="E70" s="11"/>
      <c r="F70" s="12" t="s">
        <v>11</v>
      </c>
      <c r="G70" s="12" t="s">
        <v>11</v>
      </c>
      <c r="H70" s="13" t="s">
        <v>157</v>
      </c>
      <c r="I70" s="12"/>
      <c r="J70" s="12"/>
      <c r="K70" s="12"/>
      <c r="L70" s="12"/>
      <c r="M70" s="12"/>
      <c r="N70" s="14" t="s">
        <v>158</v>
      </c>
    </row>
    <row r="71" spans="2:14" x14ac:dyDescent="0.25">
      <c r="B71" s="9">
        <v>62</v>
      </c>
      <c r="C71" s="10" t="s">
        <v>22</v>
      </c>
      <c r="D71" s="11"/>
      <c r="E71" s="11" t="s">
        <v>159</v>
      </c>
      <c r="F71" s="12" t="s">
        <v>11</v>
      </c>
      <c r="G71" s="12" t="s">
        <v>11</v>
      </c>
      <c r="H71" s="13" t="s">
        <v>160</v>
      </c>
      <c r="I71" s="12"/>
      <c r="J71" s="12"/>
      <c r="K71" s="12"/>
      <c r="L71" s="12"/>
      <c r="M71" s="12"/>
      <c r="N71" s="14" t="s">
        <v>161</v>
      </c>
    </row>
    <row r="72" spans="2:14" x14ac:dyDescent="0.25">
      <c r="B72" s="9">
        <v>63</v>
      </c>
      <c r="C72" s="10" t="s">
        <v>22</v>
      </c>
      <c r="D72" s="11"/>
      <c r="E72" s="11"/>
      <c r="F72" s="12" t="s">
        <v>11</v>
      </c>
      <c r="G72" s="12" t="s">
        <v>11</v>
      </c>
      <c r="H72" s="13" t="s">
        <v>162</v>
      </c>
      <c r="I72" s="12"/>
      <c r="J72" s="12"/>
      <c r="K72" s="12"/>
      <c r="L72" s="12"/>
      <c r="M72" s="12"/>
      <c r="N72" s="14" t="s">
        <v>163</v>
      </c>
    </row>
    <row r="73" spans="2:14" x14ac:dyDescent="0.25">
      <c r="B73" s="9">
        <v>64</v>
      </c>
      <c r="C73" s="15" t="s">
        <v>37</v>
      </c>
      <c r="D73" s="11"/>
      <c r="E73" s="11"/>
      <c r="F73" s="12" t="s">
        <v>11</v>
      </c>
      <c r="G73" s="12" t="s">
        <v>11</v>
      </c>
      <c r="H73" s="13" t="s">
        <v>164</v>
      </c>
      <c r="I73" s="12"/>
      <c r="J73" s="12"/>
      <c r="K73" s="12"/>
      <c r="L73" s="12"/>
      <c r="M73" s="12"/>
      <c r="N73" s="14" t="s">
        <v>165</v>
      </c>
    </row>
    <row r="74" spans="2:14" x14ac:dyDescent="0.25">
      <c r="B74" s="9">
        <v>65</v>
      </c>
      <c r="C74" s="16" t="s">
        <v>63</v>
      </c>
      <c r="D74" s="11"/>
      <c r="E74" s="11" t="s">
        <v>166</v>
      </c>
      <c r="F74" s="12" t="s">
        <v>11</v>
      </c>
      <c r="G74" s="12" t="s">
        <v>11</v>
      </c>
      <c r="H74" s="13" t="s">
        <v>167</v>
      </c>
      <c r="I74" s="12"/>
      <c r="J74" s="12"/>
      <c r="K74" s="12"/>
      <c r="L74" s="12"/>
      <c r="M74" s="12"/>
      <c r="N74" s="14" t="s">
        <v>168</v>
      </c>
    </row>
    <row r="75" spans="2:14" x14ac:dyDescent="0.25">
      <c r="B75" s="9">
        <v>66</v>
      </c>
      <c r="C75" s="10" t="s">
        <v>22</v>
      </c>
      <c r="D75" s="11"/>
      <c r="E75" s="11"/>
      <c r="F75" s="12" t="s">
        <v>11</v>
      </c>
      <c r="G75" s="12" t="s">
        <v>11</v>
      </c>
      <c r="H75" s="13" t="s">
        <v>169</v>
      </c>
      <c r="I75" s="12"/>
      <c r="J75" s="12"/>
      <c r="K75" s="12"/>
      <c r="L75" s="12"/>
      <c r="M75" s="12"/>
      <c r="N75" s="14" t="s">
        <v>168</v>
      </c>
    </row>
    <row r="76" spans="2:14" x14ac:dyDescent="0.25">
      <c r="B76" s="9">
        <v>67</v>
      </c>
      <c r="C76" s="10" t="s">
        <v>22</v>
      </c>
      <c r="D76" s="11"/>
      <c r="E76" s="11"/>
      <c r="F76" s="12" t="s">
        <v>11</v>
      </c>
      <c r="G76" s="12" t="s">
        <v>11</v>
      </c>
      <c r="H76" s="13" t="s">
        <v>170</v>
      </c>
      <c r="I76" s="12"/>
      <c r="J76" s="12"/>
      <c r="K76" s="12"/>
      <c r="L76" s="12"/>
      <c r="M76" s="12"/>
      <c r="N76" s="14" t="s">
        <v>171</v>
      </c>
    </row>
    <row r="77" spans="2:14" x14ac:dyDescent="0.25">
      <c r="B77" s="9">
        <v>68</v>
      </c>
      <c r="C77" s="10" t="s">
        <v>22</v>
      </c>
      <c r="D77" s="11"/>
      <c r="E77" s="11"/>
      <c r="F77" s="12" t="s">
        <v>11</v>
      </c>
      <c r="G77" s="12" t="s">
        <v>11</v>
      </c>
      <c r="H77" s="13" t="s">
        <v>172</v>
      </c>
      <c r="I77" s="12"/>
      <c r="J77" s="12"/>
      <c r="K77" s="12"/>
      <c r="L77" s="12"/>
      <c r="M77" s="12"/>
      <c r="N77" s="14" t="s">
        <v>171</v>
      </c>
    </row>
    <row r="78" spans="2:14" x14ac:dyDescent="0.25">
      <c r="B78" s="9">
        <v>69</v>
      </c>
      <c r="C78" s="10" t="s">
        <v>22</v>
      </c>
      <c r="D78" s="11"/>
      <c r="E78" s="11"/>
      <c r="F78" s="12" t="s">
        <v>11</v>
      </c>
      <c r="G78" s="12" t="s">
        <v>11</v>
      </c>
      <c r="H78" s="13" t="s">
        <v>173</v>
      </c>
      <c r="I78" s="12"/>
      <c r="J78" s="12"/>
      <c r="K78" s="12"/>
      <c r="L78" s="12"/>
      <c r="M78" s="12"/>
      <c r="N78" s="14" t="s">
        <v>174</v>
      </c>
    </row>
    <row r="79" spans="2:14" x14ac:dyDescent="0.25">
      <c r="B79" s="9">
        <v>70</v>
      </c>
      <c r="C79" s="10" t="s">
        <v>22</v>
      </c>
      <c r="D79" s="11"/>
      <c r="E79" s="11"/>
      <c r="F79" s="12" t="s">
        <v>11</v>
      </c>
      <c r="G79" s="12" t="s">
        <v>11</v>
      </c>
      <c r="H79" s="13" t="s">
        <v>175</v>
      </c>
      <c r="I79" s="12"/>
      <c r="J79" s="12"/>
      <c r="K79" s="12"/>
      <c r="L79" s="12"/>
      <c r="M79" s="12"/>
      <c r="N79" s="14" t="s">
        <v>176</v>
      </c>
    </row>
    <row r="80" spans="2:14" x14ac:dyDescent="0.25">
      <c r="B80" s="9">
        <v>71</v>
      </c>
      <c r="C80" s="10" t="s">
        <v>22</v>
      </c>
      <c r="D80" s="11"/>
      <c r="E80" s="11"/>
      <c r="F80" s="12" t="s">
        <v>11</v>
      </c>
      <c r="G80" s="12" t="s">
        <v>11</v>
      </c>
      <c r="H80" s="13" t="s">
        <v>177</v>
      </c>
      <c r="I80" s="12"/>
      <c r="J80" s="12"/>
      <c r="K80" s="12"/>
      <c r="L80" s="12"/>
      <c r="M80" s="12"/>
      <c r="N80" s="14" t="s">
        <v>178</v>
      </c>
    </row>
    <row r="81" spans="2:14" x14ac:dyDescent="0.25">
      <c r="B81" s="9">
        <v>72</v>
      </c>
      <c r="C81" s="10" t="s">
        <v>22</v>
      </c>
      <c r="D81" s="11"/>
      <c r="E81" s="11"/>
      <c r="F81" s="12" t="s">
        <v>11</v>
      </c>
      <c r="G81" s="12" t="s">
        <v>11</v>
      </c>
      <c r="H81" s="13" t="s">
        <v>179</v>
      </c>
      <c r="I81" s="12"/>
      <c r="J81" s="12"/>
      <c r="K81" s="12"/>
      <c r="L81" s="12"/>
      <c r="M81" s="12"/>
      <c r="N81" s="14" t="s">
        <v>180</v>
      </c>
    </row>
    <row r="82" spans="2:14" x14ac:dyDescent="0.25">
      <c r="B82" s="9">
        <v>73</v>
      </c>
      <c r="C82" s="10" t="s">
        <v>22</v>
      </c>
      <c r="D82" s="11"/>
      <c r="E82" s="11"/>
      <c r="F82" s="12" t="s">
        <v>11</v>
      </c>
      <c r="G82" s="12" t="s">
        <v>11</v>
      </c>
      <c r="H82" s="13" t="s">
        <v>181</v>
      </c>
      <c r="I82" s="12"/>
      <c r="J82" s="12"/>
      <c r="K82" s="12"/>
      <c r="L82" s="12"/>
      <c r="M82" s="12"/>
      <c r="N82" s="14" t="s">
        <v>182</v>
      </c>
    </row>
    <row r="83" spans="2:14" x14ac:dyDescent="0.25">
      <c r="B83" s="9">
        <v>74</v>
      </c>
      <c r="C83" s="15" t="s">
        <v>37</v>
      </c>
      <c r="D83" s="11"/>
      <c r="E83" s="12" t="s">
        <v>148</v>
      </c>
      <c r="F83" s="12" t="s">
        <v>11</v>
      </c>
      <c r="G83" s="12" t="s">
        <v>11</v>
      </c>
      <c r="H83" s="13" t="s">
        <v>183</v>
      </c>
      <c r="I83" s="12"/>
      <c r="J83" s="12"/>
      <c r="K83" s="12"/>
      <c r="L83" s="12"/>
      <c r="M83" s="12"/>
      <c r="N83" s="14" t="s">
        <v>85</v>
      </c>
    </row>
    <row r="84" spans="2:14" x14ac:dyDescent="0.25">
      <c r="B84" s="9">
        <v>75</v>
      </c>
      <c r="C84" s="15" t="s">
        <v>37</v>
      </c>
      <c r="D84" s="11"/>
      <c r="E84" s="12" t="s">
        <v>159</v>
      </c>
      <c r="F84" s="12" t="s">
        <v>11</v>
      </c>
      <c r="G84" s="12" t="s">
        <v>11</v>
      </c>
      <c r="H84" s="13" t="s">
        <v>184</v>
      </c>
      <c r="I84" s="12"/>
      <c r="J84" s="12"/>
      <c r="K84" s="12"/>
      <c r="L84" s="12"/>
      <c r="M84" s="12"/>
      <c r="N84" s="14" t="s">
        <v>87</v>
      </c>
    </row>
    <row r="85" spans="2:14" x14ac:dyDescent="0.25">
      <c r="B85" s="9">
        <v>76</v>
      </c>
      <c r="C85" s="15" t="s">
        <v>37</v>
      </c>
      <c r="D85" s="11"/>
      <c r="E85" s="11" t="s">
        <v>166</v>
      </c>
      <c r="F85" s="12" t="s">
        <v>11</v>
      </c>
      <c r="G85" s="12" t="s">
        <v>11</v>
      </c>
      <c r="H85" s="13" t="s">
        <v>185</v>
      </c>
      <c r="I85" s="12"/>
      <c r="J85" s="12"/>
      <c r="K85" s="12"/>
      <c r="L85" s="12"/>
      <c r="M85" s="12"/>
      <c r="N85" s="14" t="s">
        <v>145</v>
      </c>
    </row>
    <row r="86" spans="2:14" x14ac:dyDescent="0.25">
      <c r="B86" s="9">
        <v>77</v>
      </c>
      <c r="C86" s="15" t="s">
        <v>37</v>
      </c>
      <c r="D86" s="11"/>
      <c r="E86" s="11"/>
      <c r="F86" s="12" t="s">
        <v>11</v>
      </c>
      <c r="G86" s="12" t="s">
        <v>11</v>
      </c>
      <c r="H86" s="13" t="s">
        <v>186</v>
      </c>
      <c r="I86" s="12"/>
      <c r="J86" s="12"/>
      <c r="K86" s="12"/>
      <c r="L86" s="12"/>
      <c r="M86" s="12"/>
      <c r="N86" s="14" t="s">
        <v>187</v>
      </c>
    </row>
    <row r="87" spans="2:14" x14ac:dyDescent="0.25">
      <c r="B87" s="9">
        <v>78</v>
      </c>
      <c r="C87" s="15" t="s">
        <v>37</v>
      </c>
      <c r="D87" s="11"/>
      <c r="E87" s="12" t="s">
        <v>148</v>
      </c>
      <c r="F87" s="12" t="s">
        <v>11</v>
      </c>
      <c r="G87" s="12" t="s">
        <v>11</v>
      </c>
      <c r="H87" s="13" t="s">
        <v>188</v>
      </c>
      <c r="I87" s="12"/>
      <c r="J87" s="12"/>
      <c r="K87" s="12"/>
      <c r="L87" s="12"/>
      <c r="M87" s="12"/>
      <c r="N87" s="14" t="s">
        <v>189</v>
      </c>
    </row>
    <row r="88" spans="2:14" x14ac:dyDescent="0.25">
      <c r="B88" s="9">
        <v>79</v>
      </c>
      <c r="C88" s="15" t="s">
        <v>37</v>
      </c>
      <c r="D88" s="11"/>
      <c r="E88" s="11" t="s">
        <v>166</v>
      </c>
      <c r="F88" s="12" t="s">
        <v>11</v>
      </c>
      <c r="G88" s="12" t="s">
        <v>11</v>
      </c>
      <c r="H88" s="13" t="s">
        <v>190</v>
      </c>
      <c r="I88" s="12"/>
      <c r="J88" s="12"/>
      <c r="K88" s="12"/>
      <c r="L88" s="12"/>
      <c r="M88" s="12"/>
      <c r="N88" s="14" t="s">
        <v>191</v>
      </c>
    </row>
    <row r="89" spans="2:14" x14ac:dyDescent="0.25">
      <c r="B89" s="9">
        <v>80</v>
      </c>
      <c r="C89" s="15" t="s">
        <v>37</v>
      </c>
      <c r="D89" s="11"/>
      <c r="E89" s="11"/>
      <c r="F89" s="12" t="s">
        <v>11</v>
      </c>
      <c r="G89" s="12" t="s">
        <v>11</v>
      </c>
      <c r="H89" s="13" t="s">
        <v>192</v>
      </c>
      <c r="I89" s="12"/>
      <c r="J89" s="12"/>
      <c r="K89" s="12"/>
      <c r="L89" s="12"/>
      <c r="M89" s="12"/>
      <c r="N89" s="14" t="s">
        <v>85</v>
      </c>
    </row>
    <row r="90" spans="2:14" x14ac:dyDescent="0.25">
      <c r="B90" s="9">
        <v>81</v>
      </c>
      <c r="C90" s="10" t="s">
        <v>22</v>
      </c>
      <c r="D90" s="11" t="s">
        <v>193</v>
      </c>
      <c r="E90" s="11" t="s">
        <v>194</v>
      </c>
      <c r="F90" s="12" t="s">
        <v>11</v>
      </c>
      <c r="G90" s="12" t="s">
        <v>11</v>
      </c>
      <c r="H90" s="13" t="s">
        <v>195</v>
      </c>
      <c r="I90" s="12"/>
      <c r="J90" s="12"/>
      <c r="K90" s="12"/>
      <c r="L90" s="12"/>
      <c r="M90" s="12"/>
      <c r="N90" s="14" t="s">
        <v>196</v>
      </c>
    </row>
    <row r="91" spans="2:14" x14ac:dyDescent="0.25">
      <c r="B91" s="9">
        <v>82</v>
      </c>
      <c r="C91" s="10" t="s">
        <v>22</v>
      </c>
      <c r="D91" s="11"/>
      <c r="E91" s="11"/>
      <c r="F91" s="12" t="s">
        <v>11</v>
      </c>
      <c r="G91" s="12" t="s">
        <v>11</v>
      </c>
      <c r="H91" s="13" t="s">
        <v>197</v>
      </c>
      <c r="I91" s="12"/>
      <c r="J91" s="12"/>
      <c r="K91" s="12"/>
      <c r="L91" s="12"/>
      <c r="M91" s="12"/>
      <c r="N91" s="14" t="s">
        <v>198</v>
      </c>
    </row>
    <row r="92" spans="2:14" x14ac:dyDescent="0.25">
      <c r="B92" s="9">
        <v>83</v>
      </c>
      <c r="C92" s="10" t="s">
        <v>22</v>
      </c>
      <c r="D92" s="11"/>
      <c r="E92" s="11"/>
      <c r="F92" s="12" t="s">
        <v>11</v>
      </c>
      <c r="G92" s="12" t="s">
        <v>11</v>
      </c>
      <c r="H92" s="13" t="s">
        <v>199</v>
      </c>
      <c r="I92" s="12"/>
      <c r="J92" s="12"/>
      <c r="K92" s="12"/>
      <c r="L92" s="12"/>
      <c r="M92" s="12"/>
      <c r="N92" s="14" t="s">
        <v>200</v>
      </c>
    </row>
    <row r="93" spans="2:14" x14ac:dyDescent="0.25">
      <c r="B93" s="9">
        <v>84</v>
      </c>
      <c r="C93" s="16" t="s">
        <v>63</v>
      </c>
      <c r="D93" s="11"/>
      <c r="E93" s="11"/>
      <c r="F93" s="12" t="s">
        <v>11</v>
      </c>
      <c r="G93" s="12" t="s">
        <v>11</v>
      </c>
      <c r="H93" s="13" t="s">
        <v>201</v>
      </c>
      <c r="I93" s="12"/>
      <c r="J93" s="12"/>
      <c r="K93" s="12"/>
      <c r="L93" s="12"/>
      <c r="M93" s="12"/>
      <c r="N93" s="14" t="s">
        <v>202</v>
      </c>
    </row>
    <row r="94" spans="2:14" x14ac:dyDescent="0.25">
      <c r="B94" s="9">
        <v>85</v>
      </c>
      <c r="C94" s="10" t="s">
        <v>22</v>
      </c>
      <c r="D94" s="11"/>
      <c r="E94" s="11"/>
      <c r="F94" s="12" t="s">
        <v>11</v>
      </c>
      <c r="G94" s="12" t="s">
        <v>11</v>
      </c>
      <c r="H94" s="13" t="s">
        <v>203</v>
      </c>
      <c r="I94" s="12"/>
      <c r="J94" s="12"/>
      <c r="K94" s="12"/>
      <c r="L94" s="12"/>
      <c r="M94" s="12"/>
      <c r="N94" s="14" t="s">
        <v>204</v>
      </c>
    </row>
    <row r="95" spans="2:14" x14ac:dyDescent="0.25">
      <c r="B95" s="9">
        <v>86</v>
      </c>
      <c r="C95" s="15" t="s">
        <v>37</v>
      </c>
      <c r="D95" s="11"/>
      <c r="E95" s="11"/>
      <c r="F95" s="12" t="s">
        <v>11</v>
      </c>
      <c r="G95" s="12" t="s">
        <v>11</v>
      </c>
      <c r="H95" s="13" t="s">
        <v>205</v>
      </c>
      <c r="I95" s="12"/>
      <c r="J95" s="12"/>
      <c r="K95" s="12"/>
      <c r="L95" s="12"/>
      <c r="M95" s="12"/>
      <c r="N95" s="14" t="s">
        <v>206</v>
      </c>
    </row>
    <row r="96" spans="2:14" x14ac:dyDescent="0.25">
      <c r="B96" s="9">
        <v>87</v>
      </c>
      <c r="C96" s="15" t="s">
        <v>37</v>
      </c>
      <c r="D96" s="11"/>
      <c r="E96" s="11"/>
      <c r="F96" s="12" t="s">
        <v>11</v>
      </c>
      <c r="G96" s="12" t="s">
        <v>11</v>
      </c>
      <c r="H96" s="13" t="s">
        <v>207</v>
      </c>
      <c r="I96" s="12"/>
      <c r="J96" s="12"/>
      <c r="K96" s="12"/>
      <c r="L96" s="12"/>
      <c r="M96" s="12"/>
      <c r="N96" s="14" t="s">
        <v>208</v>
      </c>
    </row>
    <row r="97" spans="2:14" x14ac:dyDescent="0.25">
      <c r="B97" s="9">
        <v>88</v>
      </c>
      <c r="C97" s="10" t="s">
        <v>22</v>
      </c>
      <c r="D97" s="11" t="s">
        <v>209</v>
      </c>
      <c r="E97" s="11" t="s">
        <v>194</v>
      </c>
      <c r="F97" s="12" t="s">
        <v>11</v>
      </c>
      <c r="G97" s="12" t="s">
        <v>11</v>
      </c>
      <c r="H97" s="13" t="s">
        <v>210</v>
      </c>
      <c r="I97" s="12"/>
      <c r="J97" s="12"/>
      <c r="K97" s="12"/>
      <c r="L97" s="12"/>
      <c r="M97" s="12"/>
      <c r="N97" s="14" t="s">
        <v>211</v>
      </c>
    </row>
    <row r="98" spans="2:14" x14ac:dyDescent="0.25">
      <c r="B98" s="9">
        <v>89</v>
      </c>
      <c r="C98" s="10" t="s">
        <v>22</v>
      </c>
      <c r="D98" s="11"/>
      <c r="E98" s="11"/>
      <c r="F98" s="12" t="s">
        <v>11</v>
      </c>
      <c r="G98" s="12" t="s">
        <v>11</v>
      </c>
      <c r="H98" s="13" t="s">
        <v>212</v>
      </c>
      <c r="I98" s="12"/>
      <c r="J98" s="12"/>
      <c r="K98" s="12"/>
      <c r="L98" s="12"/>
      <c r="M98" s="12"/>
      <c r="N98" s="14" t="s">
        <v>213</v>
      </c>
    </row>
    <row r="99" spans="2:14" x14ac:dyDescent="0.25">
      <c r="B99" s="9">
        <v>90</v>
      </c>
      <c r="C99" s="10" t="s">
        <v>22</v>
      </c>
      <c r="D99" s="11"/>
      <c r="E99" s="11"/>
      <c r="F99" s="12" t="s">
        <v>11</v>
      </c>
      <c r="G99" s="12" t="s">
        <v>11</v>
      </c>
      <c r="H99" s="13" t="s">
        <v>214</v>
      </c>
      <c r="I99" s="12"/>
      <c r="J99" s="12"/>
      <c r="K99" s="12"/>
      <c r="L99" s="12"/>
      <c r="M99" s="12"/>
      <c r="N99" s="14" t="s">
        <v>215</v>
      </c>
    </row>
    <row r="100" spans="2:14" x14ac:dyDescent="0.25">
      <c r="B100" s="9">
        <v>91</v>
      </c>
      <c r="C100" s="16" t="s">
        <v>63</v>
      </c>
      <c r="D100" s="11"/>
      <c r="E100" s="11"/>
      <c r="F100" s="12" t="s">
        <v>11</v>
      </c>
      <c r="G100" s="12" t="s">
        <v>11</v>
      </c>
      <c r="H100" s="13" t="s">
        <v>216</v>
      </c>
      <c r="I100" s="12"/>
      <c r="J100" s="12"/>
      <c r="K100" s="12"/>
      <c r="L100" s="12"/>
      <c r="M100" s="12"/>
      <c r="N100" s="14" t="s">
        <v>202</v>
      </c>
    </row>
    <row r="101" spans="2:14" x14ac:dyDescent="0.25">
      <c r="B101" s="9">
        <v>92</v>
      </c>
      <c r="C101" s="10" t="s">
        <v>22</v>
      </c>
      <c r="D101" s="11"/>
      <c r="E101" s="11" t="s">
        <v>217</v>
      </c>
      <c r="F101" s="12" t="s">
        <v>11</v>
      </c>
      <c r="G101" s="12" t="s">
        <v>11</v>
      </c>
      <c r="H101" s="13" t="s">
        <v>218</v>
      </c>
      <c r="I101" s="12"/>
      <c r="J101" s="12"/>
      <c r="K101" s="12"/>
      <c r="L101" s="12"/>
      <c r="M101" s="12"/>
      <c r="N101" s="14" t="s">
        <v>219</v>
      </c>
    </row>
    <row r="102" spans="2:14" x14ac:dyDescent="0.25">
      <c r="B102" s="9">
        <v>93</v>
      </c>
      <c r="C102" s="10" t="s">
        <v>22</v>
      </c>
      <c r="D102" s="11"/>
      <c r="E102" s="11"/>
      <c r="F102" s="12" t="s">
        <v>11</v>
      </c>
      <c r="G102" s="12" t="s">
        <v>11</v>
      </c>
      <c r="H102" s="13" t="s">
        <v>220</v>
      </c>
      <c r="I102" s="12"/>
      <c r="J102" s="12"/>
      <c r="K102" s="12"/>
      <c r="L102" s="12"/>
      <c r="M102" s="12"/>
      <c r="N102" s="14" t="s">
        <v>221</v>
      </c>
    </row>
    <row r="103" spans="2:14" x14ac:dyDescent="0.25">
      <c r="B103" s="9">
        <v>94</v>
      </c>
      <c r="C103" s="10" t="s">
        <v>22</v>
      </c>
      <c r="D103" s="11"/>
      <c r="E103" s="11"/>
      <c r="F103" s="12" t="s">
        <v>11</v>
      </c>
      <c r="G103" s="12" t="s">
        <v>11</v>
      </c>
      <c r="H103" s="13" t="s">
        <v>222</v>
      </c>
      <c r="I103" s="12"/>
      <c r="J103" s="12"/>
      <c r="K103" s="12"/>
      <c r="L103" s="12"/>
      <c r="M103" s="12"/>
      <c r="N103" s="14" t="s">
        <v>223</v>
      </c>
    </row>
    <row r="104" spans="2:14" x14ac:dyDescent="0.25">
      <c r="B104" s="9">
        <v>95</v>
      </c>
      <c r="C104" s="15" t="s">
        <v>37</v>
      </c>
      <c r="D104" s="11"/>
      <c r="E104" s="12" t="s">
        <v>194</v>
      </c>
      <c r="F104" s="12" t="s">
        <v>11</v>
      </c>
      <c r="G104" s="12" t="s">
        <v>11</v>
      </c>
      <c r="H104" s="13" t="s">
        <v>224</v>
      </c>
      <c r="I104" s="12"/>
      <c r="J104" s="12"/>
      <c r="K104" s="12"/>
      <c r="L104" s="12"/>
      <c r="M104" s="12"/>
      <c r="N104" s="14" t="s">
        <v>206</v>
      </c>
    </row>
    <row r="105" spans="2:14" x14ac:dyDescent="0.25">
      <c r="B105" s="9">
        <v>96</v>
      </c>
      <c r="C105" s="15" t="s">
        <v>37</v>
      </c>
      <c r="D105" s="11"/>
      <c r="E105" s="12" t="s">
        <v>217</v>
      </c>
      <c r="F105" s="12" t="s">
        <v>11</v>
      </c>
      <c r="G105" s="12" t="s">
        <v>11</v>
      </c>
      <c r="H105" s="13" t="s">
        <v>225</v>
      </c>
      <c r="I105" s="12"/>
      <c r="J105" s="12"/>
      <c r="K105" s="12"/>
      <c r="L105" s="12"/>
      <c r="M105" s="12"/>
      <c r="N105" s="14" t="s">
        <v>226</v>
      </c>
    </row>
    <row r="106" spans="2:14" x14ac:dyDescent="0.25">
      <c r="B106" s="9">
        <v>97</v>
      </c>
      <c r="C106" s="15" t="s">
        <v>37</v>
      </c>
      <c r="D106" s="11"/>
      <c r="E106" s="12" t="s">
        <v>194</v>
      </c>
      <c r="F106" s="12" t="s">
        <v>11</v>
      </c>
      <c r="G106" s="12" t="s">
        <v>11</v>
      </c>
      <c r="H106" s="13" t="s">
        <v>227</v>
      </c>
      <c r="I106" s="12"/>
      <c r="J106" s="12"/>
      <c r="K106" s="12"/>
      <c r="L106" s="12"/>
      <c r="M106" s="12"/>
      <c r="N106" s="14" t="s">
        <v>208</v>
      </c>
    </row>
    <row r="107" spans="2:14" x14ac:dyDescent="0.25">
      <c r="B107" s="9">
        <v>98</v>
      </c>
      <c r="C107" s="15" t="s">
        <v>37</v>
      </c>
      <c r="D107" s="11"/>
      <c r="E107" s="12" t="s">
        <v>217</v>
      </c>
      <c r="F107" s="12" t="s">
        <v>11</v>
      </c>
      <c r="G107" s="12" t="s">
        <v>11</v>
      </c>
      <c r="H107" s="13" t="s">
        <v>228</v>
      </c>
      <c r="I107" s="12"/>
      <c r="J107" s="12"/>
      <c r="K107" s="12"/>
      <c r="L107" s="12"/>
      <c r="M107" s="12"/>
      <c r="N107" s="14" t="s">
        <v>85</v>
      </c>
    </row>
    <row r="108" spans="2:14" x14ac:dyDescent="0.25">
      <c r="B108" s="9">
        <v>99</v>
      </c>
      <c r="C108" s="10" t="s">
        <v>22</v>
      </c>
      <c r="D108" s="11" t="s">
        <v>229</v>
      </c>
      <c r="E108" s="11" t="s">
        <v>230</v>
      </c>
      <c r="F108" s="12" t="s">
        <v>11</v>
      </c>
      <c r="G108" s="12" t="s">
        <v>11</v>
      </c>
      <c r="H108" s="13" t="s">
        <v>231</v>
      </c>
      <c r="I108" s="12"/>
      <c r="J108" s="12"/>
      <c r="K108" s="12"/>
      <c r="L108" s="12"/>
      <c r="M108" s="12"/>
      <c r="N108" s="14" t="s">
        <v>232</v>
      </c>
    </row>
    <row r="109" spans="2:14" x14ac:dyDescent="0.25">
      <c r="B109" s="9">
        <v>100</v>
      </c>
      <c r="C109" s="10" t="s">
        <v>22</v>
      </c>
      <c r="D109" s="11"/>
      <c r="E109" s="11"/>
      <c r="F109" s="12" t="s">
        <v>11</v>
      </c>
      <c r="G109" s="12" t="s">
        <v>11</v>
      </c>
      <c r="H109" s="13" t="s">
        <v>233</v>
      </c>
      <c r="I109" s="12"/>
      <c r="J109" s="12"/>
      <c r="K109" s="12"/>
      <c r="L109" s="12"/>
      <c r="M109" s="12"/>
      <c r="N109" s="14" t="s">
        <v>234</v>
      </c>
    </row>
    <row r="110" spans="2:14" x14ac:dyDescent="0.25">
      <c r="B110" s="9">
        <v>101</v>
      </c>
      <c r="C110" s="10" t="s">
        <v>22</v>
      </c>
      <c r="D110" s="11"/>
      <c r="E110" s="11"/>
      <c r="F110" s="12" t="s">
        <v>11</v>
      </c>
      <c r="G110" s="12" t="s">
        <v>11</v>
      </c>
      <c r="H110" s="13" t="s">
        <v>235</v>
      </c>
      <c r="I110" s="12"/>
      <c r="J110" s="12"/>
      <c r="K110" s="12"/>
      <c r="L110" s="12"/>
      <c r="M110" s="12"/>
      <c r="N110" s="14" t="s">
        <v>236</v>
      </c>
    </row>
    <row r="111" spans="2:14" x14ac:dyDescent="0.25">
      <c r="B111" s="9">
        <v>102</v>
      </c>
      <c r="C111" s="10" t="s">
        <v>22</v>
      </c>
      <c r="D111" s="11"/>
      <c r="E111" s="11"/>
      <c r="F111" s="12" t="s">
        <v>11</v>
      </c>
      <c r="G111" s="12" t="s">
        <v>11</v>
      </c>
      <c r="H111" s="13" t="s">
        <v>237</v>
      </c>
      <c r="I111" s="12"/>
      <c r="J111" s="12"/>
      <c r="K111" s="12"/>
      <c r="L111" s="12"/>
      <c r="M111" s="12"/>
      <c r="N111" s="14" t="s">
        <v>202</v>
      </c>
    </row>
    <row r="112" spans="2:14" x14ac:dyDescent="0.25">
      <c r="B112" s="9">
        <v>103</v>
      </c>
      <c r="C112" s="15" t="s">
        <v>37</v>
      </c>
      <c r="D112" s="11"/>
      <c r="E112" s="11"/>
      <c r="F112" s="12" t="s">
        <v>11</v>
      </c>
      <c r="G112" s="12" t="s">
        <v>11</v>
      </c>
      <c r="H112" s="13" t="s">
        <v>238</v>
      </c>
      <c r="I112" s="12"/>
      <c r="J112" s="12"/>
      <c r="K112" s="12"/>
      <c r="L112" s="12"/>
      <c r="M112" s="12"/>
      <c r="N112" s="14" t="s">
        <v>206</v>
      </c>
    </row>
    <row r="113" spans="2:14" x14ac:dyDescent="0.25">
      <c r="B113" s="9">
        <v>104</v>
      </c>
      <c r="C113" s="15" t="s">
        <v>37</v>
      </c>
      <c r="D113" s="11"/>
      <c r="E113" s="11"/>
      <c r="F113" s="12" t="s">
        <v>11</v>
      </c>
      <c r="G113" s="12" t="s">
        <v>11</v>
      </c>
      <c r="H113" s="13" t="s">
        <v>239</v>
      </c>
      <c r="I113" s="12"/>
      <c r="J113" s="12"/>
      <c r="K113" s="12"/>
      <c r="L113" s="12"/>
      <c r="M113" s="12"/>
      <c r="N113" s="14" t="s">
        <v>215</v>
      </c>
    </row>
    <row r="114" spans="2:14" x14ac:dyDescent="0.25">
      <c r="B114" s="9">
        <v>105</v>
      </c>
      <c r="C114" s="10" t="s">
        <v>22</v>
      </c>
      <c r="D114" s="11" t="s">
        <v>240</v>
      </c>
      <c r="E114" s="11" t="s">
        <v>241</v>
      </c>
      <c r="F114" s="12" t="s">
        <v>11</v>
      </c>
      <c r="G114" s="12" t="s">
        <v>11</v>
      </c>
      <c r="H114" s="13" t="s">
        <v>242</v>
      </c>
      <c r="I114" s="12"/>
      <c r="J114" s="12"/>
      <c r="K114" s="12"/>
      <c r="L114" s="12"/>
      <c r="M114" s="12"/>
      <c r="N114" s="14" t="s">
        <v>243</v>
      </c>
    </row>
    <row r="115" spans="2:14" x14ac:dyDescent="0.25">
      <c r="B115" s="9">
        <v>106</v>
      </c>
      <c r="C115" s="15" t="s">
        <v>37</v>
      </c>
      <c r="D115" s="11"/>
      <c r="E115" s="11"/>
      <c r="F115" s="12" t="s">
        <v>11</v>
      </c>
      <c r="G115" s="12" t="s">
        <v>11</v>
      </c>
      <c r="H115" s="13" t="s">
        <v>244</v>
      </c>
      <c r="I115" s="12"/>
      <c r="J115" s="12"/>
      <c r="K115" s="12"/>
      <c r="L115" s="12"/>
      <c r="M115" s="12"/>
      <c r="N115" s="14" t="s">
        <v>245</v>
      </c>
    </row>
    <row r="116" spans="2:14" x14ac:dyDescent="0.25">
      <c r="B116" s="9">
        <v>107</v>
      </c>
      <c r="C116" s="15" t="s">
        <v>37</v>
      </c>
      <c r="D116" s="11"/>
      <c r="E116" s="11"/>
      <c r="F116" s="12" t="s">
        <v>11</v>
      </c>
      <c r="G116" s="12" t="s">
        <v>11</v>
      </c>
      <c r="H116" s="13" t="s">
        <v>246</v>
      </c>
      <c r="I116" s="12"/>
      <c r="J116" s="12"/>
      <c r="K116" s="12"/>
      <c r="L116" s="12"/>
      <c r="M116" s="12"/>
      <c r="N116" s="14" t="s">
        <v>87</v>
      </c>
    </row>
    <row r="117" spans="2:14" x14ac:dyDescent="0.25">
      <c r="B117" s="9">
        <v>108</v>
      </c>
      <c r="C117" s="15" t="s">
        <v>37</v>
      </c>
      <c r="D117" s="11"/>
      <c r="E117" s="11"/>
      <c r="F117" s="12" t="s">
        <v>11</v>
      </c>
      <c r="G117" s="12" t="s">
        <v>11</v>
      </c>
      <c r="H117" s="13" t="s">
        <v>247</v>
      </c>
      <c r="I117" s="12"/>
      <c r="J117" s="12"/>
      <c r="K117" s="12"/>
      <c r="L117" s="12"/>
      <c r="M117" s="12"/>
      <c r="N117" s="14" t="s">
        <v>85</v>
      </c>
    </row>
  </sheetData>
  <mergeCells count="31">
    <mergeCell ref="D10:D17"/>
    <mergeCell ref="E10:E17"/>
    <mergeCell ref="D18:D22"/>
    <mergeCell ref="E18:E22"/>
    <mergeCell ref="D23:D38"/>
    <mergeCell ref="E23:E28"/>
    <mergeCell ref="E29:E31"/>
    <mergeCell ref="E32:E37"/>
    <mergeCell ref="D39:D45"/>
    <mergeCell ref="E39:E45"/>
    <mergeCell ref="D46:D65"/>
    <mergeCell ref="E46:E47"/>
    <mergeCell ref="E48:E49"/>
    <mergeCell ref="E50:E65"/>
    <mergeCell ref="F50:F53"/>
    <mergeCell ref="F54:F64"/>
    <mergeCell ref="D66:D89"/>
    <mergeCell ref="E66:E70"/>
    <mergeCell ref="E71:E73"/>
    <mergeCell ref="E74:E82"/>
    <mergeCell ref="E85:E86"/>
    <mergeCell ref="E88:E89"/>
    <mergeCell ref="D90:D96"/>
    <mergeCell ref="E90:E96"/>
    <mergeCell ref="D97:D107"/>
    <mergeCell ref="E97:E100"/>
    <mergeCell ref="E101:E103"/>
    <mergeCell ref="D108:D113"/>
    <mergeCell ref="E108:E113"/>
    <mergeCell ref="D114:D117"/>
    <mergeCell ref="E114:E117"/>
  </mergeCells>
  <dataValidations count="1">
    <dataValidation type="list" allowBlank="1" showErrorMessage="1" errorTitle="잘못된 값" error="Pass, Fail, N/T, Block 중 하나를 선택하세요." sqref="I10:J117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신비 속성 추가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2026-05-08T01:49:51Z</dcterms:created>
  <dcterms:modified xsi:type="dcterms:W3CDTF">2026-05-08T01:49:51Z</dcterms:modified>
</cp:coreProperties>
</file>