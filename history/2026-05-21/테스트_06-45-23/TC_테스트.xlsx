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테스트" state="visible" r:id="rId4"/>
  </sheets>
  <calcPr calcId="171027"/>
</workbook>
</file>

<file path=xl/sharedStrings.xml><?xml version="1.0" encoding="utf-8"?>
<sst xmlns="http://schemas.openxmlformats.org/spreadsheetml/2006/main" count="279" uniqueCount="181">
  <si>
    <t>(C)테스트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</si>
  <si>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</si>
  <si>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</si>
  <si>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</si>
  <si>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</si>
  <si>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</si>
  <si>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</si>
  <si>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</si>
  <si>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</si>
  <si>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</si>
  <si>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</si>
  <si>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</si>
  <si>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</si>
  <si>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</si>
  <si>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</si>
  <si>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</si>
  <si>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</si>
  <si>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</si>
  <si>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</si>
  <si>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</si>
  <si>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</si>
  <si>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</si>
  <si>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</si>
  <si>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수면 시스템</t>
  </si>
  <si>
    <t>수면 걸림</t>
  </si>
  <si>
    <t>적용 조건</t>
  </si>
  <si>
    <t>달빛술사 공격 적용</t>
  </si>
  <si>
    <t>달빛술사 쿠키의 수면 부여 공격 적중 시, 대상 몬스터에게 수면 상태가 부여된다.</t>
  </si>
  <si>
    <t>참고 화면: 어드벤처 인게임 기믹_1.pdf - 2. 기능 (수면 걸림)</t>
  </si>
  <si>
    <t>오르골 작동 적용</t>
  </si>
  <si>
    <t>오르골 작동 시, 작동 효과 범위 내 대상 몬스터에게 수면 상태가 부여된다.</t>
  </si>
  <si>
    <t>적용 대상</t>
  </si>
  <si>
    <t>일반 몬스터 적용</t>
  </si>
  <si>
    <t>중간보스, 보스를 제외한 모든 몬스터에게 수면이 적용된다.</t>
  </si>
  <si>
    <t>Critical</t>
  </si>
  <si>
    <t>중간보스/보스 제외</t>
  </si>
  <si>
    <t>중간보스, 보스 대상에게 수면 부여 시도 시, 수면 상태가 적용되지 않는다.</t>
  </si>
  <si>
    <t>쿠키 제외</t>
  </si>
  <si>
    <t>쿠키 캐릭터에게는 수면이 적용되지 않는다.</t>
  </si>
  <si>
    <t>참고 화면: 어드벤처 인게임 기믹_1.pdf - 3-1. 애니</t>
  </si>
  <si>
    <t>Fly 몬스터 추락</t>
  </si>
  <si>
    <t>Fly 속성 몬스터에게 수면 적용 시, 해당 몬스터가 지상으로 추락한다.</t>
  </si>
  <si>
    <t>참고 화면: 어드벤처 인게임 기믹_1.pdf - 2. 기능 (수면 중)</t>
  </si>
  <si>
    <t>수면 중 상태</t>
  </si>
  <si>
    <t>행동 처리</t>
  </si>
  <si>
    <t>스킬 사용 중단</t>
  </si>
  <si>
    <t>스킬 사용 중인 몬스터가 수면 상태에 진입 시, 진행 중이던 스킬이 중단된다.</t>
  </si>
  <si>
    <t>BT 초기화</t>
  </si>
  <si>
    <t>수면 상태 진입 시, 몬스터의 BT(Behavior Tree)가 처음으로 초기화된다.</t>
  </si>
  <si>
    <t>버프 관리</t>
  </si>
  <si>
    <t>수면 상태는 버프 형태로 관리되어 대상 몬스터에 부여된다.</t>
  </si>
  <si>
    <t>Normal</t>
  </si>
  <si>
    <t>애니메이션</t>
  </si>
  <si>
    <t>기본 Idle 처리</t>
  </si>
  <si>
    <t>전용 수면 애니가 없는 몬스터는 수면 상태에서 Idle 애니메이션 위에 수면 이펙트가 출력된다.</t>
  </si>
  <si>
    <t>전용 애니 재생</t>
  </si>
  <si>
    <t>꿈꾸는 모빌, 노래하는 인형, 꿈을 쏟아내는 모빌 3종은 수면 상태에서 전용 수면 애니메이션(Parameter: Sleep)이 재생된다.</t>
  </si>
  <si>
    <t>이펙트</t>
  </si>
  <si>
    <t>머리 위 출력</t>
  </si>
  <si>
    <t>수면 상태 몬스터의 머리 위치에 전용 수면 이펙트가 출력된다.</t>
  </si>
  <si>
    <t>참고 화면: 어드벤처 인게임 기믹_1.pdf - 3-2. 이펙트</t>
  </si>
  <si>
    <t>다중 동시 적용</t>
  </si>
  <si>
    <t>여러 마리 몬스터가 동시에 수면 상태에 진입 시, 각 몬스터의 머리 위에 수면 이펙트가 동시에 출력된다.</t>
  </si>
  <si>
    <t>이펙트 동일 사용</t>
  </si>
  <si>
    <t>달빛술사의 공격으로 인한 수면과 오르골에 의한 수면 모두 동일한 머리 위 이펙트가 출력된다.</t>
  </si>
  <si>
    <t>수면 해제</t>
  </si>
  <si>
    <t>해제 조건</t>
  </si>
  <si>
    <t>시간 경과 해제</t>
  </si>
  <si>
    <t>수면 상태 부여 후 설정된 시간(N초) 경과 시, 수면 상태가 해제된다.</t>
  </si>
  <si>
    <t>참고 화면: 어드벤처 인게임 기믹_1.pdf - 2. 기능 (수면 해제)</t>
  </si>
  <si>
    <t>피격 해제</t>
  </si>
  <si>
    <t>수면 상태 몬스터가 틱뎀을 제외한 데미지로 피격 시, 수면 상태가 즉시 해제된다.</t>
  </si>
  <si>
    <t>틱뎀 유지</t>
  </si>
  <si>
    <t>수면 상태 몬스터가 틱뎀(DoT) 데미지를 받을 시, 수면 상태가 해제되지 않고 유지된다.</t>
  </si>
  <si>
    <t>해제 후 효과</t>
  </si>
  <si>
    <t>달빛술사 피해 증가 디버프</t>
  </si>
  <si>
    <t>수면 해제 후 대상 몬스터에게 달빛술사 쿠키의 공격에만 피해가 증가하는 디버프가 부여된다.</t>
  </si>
  <si>
    <t>타 쿠키 피해 증가 미적용</t>
  </si>
  <si>
    <t>수면 해제 후 부여된 디버프는 달빛술사 외 다른 쿠키의 공격에는 피해 증가가 적용되지 않는다.</t>
  </si>
  <si>
    <t>수면 보호막</t>
  </si>
  <si>
    <t>보호막 부여</t>
  </si>
  <si>
    <t>부여 대상</t>
  </si>
  <si>
    <t>노래하는 인형 부여</t>
  </si>
  <si>
    <t>노래하는 인형 몬스터 등장 시, 해당 몬스터에게 수면 보호막이 부여된다.</t>
  </si>
  <si>
    <t>참고 화면: 어드벤처 인게임 기믹_2.pdf - 1. 기능</t>
  </si>
  <si>
    <t>최대 체력 기준 산정</t>
  </si>
  <si>
    <t>수면 보호막 부여량은 보호막 부여자의 최대 체력에 비례하여 산정된다.</t>
  </si>
  <si>
    <t>보호막 해제</t>
  </si>
  <si>
    <t>수면 적중 즉시 제거</t>
  </si>
  <si>
    <t>수면 보호막을 보유한 몬스터가 수면 효과 적중 시, 보호막이 즉시 사라진다.</t>
  </si>
  <si>
    <t>피격 게이지 소진</t>
  </si>
  <si>
    <t>수면 보호막을 보유한 몬스터가 일반 피격으로 보호막 게이지 소진 시, 보호막이 사라진다.</t>
  </si>
  <si>
    <t>수면 차단</t>
  </si>
  <si>
    <t>수면 보호막을 보유한 몬스터는 보호막이 사라지기 전까지 수면 상태가 적용되지 않는다.</t>
  </si>
  <si>
    <t>보호막 UI</t>
  </si>
  <si>
    <t>게이지 바</t>
  </si>
  <si>
    <t>출력</t>
  </si>
  <si>
    <t>수면 보호막을 보유한 몬스터의 체력 게이지 영역에 보호막 게이지 바가 출력된다.</t>
  </si>
  <si>
    <t>참고 화면: 어드벤처 인게임 기믹_2.pdf - 2. UI</t>
  </si>
  <si>
    <t>색상 표현</t>
  </si>
  <si>
    <t>수면 보호막 게이지 바는 수면 이펙트에 어울리는 색상으로 표시된다.</t>
  </si>
  <si>
    <t>게이지 감소 반영</t>
  </si>
  <si>
    <t>보호막 보유 몬스터가 피격될 시, 보호막 게이지 바의 잔량이 감소되어 표시된다.</t>
  </si>
  <si>
    <t>오르골</t>
  </si>
  <si>
    <t>오르골 배치</t>
  </si>
  <si>
    <t>외형</t>
  </si>
  <si>
    <t>스페셜 챕터의 지정된 위치에 3m × 3m 크기의 오르골 기믹이 출력된다.</t>
  </si>
  <si>
    <t>참고 화면: 어드벤처 인게임 기믹_3.pdf - 2. 원화(아트)</t>
  </si>
  <si>
    <t>초기 상태</t>
  </si>
  <si>
    <t>오르골은 초기 비활성화 또는 활성화 상태로 배치되며, 상태에 따른 외형으로 출력된다.</t>
  </si>
  <si>
    <t>참고 화면: 어드벤처 인게임 기믹_3.pdf - 3. 기능</t>
  </si>
  <si>
    <t>활성화 상태</t>
  </si>
  <si>
    <t>범위 표시</t>
  </si>
  <si>
    <t>실선 출력</t>
  </si>
  <si>
    <t>오르골이 활성화 상태일 시, 오르골 중심을 기준으로 활성화 범위 경계선의 실선이 바닥에 출력된다.</t>
  </si>
  <si>
    <t>참고 화면: 어드벤처 인게임 기믹_3.pdf - 3. 기능 (오르골 활성화)</t>
  </si>
  <si>
    <t>반지름 적용</t>
  </si>
  <si>
    <t>활성화 범위 실선은 오르골 중심에서 반지름 10.5m 크기로 출력된다.</t>
  </si>
  <si>
    <t>게이지 충전</t>
  </si>
  <si>
    <t>영역 진입 시 차오름</t>
  </si>
  <si>
    <t>쿠키가 실선 범위 내에 진입 시, 오르골 중앙에서 게이지 영역 이펙트가 차오르기 시작한다.</t>
  </si>
  <si>
    <t>충전 시간 적용</t>
  </si>
  <si>
    <t>쿠키가 실선 범위 내에 계속 머무를 시, 약 6초에 걸쳐 게이지 영역이 가득 차오른다.</t>
  </si>
  <si>
    <t>적 사망 시 단축</t>
  </si>
  <si>
    <t>실선 범위 내에서 몬스터 사망 시, 게이지 충전 시간이 0.5초 단축된다.</t>
  </si>
  <si>
    <t>영역 이탈 시 감소</t>
  </si>
  <si>
    <t>쿠키가 실선 범위 밖으로 이탈 시, 설정된 Delay 경과 후 차오른 게이지 영역이 감소되기 시작한다.</t>
  </si>
  <si>
    <t>충전 시 색상</t>
  </si>
  <si>
    <t>게이지 영역이 차오를 시, 푸른/노란 빛 색상으로 표시된다.</t>
  </si>
  <si>
    <t>참고 화면: 어드벤처 인게임 기믹_3.pdf - 5. 이펙트 (바닥 차오름)</t>
  </si>
  <si>
    <t>감소 시 색상</t>
  </si>
  <si>
    <t>게이지 영역이 감소될 시, 붉은 빛 색상으로 표시된다.</t>
  </si>
  <si>
    <t>연출</t>
  </si>
  <si>
    <t>활성화 애니메이션</t>
  </si>
  <si>
    <t>오르골 활성화 상태에서 별과 우측 태엽이 천천히 회전하는 활성화 애니메이션이 Loop 재생된다.</t>
  </si>
  <si>
    <t>참고 화면: 어드벤처 인게임 기믹_3.pdf - 4. 애니메이션</t>
  </si>
  <si>
    <t>활성화 사운드</t>
  </si>
  <si>
    <t>오르골 활성화 상태에서 은은하고 작은 멜로디 사운드가 재생된다.</t>
  </si>
  <si>
    <t>활성화 이펙트</t>
  </si>
  <si>
    <t>오르골 활성화 상태에서 천천히 돌아가는 별에서 작은 불빛이 은은하게 퍼지는 이펙트가 출력된다.</t>
  </si>
  <si>
    <t>참고 화면: 어드벤처 인게임 기믹_3.pdf - 5. 이펙트</t>
  </si>
  <si>
    <t>작동 상태</t>
  </si>
  <si>
    <t>작동 전환</t>
  </si>
  <si>
    <t>게이지 가득참 시 전환</t>
  </si>
  <si>
    <t>오르골의 게이지 영역이 가득 찰 시, 오르골 상태가 작동 상태로 전환된다.</t>
  </si>
  <si>
    <t>참고 화면: 어드벤처 인게임 기믹_3.pdf - 3. 기능 (오르골 작동)</t>
  </si>
  <si>
    <t>작동 효과</t>
  </si>
  <si>
    <t>화면 전체 수면 부여</t>
  </si>
  <si>
    <t>오르골 작동 시, 화면 전체 범위 내 모든 Enemy에게 수면 디버프가 부여된다.</t>
  </si>
  <si>
    <t>보스/중간보스 제외</t>
  </si>
  <si>
    <t>오르골 작동 효과 범위 내에 보스/중간보스가 포함되어 있을 시, 해당 대상에게는 수면 디버프가 적용되지 않는다.</t>
  </si>
  <si>
    <t>참고 화면: 어드벤처 인게임 기믹_3.pdf - 3. 기능 (오르골 작동) + 수면 시스템 적용 대상</t>
  </si>
  <si>
    <t>이펙트 미접촉 적용</t>
  </si>
  <si>
    <t>오르골 작동 시, 수면 퍼짐 이펙트가 직접 닿지 않은 위치의 Enemy에게도 수면 디버프가 부여된다.</t>
  </si>
  <si>
    <t>작동 애니메이션</t>
  </si>
  <si>
    <t>오르골 작동 시, 약 0.8초 동안 별이 빠르게 회전하며 밝은 빛을 뿜는 작동 애니메이션이 재생된다.</t>
  </si>
  <si>
    <t>수면 퍼짐 이펙트</t>
  </si>
  <si>
    <t>오르골 작동 시, 오르골 중심에서 최대 반지름 8m까지 수면 퍼짐 이펙트(_Active_Aura)가 1초 이상 퍼져나가며 스르륵 사라진다.</t>
  </si>
  <si>
    <t>참고 화면: 어드벤처 인게임 기믹_3.pdf - 5. 이펙트 (수면 퍼짐)</t>
  </si>
  <si>
    <t>실선 제거</t>
  </si>
  <si>
    <t>오르골 작동 시, 바닥에 표시되던 활성화 범위 실선이 사라진다.</t>
  </si>
  <si>
    <t>참고 화면: 어드벤처 인게임 기믹_3.pdf - 5. 이펙트 (바닥 선)</t>
  </si>
  <si>
    <t>비활성화 상태</t>
  </si>
  <si>
    <t>비활성화 전환</t>
  </si>
  <si>
    <t>작동 종료 후 전환</t>
  </si>
  <si>
    <t>오르골 작동 효과 종료 후, 오르골 상태가 비활성화 상태로 전환된다.</t>
  </si>
  <si>
    <t>참고 화면: 어드벤처 인게임 기믹_3.pdf - 3. 기능 (오르골 비활성화)</t>
  </si>
  <si>
    <t>UI 처리</t>
  </si>
  <si>
    <t>실선/게이지 미표시</t>
  </si>
  <si>
    <t>오르골 비활성화 상태에서 활성화 범위 실선 및 게이지 영역 이펙트가 표시되지 않는다.</t>
  </si>
  <si>
    <t>영역 미충전</t>
  </si>
  <si>
    <t>오르골 비활성화 상태에서 쿠키가 오르골 주변에 위치해도 게이지 영역이 차오르지 않는다.</t>
  </si>
  <si>
    <t>비활성화 애니메이션</t>
  </si>
  <si>
    <t>오르골 비활성화 전환 시, 회전하던 별이 서서히 멈추고 밝은 빛이 사라지며 별이 회색으로 변화하는 비활성화 애니메이션이 재생된다.</t>
  </si>
  <si>
    <t>사운드 정지</t>
  </si>
  <si>
    <t>오르골 비활성화 전환 시, 활성화 상태에서 재생되던 멜로디 사운드가 정지된다.</t>
  </si>
  <si>
    <t>재활성화</t>
  </si>
  <si>
    <t>N초 경과 후 활성화</t>
  </si>
  <si>
    <t>오르골 비활성화 상태에서 설정된 N초 경과 시, 오르골 상태가 다시 활성화 상태로 전환된다.</t>
  </si>
  <si>
    <t>GmTile 별 설정</t>
  </si>
  <si>
    <t>오르골의 비활성화 → 활성화 재전환 시간은 GmTile 별로 개별 설정된 시간 값이 적용된다.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</si>
</sst>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5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63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COUNTIF(I10:I63,"Pass")</f>
      </c>
      <c r="K3" t="s">
        <v>4</v>
      </c>
      <c r="L3">
        <f>COUNTIF(I10:I63,"")</f>
      </c>
      <c r="M3" s="3" t="s">
        <v>3</v>
      </c>
      <c r="N3">
        <f>COUNTIF(J10:J63,"Pass")</f>
      </c>
    </row>
    <row r="4" spans="9:14" x14ac:dyDescent="0.25">
      <c r="I4" s="4" t="s">
        <v>5</v>
      </c>
      <c r="J4">
        <f>COUNTIF(I10:I63,"N/T")</f>
      </c>
      <c r="K4" t="s">
        <v>6</v>
      </c>
      <c r="L4">
        <f>COUNTA(I10:I63)-COUNTIF(I10:I63,"")</f>
      </c>
      <c r="M4" s="4" t="s">
        <v>5</v>
      </c>
      <c r="N4">
        <f>COUNTIF(J10:J63,"N/T")</f>
      </c>
    </row>
    <row r="5" spans="9:14" x14ac:dyDescent="0.25">
      <c r="I5" s="5" t="s">
        <v>7</v>
      </c>
      <c r="J5">
        <f>COUNTIF(I10:I63,"Fail")</f>
      </c>
      <c r="K5" t="s">
        <v>8</v>
      </c>
      <c r="L5">
        <v>54</v>
      </c>
      <c r="M5" s="5" t="s">
        <v>7</v>
      </c>
      <c r="N5">
        <f>COUNTIF(J10:J63,"Fail")</f>
      </c>
    </row>
    <row r="6" spans="9:14" x14ac:dyDescent="0.25">
      <c r="I6" s="6" t="s">
        <v>9</v>
      </c>
      <c r="J6">
        <f>COUNTIF(I10:I63,"Block")</f>
      </c>
      <c r="K6" t="s">
        <v>10</v>
      </c>
      <c r="L6" s="7">
        <f>IF(L5=0,0,L4/L5)</f>
      </c>
      <c r="M6" s="6" t="s">
        <v>9</v>
      </c>
      <c r="N6">
        <f>COUNTIF(J10:J63,"Block")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2" t="s">
        <v>26</v>
      </c>
      <c r="H10" s="13" t="s">
        <v>27</v>
      </c>
      <c r="I10" s="12"/>
      <c r="J10" s="12"/>
      <c r="K10" s="12"/>
      <c r="L10" s="12"/>
      <c r="M10" s="12"/>
      <c r="N10" s="14" t="s">
        <v>28</v>
      </c>
    </row>
    <row r="11" spans="2:14" x14ac:dyDescent="0.25">
      <c r="B11" s="9">
        <v>2</v>
      </c>
      <c r="C11" s="10" t="s">
        <v>22</v>
      </c>
      <c r="D11" s="11"/>
      <c r="E11" s="11"/>
      <c r="F11" s="11"/>
      <c r="G11" s="12" t="s">
        <v>29</v>
      </c>
      <c r="H11" s="13" t="s">
        <v>30</v>
      </c>
      <c r="I11" s="12"/>
      <c r="J11" s="12"/>
      <c r="K11" s="12"/>
      <c r="L11" s="12"/>
      <c r="M11" s="12"/>
      <c r="N11" s="14" t="s">
        <v>28</v>
      </c>
    </row>
    <row r="12" spans="2:14" x14ac:dyDescent="0.25">
      <c r="B12" s="9">
        <v>3</v>
      </c>
      <c r="C12" s="10" t="s">
        <v>22</v>
      </c>
      <c r="D12" s="11"/>
      <c r="E12" s="11"/>
      <c r="F12" s="11" t="s">
        <v>31</v>
      </c>
      <c r="G12" s="12" t="s">
        <v>32</v>
      </c>
      <c r="H12" s="13" t="s">
        <v>33</v>
      </c>
      <c r="I12" s="12"/>
      <c r="J12" s="12"/>
      <c r="K12" s="12"/>
      <c r="L12" s="12"/>
      <c r="M12" s="12"/>
      <c r="N12" s="14" t="s">
        <v>28</v>
      </c>
    </row>
    <row r="13" spans="2:14" x14ac:dyDescent="0.25">
      <c r="B13" s="9">
        <v>4</v>
      </c>
      <c r="C13" s="15" t="s">
        <v>34</v>
      </c>
      <c r="D13" s="11"/>
      <c r="E13" s="11"/>
      <c r="F13" s="11"/>
      <c r="G13" s="12" t="s">
        <v>35</v>
      </c>
      <c r="H13" s="13" t="s">
        <v>36</v>
      </c>
      <c r="I13" s="12"/>
      <c r="J13" s="12"/>
      <c r="K13" s="12"/>
      <c r="L13" s="12"/>
      <c r="M13" s="12"/>
      <c r="N13" s="14" t="s">
        <v>28</v>
      </c>
    </row>
    <row r="14" spans="2:14" x14ac:dyDescent="0.25">
      <c r="B14" s="9">
        <v>5</v>
      </c>
      <c r="C14" s="10" t="s">
        <v>22</v>
      </c>
      <c r="D14" s="11"/>
      <c r="E14" s="11"/>
      <c r="F14" s="11"/>
      <c r="G14" s="12" t="s">
        <v>37</v>
      </c>
      <c r="H14" s="13" t="s">
        <v>38</v>
      </c>
      <c r="I14" s="12"/>
      <c r="J14" s="12"/>
      <c r="K14" s="12"/>
      <c r="L14" s="12"/>
      <c r="M14" s="12"/>
      <c r="N14" s="14" t="s">
        <v>39</v>
      </c>
    </row>
    <row r="15" spans="2:14" x14ac:dyDescent="0.25">
      <c r="B15" s="9">
        <v>6</v>
      </c>
      <c r="C15" s="10" t="s">
        <v>22</v>
      </c>
      <c r="D15" s="11"/>
      <c r="E15" s="11"/>
      <c r="F15" s="11"/>
      <c r="G15" s="12" t="s">
        <v>40</v>
      </c>
      <c r="H15" s="13" t="s">
        <v>41</v>
      </c>
      <c r="I15" s="12"/>
      <c r="J15" s="12"/>
      <c r="K15" s="12"/>
      <c r="L15" s="12"/>
      <c r="M15" s="12"/>
      <c r="N15" s="14" t="s">
        <v>42</v>
      </c>
    </row>
    <row r="16" spans="2:14" x14ac:dyDescent="0.25">
      <c r="B16" s="9">
        <v>7</v>
      </c>
      <c r="C16" s="10" t="s">
        <v>22</v>
      </c>
      <c r="D16" s="11"/>
      <c r="E16" s="11" t="s">
        <v>43</v>
      </c>
      <c r="F16" s="11" t="s">
        <v>44</v>
      </c>
      <c r="G16" s="12" t="s">
        <v>45</v>
      </c>
      <c r="H16" s="13" t="s">
        <v>46</v>
      </c>
      <c r="I16" s="12"/>
      <c r="J16" s="12"/>
      <c r="K16" s="12"/>
      <c r="L16" s="12"/>
      <c r="M16" s="12"/>
      <c r="N16" s="14" t="s">
        <v>42</v>
      </c>
    </row>
    <row r="17" spans="2:14" x14ac:dyDescent="0.25">
      <c r="B17" s="9">
        <v>8</v>
      </c>
      <c r="C17" s="10" t="s">
        <v>22</v>
      </c>
      <c r="D17" s="11"/>
      <c r="E17" s="11"/>
      <c r="F17" s="11"/>
      <c r="G17" s="12" t="s">
        <v>47</v>
      </c>
      <c r="H17" s="13" t="s">
        <v>48</v>
      </c>
      <c r="I17" s="12"/>
      <c r="J17" s="12"/>
      <c r="K17" s="12"/>
      <c r="L17" s="12"/>
      <c r="M17" s="12"/>
      <c r="N17" s="14" t="s">
        <v>42</v>
      </c>
    </row>
    <row r="18" spans="2:14" x14ac:dyDescent="0.25">
      <c r="B18" s="9">
        <v>9</v>
      </c>
      <c r="C18" s="10" t="s">
        <v>22</v>
      </c>
      <c r="D18" s="11"/>
      <c r="E18" s="11"/>
      <c r="F18" s="11"/>
      <c r="G18" s="12" t="s">
        <v>49</v>
      </c>
      <c r="H18" s="13" t="s">
        <v>50</v>
      </c>
      <c r="I18" s="12"/>
      <c r="J18" s="12"/>
      <c r="K18" s="12"/>
      <c r="L18" s="12"/>
      <c r="M18" s="12"/>
      <c r="N18" s="14" t="s">
        <v>42</v>
      </c>
    </row>
    <row r="19" spans="2:14" x14ac:dyDescent="0.25">
      <c r="B19" s="9">
        <v>10</v>
      </c>
      <c r="C19" s="16" t="s">
        <v>51</v>
      </c>
      <c r="D19" s="11"/>
      <c r="E19" s="11"/>
      <c r="F19" s="11" t="s">
        <v>52</v>
      </c>
      <c r="G19" s="12" t="s">
        <v>53</v>
      </c>
      <c r="H19" s="13" t="s">
        <v>54</v>
      </c>
      <c r="I19" s="12"/>
      <c r="J19" s="12"/>
      <c r="K19" s="12"/>
      <c r="L19" s="12"/>
      <c r="M19" s="12"/>
      <c r="N19" s="14" t="s">
        <v>39</v>
      </c>
    </row>
    <row r="20" spans="2:14" x14ac:dyDescent="0.25">
      <c r="B20" s="9">
        <v>11</v>
      </c>
      <c r="C20" s="16" t="s">
        <v>51</v>
      </c>
      <c r="D20" s="11"/>
      <c r="E20" s="11"/>
      <c r="F20" s="11"/>
      <c r="G20" s="12" t="s">
        <v>55</v>
      </c>
      <c r="H20" s="13" t="s">
        <v>56</v>
      </c>
      <c r="I20" s="12"/>
      <c r="J20" s="12"/>
      <c r="K20" s="12"/>
      <c r="L20" s="12"/>
      <c r="M20" s="12"/>
      <c r="N20" s="14" t="s">
        <v>39</v>
      </c>
    </row>
    <row r="21" spans="2:14" x14ac:dyDescent="0.25">
      <c r="B21" s="9">
        <v>12</v>
      </c>
      <c r="C21" s="16" t="s">
        <v>51</v>
      </c>
      <c r="D21" s="11"/>
      <c r="E21" s="11"/>
      <c r="F21" s="11" t="s">
        <v>57</v>
      </c>
      <c r="G21" s="12" t="s">
        <v>58</v>
      </c>
      <c r="H21" s="13" t="s">
        <v>59</v>
      </c>
      <c r="I21" s="12"/>
      <c r="J21" s="12"/>
      <c r="K21" s="12"/>
      <c r="L21" s="12"/>
      <c r="M21" s="12"/>
      <c r="N21" s="14" t="s">
        <v>60</v>
      </c>
    </row>
    <row r="22" spans="2:14" x14ac:dyDescent="0.25">
      <c r="B22" s="9">
        <v>13</v>
      </c>
      <c r="C22" s="16" t="s">
        <v>51</v>
      </c>
      <c r="D22" s="11"/>
      <c r="E22" s="11"/>
      <c r="F22" s="11"/>
      <c r="G22" s="12" t="s">
        <v>61</v>
      </c>
      <c r="H22" s="13" t="s">
        <v>62</v>
      </c>
      <c r="I22" s="12"/>
      <c r="J22" s="12"/>
      <c r="K22" s="12"/>
      <c r="L22" s="12"/>
      <c r="M22" s="12"/>
      <c r="N22" s="14" t="s">
        <v>60</v>
      </c>
    </row>
    <row r="23" spans="2:14" x14ac:dyDescent="0.25">
      <c r="B23" s="9">
        <v>14</v>
      </c>
      <c r="C23" s="16" t="s">
        <v>51</v>
      </c>
      <c r="D23" s="11"/>
      <c r="E23" s="11"/>
      <c r="F23" s="11"/>
      <c r="G23" s="12" t="s">
        <v>63</v>
      </c>
      <c r="H23" s="13" t="s">
        <v>64</v>
      </c>
      <c r="I23" s="12"/>
      <c r="J23" s="12"/>
      <c r="K23" s="12"/>
      <c r="L23" s="12"/>
      <c r="M23" s="12"/>
      <c r="N23" s="14" t="s">
        <v>60</v>
      </c>
    </row>
    <row r="24" spans="2:14" x14ac:dyDescent="0.25">
      <c r="B24" s="9">
        <v>15</v>
      </c>
      <c r="C24" s="10" t="s">
        <v>22</v>
      </c>
      <c r="D24" s="11"/>
      <c r="E24" s="11" t="s">
        <v>65</v>
      </c>
      <c r="F24" s="11" t="s">
        <v>66</v>
      </c>
      <c r="G24" s="12" t="s">
        <v>67</v>
      </c>
      <c r="H24" s="13" t="s">
        <v>68</v>
      </c>
      <c r="I24" s="12"/>
      <c r="J24" s="12"/>
      <c r="K24" s="12"/>
      <c r="L24" s="12"/>
      <c r="M24" s="12"/>
      <c r="N24" s="14" t="s">
        <v>69</v>
      </c>
    </row>
    <row r="25" spans="2:14" x14ac:dyDescent="0.25">
      <c r="B25" s="9">
        <v>16</v>
      </c>
      <c r="C25" s="10" t="s">
        <v>22</v>
      </c>
      <c r="D25" s="11"/>
      <c r="E25" s="11"/>
      <c r="F25" s="11"/>
      <c r="G25" s="12" t="s">
        <v>70</v>
      </c>
      <c r="H25" s="13" t="s">
        <v>71</v>
      </c>
      <c r="I25" s="12"/>
      <c r="J25" s="12"/>
      <c r="K25" s="12"/>
      <c r="L25" s="12"/>
      <c r="M25" s="12"/>
      <c r="N25" s="14" t="s">
        <v>69</v>
      </c>
    </row>
    <row r="26" spans="2:14" x14ac:dyDescent="0.25">
      <c r="B26" s="9">
        <v>17</v>
      </c>
      <c r="C26" s="10" t="s">
        <v>22</v>
      </c>
      <c r="D26" s="11"/>
      <c r="E26" s="11"/>
      <c r="F26" s="11"/>
      <c r="G26" s="12" t="s">
        <v>72</v>
      </c>
      <c r="H26" s="13" t="s">
        <v>73</v>
      </c>
      <c r="I26" s="12"/>
      <c r="J26" s="12"/>
      <c r="K26" s="12"/>
      <c r="L26" s="12"/>
      <c r="M26" s="12"/>
      <c r="N26" s="14" t="s">
        <v>69</v>
      </c>
    </row>
    <row r="27" spans="2:14" x14ac:dyDescent="0.25">
      <c r="B27" s="9">
        <v>18</v>
      </c>
      <c r="C27" s="10" t="s">
        <v>22</v>
      </c>
      <c r="D27" s="11"/>
      <c r="E27" s="11"/>
      <c r="F27" s="11" t="s">
        <v>74</v>
      </c>
      <c r="G27" s="12" t="s">
        <v>75</v>
      </c>
      <c r="H27" s="13" t="s">
        <v>76</v>
      </c>
      <c r="I27" s="12"/>
      <c r="J27" s="12"/>
      <c r="K27" s="12"/>
      <c r="L27" s="12"/>
      <c r="M27" s="12"/>
      <c r="N27" s="14" t="s">
        <v>69</v>
      </c>
    </row>
    <row r="28" spans="2:14" x14ac:dyDescent="0.25">
      <c r="B28" s="9">
        <v>19</v>
      </c>
      <c r="C28" s="10" t="s">
        <v>22</v>
      </c>
      <c r="D28" s="11"/>
      <c r="E28" s="11"/>
      <c r="F28" s="11"/>
      <c r="G28" s="12" t="s">
        <v>77</v>
      </c>
      <c r="H28" s="13" t="s">
        <v>78</v>
      </c>
      <c r="I28" s="12"/>
      <c r="J28" s="12"/>
      <c r="K28" s="12"/>
      <c r="L28" s="12"/>
      <c r="M28" s="12"/>
      <c r="N28" s="14" t="s">
        <v>69</v>
      </c>
    </row>
    <row r="29" spans="2:14" x14ac:dyDescent="0.25">
      <c r="B29" s="9">
        <v>20</v>
      </c>
      <c r="C29" s="10" t="s">
        <v>22</v>
      </c>
      <c r="D29" s="11" t="s">
        <v>79</v>
      </c>
      <c r="E29" s="11" t="s">
        <v>80</v>
      </c>
      <c r="F29" s="11" t="s">
        <v>81</v>
      </c>
      <c r="G29" s="12" t="s">
        <v>82</v>
      </c>
      <c r="H29" s="13" t="s">
        <v>83</v>
      </c>
      <c r="I29" s="12"/>
      <c r="J29" s="12"/>
      <c r="K29" s="12"/>
      <c r="L29" s="12"/>
      <c r="M29" s="12"/>
      <c r="N29" s="14" t="s">
        <v>84</v>
      </c>
    </row>
    <row r="30" spans="2:14" x14ac:dyDescent="0.25">
      <c r="B30" s="9">
        <v>21</v>
      </c>
      <c r="C30" s="10" t="s">
        <v>22</v>
      </c>
      <c r="D30" s="11"/>
      <c r="E30" s="11"/>
      <c r="F30" s="11"/>
      <c r="G30" s="12" t="s">
        <v>85</v>
      </c>
      <c r="H30" s="13" t="s">
        <v>86</v>
      </c>
      <c r="I30" s="12"/>
      <c r="J30" s="12"/>
      <c r="K30" s="12"/>
      <c r="L30" s="12"/>
      <c r="M30" s="12"/>
      <c r="N30" s="14" t="s">
        <v>84</v>
      </c>
    </row>
    <row r="31" spans="2:14" x14ac:dyDescent="0.25">
      <c r="B31" s="9">
        <v>22</v>
      </c>
      <c r="C31" s="15" t="s">
        <v>34</v>
      </c>
      <c r="D31" s="11"/>
      <c r="E31" s="11" t="s">
        <v>87</v>
      </c>
      <c r="F31" s="11" t="s">
        <v>66</v>
      </c>
      <c r="G31" s="12" t="s">
        <v>88</v>
      </c>
      <c r="H31" s="13" t="s">
        <v>89</v>
      </c>
      <c r="I31" s="12"/>
      <c r="J31" s="12"/>
      <c r="K31" s="12"/>
      <c r="L31" s="12"/>
      <c r="M31" s="12"/>
      <c r="N31" s="14" t="s">
        <v>84</v>
      </c>
    </row>
    <row r="32" spans="2:14" x14ac:dyDescent="0.25">
      <c r="B32" s="9">
        <v>23</v>
      </c>
      <c r="C32" s="10" t="s">
        <v>22</v>
      </c>
      <c r="D32" s="11"/>
      <c r="E32" s="11"/>
      <c r="F32" s="11"/>
      <c r="G32" s="12" t="s">
        <v>90</v>
      </c>
      <c r="H32" s="13" t="s">
        <v>91</v>
      </c>
      <c r="I32" s="12"/>
      <c r="J32" s="12"/>
      <c r="K32" s="12"/>
      <c r="L32" s="12"/>
      <c r="M32" s="12"/>
      <c r="N32" s="14" t="s">
        <v>84</v>
      </c>
    </row>
    <row r="33" spans="2:14" x14ac:dyDescent="0.25">
      <c r="B33" s="9">
        <v>24</v>
      </c>
      <c r="C33" s="10" t="s">
        <v>22</v>
      </c>
      <c r="D33" s="11"/>
      <c r="E33" s="11"/>
      <c r="F33" s="11"/>
      <c r="G33" s="12" t="s">
        <v>92</v>
      </c>
      <c r="H33" s="13" t="s">
        <v>93</v>
      </c>
      <c r="I33" s="12"/>
      <c r="J33" s="12"/>
      <c r="K33" s="12"/>
      <c r="L33" s="12"/>
      <c r="M33" s="12"/>
      <c r="N33" s="14" t="s">
        <v>84</v>
      </c>
    </row>
    <row r="34" spans="2:14" x14ac:dyDescent="0.25">
      <c r="B34" s="9">
        <v>25</v>
      </c>
      <c r="C34" s="10" t="s">
        <v>22</v>
      </c>
      <c r="D34" s="11"/>
      <c r="E34" s="11" t="s">
        <v>94</v>
      </c>
      <c r="F34" s="11" t="s">
        <v>95</v>
      </c>
      <c r="G34" s="12" t="s">
        <v>96</v>
      </c>
      <c r="H34" s="13" t="s">
        <v>97</v>
      </c>
      <c r="I34" s="12"/>
      <c r="J34" s="12"/>
      <c r="K34" s="12"/>
      <c r="L34" s="12"/>
      <c r="M34" s="12"/>
      <c r="N34" s="14" t="s">
        <v>98</v>
      </c>
    </row>
    <row r="35" spans="2:14" x14ac:dyDescent="0.25">
      <c r="B35" s="9">
        <v>26</v>
      </c>
      <c r="C35" s="16" t="s">
        <v>51</v>
      </c>
      <c r="D35" s="11"/>
      <c r="E35" s="11"/>
      <c r="F35" s="11"/>
      <c r="G35" s="12" t="s">
        <v>99</v>
      </c>
      <c r="H35" s="13" t="s">
        <v>100</v>
      </c>
      <c r="I35" s="12"/>
      <c r="J35" s="12"/>
      <c r="K35" s="12"/>
      <c r="L35" s="12"/>
      <c r="M35" s="12"/>
      <c r="N35" s="14" t="s">
        <v>98</v>
      </c>
    </row>
    <row r="36" spans="2:14" x14ac:dyDescent="0.25">
      <c r="B36" s="9">
        <v>27</v>
      </c>
      <c r="C36" s="16" t="s">
        <v>51</v>
      </c>
      <c r="D36" s="11"/>
      <c r="E36" s="11"/>
      <c r="F36" s="11"/>
      <c r="G36" s="12" t="s">
        <v>101</v>
      </c>
      <c r="H36" s="13" t="s">
        <v>102</v>
      </c>
      <c r="I36" s="12"/>
      <c r="J36" s="12"/>
      <c r="K36" s="12"/>
      <c r="L36" s="12"/>
      <c r="M36" s="12"/>
      <c r="N36" s="14" t="s">
        <v>98</v>
      </c>
    </row>
    <row r="37" spans="2:14" x14ac:dyDescent="0.25">
      <c r="B37" s="9">
        <v>28</v>
      </c>
      <c r="C37" s="16" t="s">
        <v>51</v>
      </c>
      <c r="D37" s="11" t="s">
        <v>103</v>
      </c>
      <c r="E37" s="11" t="s">
        <v>104</v>
      </c>
      <c r="F37" s="11" t="s">
        <v>105</v>
      </c>
      <c r="G37" s="12" t="s">
        <v>96</v>
      </c>
      <c r="H37" s="13" t="s">
        <v>106</v>
      </c>
      <c r="I37" s="12"/>
      <c r="J37" s="12"/>
      <c r="K37" s="12"/>
      <c r="L37" s="12"/>
      <c r="M37" s="12"/>
      <c r="N37" s="14" t="s">
        <v>107</v>
      </c>
    </row>
    <row r="38" spans="2:14" x14ac:dyDescent="0.25">
      <c r="B38" s="9">
        <v>29</v>
      </c>
      <c r="C38" s="16" t="s">
        <v>51</v>
      </c>
      <c r="D38" s="11"/>
      <c r="E38" s="11"/>
      <c r="F38" s="11"/>
      <c r="G38" s="12" t="s">
        <v>108</v>
      </c>
      <c r="H38" s="13" t="s">
        <v>109</v>
      </c>
      <c r="I38" s="12"/>
      <c r="J38" s="12"/>
      <c r="K38" s="12"/>
      <c r="L38" s="12"/>
      <c r="M38" s="12"/>
      <c r="N38" s="14" t="s">
        <v>110</v>
      </c>
    </row>
    <row r="39" spans="2:14" x14ac:dyDescent="0.25">
      <c r="B39" s="9">
        <v>30</v>
      </c>
      <c r="C39" s="10" t="s">
        <v>22</v>
      </c>
      <c r="D39" s="11"/>
      <c r="E39" s="11" t="s">
        <v>111</v>
      </c>
      <c r="F39" s="11" t="s">
        <v>112</v>
      </c>
      <c r="G39" s="12" t="s">
        <v>113</v>
      </c>
      <c r="H39" s="13" t="s">
        <v>114</v>
      </c>
      <c r="I39" s="12"/>
      <c r="J39" s="12"/>
      <c r="K39" s="12"/>
      <c r="L39" s="12"/>
      <c r="M39" s="12"/>
      <c r="N39" s="14" t="s">
        <v>115</v>
      </c>
    </row>
    <row r="40" spans="2:14" x14ac:dyDescent="0.25">
      <c r="B40" s="9">
        <v>31</v>
      </c>
      <c r="C40" s="10" t="s">
        <v>22</v>
      </c>
      <c r="D40" s="11"/>
      <c r="E40" s="11"/>
      <c r="F40" s="11"/>
      <c r="G40" s="12" t="s">
        <v>116</v>
      </c>
      <c r="H40" s="13" t="s">
        <v>117</v>
      </c>
      <c r="I40" s="12"/>
      <c r="J40" s="12"/>
      <c r="K40" s="12"/>
      <c r="L40" s="12"/>
      <c r="M40" s="12"/>
      <c r="N40" s="14" t="s">
        <v>115</v>
      </c>
    </row>
    <row r="41" spans="2:14" x14ac:dyDescent="0.25">
      <c r="B41" s="9">
        <v>32</v>
      </c>
      <c r="C41" s="10" t="s">
        <v>22</v>
      </c>
      <c r="D41" s="11"/>
      <c r="E41" s="11"/>
      <c r="F41" s="11" t="s">
        <v>118</v>
      </c>
      <c r="G41" s="12" t="s">
        <v>119</v>
      </c>
      <c r="H41" s="13" t="s">
        <v>120</v>
      </c>
      <c r="I41" s="12"/>
      <c r="J41" s="12"/>
      <c r="K41" s="12"/>
      <c r="L41" s="12"/>
      <c r="M41" s="12"/>
      <c r="N41" s="14" t="s">
        <v>115</v>
      </c>
    </row>
    <row r="42" spans="2:14" x14ac:dyDescent="0.25">
      <c r="B42" s="9">
        <v>33</v>
      </c>
      <c r="C42" s="10" t="s">
        <v>22</v>
      </c>
      <c r="D42" s="11"/>
      <c r="E42" s="11"/>
      <c r="F42" s="11"/>
      <c r="G42" s="12" t="s">
        <v>121</v>
      </c>
      <c r="H42" s="13" t="s">
        <v>122</v>
      </c>
      <c r="I42" s="12"/>
      <c r="J42" s="12"/>
      <c r="K42" s="12"/>
      <c r="L42" s="12"/>
      <c r="M42" s="12"/>
      <c r="N42" s="14" t="s">
        <v>115</v>
      </c>
    </row>
    <row r="43" spans="2:14" x14ac:dyDescent="0.25">
      <c r="B43" s="9">
        <v>34</v>
      </c>
      <c r="C43" s="10" t="s">
        <v>22</v>
      </c>
      <c r="D43" s="11"/>
      <c r="E43" s="11"/>
      <c r="F43" s="11"/>
      <c r="G43" s="12" t="s">
        <v>123</v>
      </c>
      <c r="H43" s="13" t="s">
        <v>124</v>
      </c>
      <c r="I43" s="12"/>
      <c r="J43" s="12"/>
      <c r="K43" s="12"/>
      <c r="L43" s="12"/>
      <c r="M43" s="12"/>
      <c r="N43" s="14" t="s">
        <v>115</v>
      </c>
    </row>
    <row r="44" spans="2:14" x14ac:dyDescent="0.25">
      <c r="B44" s="9">
        <v>35</v>
      </c>
      <c r="C44" s="10" t="s">
        <v>22</v>
      </c>
      <c r="D44" s="11"/>
      <c r="E44" s="11"/>
      <c r="F44" s="11"/>
      <c r="G44" s="12" t="s">
        <v>125</v>
      </c>
      <c r="H44" s="13" t="s">
        <v>126</v>
      </c>
      <c r="I44" s="12"/>
      <c r="J44" s="12"/>
      <c r="K44" s="12"/>
      <c r="L44" s="12"/>
      <c r="M44" s="12"/>
      <c r="N44" s="14" t="s">
        <v>115</v>
      </c>
    </row>
    <row r="45" spans="2:14" x14ac:dyDescent="0.25">
      <c r="B45" s="9">
        <v>36</v>
      </c>
      <c r="C45" s="16" t="s">
        <v>51</v>
      </c>
      <c r="D45" s="11"/>
      <c r="E45" s="11"/>
      <c r="F45" s="11"/>
      <c r="G45" s="12" t="s">
        <v>127</v>
      </c>
      <c r="H45" s="13" t="s">
        <v>128</v>
      </c>
      <c r="I45" s="12"/>
      <c r="J45" s="12"/>
      <c r="K45" s="12"/>
      <c r="L45" s="12"/>
      <c r="M45" s="12"/>
      <c r="N45" s="14" t="s">
        <v>129</v>
      </c>
    </row>
    <row r="46" spans="2:14" x14ac:dyDescent="0.25">
      <c r="B46" s="9">
        <v>37</v>
      </c>
      <c r="C46" s="16" t="s">
        <v>51</v>
      </c>
      <c r="D46" s="11"/>
      <c r="E46" s="11"/>
      <c r="F46" s="11"/>
      <c r="G46" s="12" t="s">
        <v>130</v>
      </c>
      <c r="H46" s="13" t="s">
        <v>131</v>
      </c>
      <c r="I46" s="12"/>
      <c r="J46" s="12"/>
      <c r="K46" s="12"/>
      <c r="L46" s="12"/>
      <c r="M46" s="12"/>
      <c r="N46" s="14" t="s">
        <v>129</v>
      </c>
    </row>
    <row r="47" spans="2:14" x14ac:dyDescent="0.25">
      <c r="B47" s="9">
        <v>38</v>
      </c>
      <c r="C47" s="16" t="s">
        <v>51</v>
      </c>
      <c r="D47" s="11"/>
      <c r="E47" s="11"/>
      <c r="F47" s="11" t="s">
        <v>132</v>
      </c>
      <c r="G47" s="12" t="s">
        <v>133</v>
      </c>
      <c r="H47" s="13" t="s">
        <v>134</v>
      </c>
      <c r="I47" s="12"/>
      <c r="J47" s="12"/>
      <c r="K47" s="12"/>
      <c r="L47" s="12"/>
      <c r="M47" s="12"/>
      <c r="N47" s="14" t="s">
        <v>135</v>
      </c>
    </row>
    <row r="48" spans="2:14" x14ac:dyDescent="0.25">
      <c r="B48" s="9">
        <v>39</v>
      </c>
      <c r="C48" s="16" t="s">
        <v>51</v>
      </c>
      <c r="D48" s="11"/>
      <c r="E48" s="11"/>
      <c r="F48" s="11"/>
      <c r="G48" s="12" t="s">
        <v>136</v>
      </c>
      <c r="H48" s="13" t="s">
        <v>137</v>
      </c>
      <c r="I48" s="12"/>
      <c r="J48" s="12"/>
      <c r="K48" s="12"/>
      <c r="L48" s="12"/>
      <c r="M48" s="12"/>
      <c r="N48" s="14" t="s">
        <v>135</v>
      </c>
    </row>
    <row r="49" spans="2:14" x14ac:dyDescent="0.25">
      <c r="B49" s="9">
        <v>40</v>
      </c>
      <c r="C49" s="16" t="s">
        <v>51</v>
      </c>
      <c r="D49" s="11"/>
      <c r="E49" s="11"/>
      <c r="F49" s="11"/>
      <c r="G49" s="12" t="s">
        <v>138</v>
      </c>
      <c r="H49" s="13" t="s">
        <v>139</v>
      </c>
      <c r="I49" s="12"/>
      <c r="J49" s="12"/>
      <c r="K49" s="12"/>
      <c r="L49" s="12"/>
      <c r="M49" s="12"/>
      <c r="N49" s="14" t="s">
        <v>140</v>
      </c>
    </row>
    <row r="50" spans="2:14" x14ac:dyDescent="0.25">
      <c r="B50" s="9">
        <v>41</v>
      </c>
      <c r="C50" s="15" t="s">
        <v>34</v>
      </c>
      <c r="D50" s="11"/>
      <c r="E50" s="11" t="s">
        <v>141</v>
      </c>
      <c r="F50" s="12" t="s">
        <v>142</v>
      </c>
      <c r="G50" s="12" t="s">
        <v>143</v>
      </c>
      <c r="H50" s="13" t="s">
        <v>144</v>
      </c>
      <c r="I50" s="12"/>
      <c r="J50" s="12"/>
      <c r="K50" s="12"/>
      <c r="L50" s="12"/>
      <c r="M50" s="12"/>
      <c r="N50" s="14" t="s">
        <v>145</v>
      </c>
    </row>
    <row r="51" spans="2:14" x14ac:dyDescent="0.25">
      <c r="B51" s="9">
        <v>42</v>
      </c>
      <c r="C51" s="15" t="s">
        <v>34</v>
      </c>
      <c r="D51" s="11"/>
      <c r="E51" s="11"/>
      <c r="F51" s="11" t="s">
        <v>146</v>
      </c>
      <c r="G51" s="12" t="s">
        <v>147</v>
      </c>
      <c r="H51" s="13" t="s">
        <v>148</v>
      </c>
      <c r="I51" s="12"/>
      <c r="J51" s="12"/>
      <c r="K51" s="12"/>
      <c r="L51" s="12"/>
      <c r="M51" s="12"/>
      <c r="N51" s="14" t="s">
        <v>145</v>
      </c>
    </row>
    <row r="52" spans="2:14" x14ac:dyDescent="0.25">
      <c r="B52" s="9">
        <v>43</v>
      </c>
      <c r="C52" s="10" t="s">
        <v>22</v>
      </c>
      <c r="D52" s="11"/>
      <c r="E52" s="11"/>
      <c r="F52" s="11"/>
      <c r="G52" s="12" t="s">
        <v>149</v>
      </c>
      <c r="H52" s="13" t="s">
        <v>150</v>
      </c>
      <c r="I52" s="12"/>
      <c r="J52" s="12"/>
      <c r="K52" s="12"/>
      <c r="L52" s="12"/>
      <c r="M52" s="12"/>
      <c r="N52" s="14" t="s">
        <v>151</v>
      </c>
    </row>
    <row r="53" spans="2:14" x14ac:dyDescent="0.25">
      <c r="B53" s="9">
        <v>44</v>
      </c>
      <c r="C53" s="10" t="s">
        <v>22</v>
      </c>
      <c r="D53" s="11"/>
      <c r="E53" s="11"/>
      <c r="F53" s="11"/>
      <c r="G53" s="12" t="s">
        <v>152</v>
      </c>
      <c r="H53" s="13" t="s">
        <v>153</v>
      </c>
      <c r="I53" s="12"/>
      <c r="J53" s="12"/>
      <c r="K53" s="12"/>
      <c r="L53" s="12"/>
      <c r="M53" s="12"/>
      <c r="N53" s="14" t="s">
        <v>145</v>
      </c>
    </row>
    <row r="54" spans="2:14" x14ac:dyDescent="0.25">
      <c r="B54" s="9">
        <v>45</v>
      </c>
      <c r="C54" s="16" t="s">
        <v>51</v>
      </c>
      <c r="D54" s="11"/>
      <c r="E54" s="11"/>
      <c r="F54" s="11" t="s">
        <v>132</v>
      </c>
      <c r="G54" s="12" t="s">
        <v>154</v>
      </c>
      <c r="H54" s="13" t="s">
        <v>155</v>
      </c>
      <c r="I54" s="12"/>
      <c r="J54" s="12"/>
      <c r="K54" s="12"/>
      <c r="L54" s="12"/>
      <c r="M54" s="12"/>
      <c r="N54" s="14" t="s">
        <v>135</v>
      </c>
    </row>
    <row r="55" spans="2:14" x14ac:dyDescent="0.25">
      <c r="B55" s="9">
        <v>46</v>
      </c>
      <c r="C55" s="16" t="s">
        <v>51</v>
      </c>
      <c r="D55" s="11"/>
      <c r="E55" s="11"/>
      <c r="F55" s="11"/>
      <c r="G55" s="12" t="s">
        <v>156</v>
      </c>
      <c r="H55" s="13" t="s">
        <v>157</v>
      </c>
      <c r="I55" s="12"/>
      <c r="J55" s="12"/>
      <c r="K55" s="12"/>
      <c r="L55" s="12"/>
      <c r="M55" s="12"/>
      <c r="N55" s="14" t="s">
        <v>158</v>
      </c>
    </row>
    <row r="56" spans="2:14" x14ac:dyDescent="0.25">
      <c r="B56" s="9">
        <v>47</v>
      </c>
      <c r="C56" s="16" t="s">
        <v>51</v>
      </c>
      <c r="D56" s="11"/>
      <c r="E56" s="11"/>
      <c r="F56" s="11"/>
      <c r="G56" s="12" t="s">
        <v>159</v>
      </c>
      <c r="H56" s="13" t="s">
        <v>160</v>
      </c>
      <c r="I56" s="12"/>
      <c r="J56" s="12"/>
      <c r="K56" s="12"/>
      <c r="L56" s="12"/>
      <c r="M56" s="12"/>
      <c r="N56" s="14" t="s">
        <v>161</v>
      </c>
    </row>
    <row r="57" spans="2:14" x14ac:dyDescent="0.25">
      <c r="B57" s="9">
        <v>48</v>
      </c>
      <c r="C57" s="10" t="s">
        <v>22</v>
      </c>
      <c r="D57" s="11"/>
      <c r="E57" s="11" t="s">
        <v>162</v>
      </c>
      <c r="F57" s="12" t="s">
        <v>163</v>
      </c>
      <c r="G57" s="12" t="s">
        <v>164</v>
      </c>
      <c r="H57" s="13" t="s">
        <v>165</v>
      </c>
      <c r="I57" s="12"/>
      <c r="J57" s="12"/>
      <c r="K57" s="12"/>
      <c r="L57" s="12"/>
      <c r="M57" s="12"/>
      <c r="N57" s="14" t="s">
        <v>166</v>
      </c>
    </row>
    <row r="58" spans="2:14" x14ac:dyDescent="0.25">
      <c r="B58" s="9">
        <v>49</v>
      </c>
      <c r="C58" s="10" t="s">
        <v>22</v>
      </c>
      <c r="D58" s="11"/>
      <c r="E58" s="11"/>
      <c r="F58" s="11" t="s">
        <v>167</v>
      </c>
      <c r="G58" s="12" t="s">
        <v>168</v>
      </c>
      <c r="H58" s="13" t="s">
        <v>169</v>
      </c>
      <c r="I58" s="12"/>
      <c r="J58" s="12"/>
      <c r="K58" s="12"/>
      <c r="L58" s="12"/>
      <c r="M58" s="12"/>
      <c r="N58" s="14" t="s">
        <v>166</v>
      </c>
    </row>
    <row r="59" spans="2:14" x14ac:dyDescent="0.25">
      <c r="B59" s="9">
        <v>50</v>
      </c>
      <c r="C59" s="10" t="s">
        <v>22</v>
      </c>
      <c r="D59" s="11"/>
      <c r="E59" s="11"/>
      <c r="F59" s="11"/>
      <c r="G59" s="12" t="s">
        <v>170</v>
      </c>
      <c r="H59" s="13" t="s">
        <v>171</v>
      </c>
      <c r="I59" s="12"/>
      <c r="J59" s="12"/>
      <c r="K59" s="12"/>
      <c r="L59" s="12"/>
      <c r="M59" s="12"/>
      <c r="N59" s="14" t="s">
        <v>166</v>
      </c>
    </row>
    <row r="60" spans="2:14" x14ac:dyDescent="0.25">
      <c r="B60" s="9">
        <v>51</v>
      </c>
      <c r="C60" s="16" t="s">
        <v>51</v>
      </c>
      <c r="D60" s="11"/>
      <c r="E60" s="11"/>
      <c r="F60" s="11" t="s">
        <v>132</v>
      </c>
      <c r="G60" s="12" t="s">
        <v>172</v>
      </c>
      <c r="H60" s="13" t="s">
        <v>173</v>
      </c>
      <c r="I60" s="12"/>
      <c r="J60" s="12"/>
      <c r="K60" s="12"/>
      <c r="L60" s="12"/>
      <c r="M60" s="12"/>
      <c r="N60" s="14" t="s">
        <v>135</v>
      </c>
    </row>
    <row r="61" spans="2:14" x14ac:dyDescent="0.25">
      <c r="B61" s="9">
        <v>52</v>
      </c>
      <c r="C61" s="16" t="s">
        <v>51</v>
      </c>
      <c r="D61" s="11"/>
      <c r="E61" s="11"/>
      <c r="F61" s="11"/>
      <c r="G61" s="12" t="s">
        <v>174</v>
      </c>
      <c r="H61" s="13" t="s">
        <v>175</v>
      </c>
      <c r="I61" s="12"/>
      <c r="J61" s="12"/>
      <c r="K61" s="12"/>
      <c r="L61" s="12"/>
      <c r="M61" s="12"/>
      <c r="N61" s="14" t="s">
        <v>135</v>
      </c>
    </row>
    <row r="62" spans="2:14" x14ac:dyDescent="0.25">
      <c r="B62" s="9">
        <v>53</v>
      </c>
      <c r="C62" s="10" t="s">
        <v>22</v>
      </c>
      <c r="D62" s="11"/>
      <c r="E62" s="11"/>
      <c r="F62" s="11" t="s">
        <v>176</v>
      </c>
      <c r="G62" s="12" t="s">
        <v>177</v>
      </c>
      <c r="H62" s="13" t="s">
        <v>178</v>
      </c>
      <c r="I62" s="12"/>
      <c r="J62" s="12"/>
      <c r="K62" s="12"/>
      <c r="L62" s="12"/>
      <c r="M62" s="12"/>
      <c r="N62" s="14" t="s">
        <v>166</v>
      </c>
    </row>
    <row r="63" spans="2:14" x14ac:dyDescent="0.25">
      <c r="B63" s="9">
        <v>54</v>
      </c>
      <c r="C63" s="10" t="s">
        <v>22</v>
      </c>
      <c r="D63" s="11"/>
      <c r="E63" s="11"/>
      <c r="F63" s="11"/>
      <c r="G63" s="12" t="s">
        <v>179</v>
      </c>
      <c r="H63" s="13" t="s">
        <v>180</v>
      </c>
      <c r="I63" s="12"/>
      <c r="J63" s="12"/>
      <c r="K63" s="12"/>
      <c r="L63" s="12"/>
      <c r="M63" s="12"/>
      <c r="N63" s="14" t="s">
        <v>166</v>
      </c>
    </row>
  </sheetData>
  <mergeCells count="32">
    <mergeCell ref="D10:D28"/>
    <mergeCell ref="E10:E15"/>
    <mergeCell ref="F10:F11"/>
    <mergeCell ref="F12:F15"/>
    <mergeCell ref="E16:E23"/>
    <mergeCell ref="F16:F18"/>
    <mergeCell ref="F19:F20"/>
    <mergeCell ref="F21:F23"/>
    <mergeCell ref="E24:E28"/>
    <mergeCell ref="F24:F26"/>
    <mergeCell ref="F27:F28"/>
    <mergeCell ref="D29:D36"/>
    <mergeCell ref="E29:E30"/>
    <mergeCell ref="F29:F30"/>
    <mergeCell ref="E31:E33"/>
    <mergeCell ref="F31:F33"/>
    <mergeCell ref="E34:E36"/>
    <mergeCell ref="F34:F36"/>
    <mergeCell ref="D37:D63"/>
    <mergeCell ref="E37:E38"/>
    <mergeCell ref="F37:F38"/>
    <mergeCell ref="E39:E49"/>
    <mergeCell ref="F39:F40"/>
    <mergeCell ref="F41:F46"/>
    <mergeCell ref="F47:F49"/>
    <mergeCell ref="E50:E56"/>
    <mergeCell ref="F51:F53"/>
    <mergeCell ref="F54:F56"/>
    <mergeCell ref="E57:E63"/>
    <mergeCell ref="F58:F59"/>
    <mergeCell ref="F60:F61"/>
    <mergeCell ref="F62:F63"/>
  </mergeCells>
  <dataValidations count="1">
    <dataValidation type="list" allowBlank="1" showErrorMessage="1" errorTitle="잘못된 값" error="Pass, Fail, N/T, Block 중 하나를 선택하세요." sqref="I10:J63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테스트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2026-05-21T06:45:27Z</dcterms:created>
  <dcterms:modified xsi:type="dcterms:W3CDTF">2026-05-21T06:45:27Z</dcterms:modified>
</cp:coreProperties>
</file>