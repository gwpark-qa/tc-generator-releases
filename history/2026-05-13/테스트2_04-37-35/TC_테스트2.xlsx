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테스트2" state="visible" r:id="rId4"/>
  </sheets>
  <calcPr calcId="171027"/>
</workbook>
</file>

<file path=xl/sharedStrings.xml><?xml version="1.0" encoding="utf-8"?>
<sst xmlns="http://schemas.openxmlformats.org/spreadsheetml/2006/main" count="159" uniqueCount="96">
  <si>
    <t>(C)테스트2</t>
  </si>
  <si>
    <t>Android</t>
  </si>
  <si>
    <t>iOS</t>
  </si>
  <si>
    <t>Pass</t>
  </si>
  <si>
    <t>Untested</t>
  </si>
  <si>
    <t>N/T</t>
  </si>
  <si>
    <t>Tested</t>
  </si>
  <si>
    <t>Fail</t>
  </si>
  <si>
    <t>Total</t>
  </si>
  <si>
    <t>Block</t>
  </si>
  <si>
    <t>Progress</t>
  </si>
  <si>
    <t/>
  </si>
  <si>
    <t>No</t>
  </si>
  <si>
    <t>Priority</t>
  </si>
  <si>
    <t>Main</t>
  </si>
  <si>
    <t>Sub-1</t>
  </si>
  <si>
    <t>Sub-2</t>
  </si>
  <si>
    <t>Sub-3</t>
  </si>
  <si>
    <t>Expectation Result</t>
  </si>
  <si>
    <t>AOS</t>
  </si>
  <si>
    <t>JIRA Link</t>
  </si>
  <si>
    <t>Comment</t>
  </si>
  <si>
    <t>Major</t>
  </si>
  <si>
    <t>이벤트</t>
  </si>
  <si>
    <t>이벤트 리스트</t>
  </si>
  <si>
    <t>리스트 출력 영역</t>
  </si>
  <si>
    <t>이벤트 헤더 출력</t>
  </si>
  <si>
    <t>좌측 이벤트 리스트 상단에 '이벤트' 헤더 타이틀이 출력된다.</t>
  </si>
  <si>
    <t>참고 화면: 반죽 게임즈 테스트 센터 메인 화면</t>
  </si>
  <si>
    <t>이벤트 항목 출력</t>
  </si>
  <si>
    <t>좌측 이벤트 리스트 영역에 진행 중인 이벤트 항목(출석부, 쿠키 출시 이벤트, 네온데비쉬맛 쿠키 픽업 이벤트, 플레이 이벤트, 반죽 게임즈 테스트 센터, 어드벤처 모드 부스팅 이벤트, 신비한 연금술 공방, 어비스 탐색 보고서) 목록이 출력된다.</t>
  </si>
  <si>
    <t>선택 항목 강조 표시</t>
  </si>
  <si>
    <t>현재 진입한 '반죽 게임즈 테스트 센터' 항목이 노란색 배경으로 강조 표시된다.</t>
  </si>
  <si>
    <t>Normal</t>
  </si>
  <si>
    <t>항목 아이콘 출력</t>
  </si>
  <si>
    <t>각 이벤트 항목 좌측에 해당 이벤트를 식별할 수 있는 아이콘이 출력된다.</t>
  </si>
  <si>
    <t>이벤트 항목 동작</t>
  </si>
  <si>
    <t>화면 전환</t>
  </si>
  <si>
    <t>이벤트 리스트 내 다른 이벤트 항목 터치 시, 해당 이벤트의 메인 화면으로 전환된다.</t>
  </si>
  <si>
    <t>터치 효과음</t>
  </si>
  <si>
    <t>이벤트 리스트 항목 터치 시, 효과음이 출력된다.</t>
  </si>
  <si>
    <t>반죽 게임즈 테스트 센터</t>
  </si>
  <si>
    <t>상단 영역</t>
  </si>
  <si>
    <t>잔여 시간 출력</t>
  </si>
  <si>
    <t>화면 상단에 이벤트 잔여 시간(예: 22일 16시간)이 출력된다.</t>
  </si>
  <si>
    <t>타이머 카운트다운</t>
  </si>
  <si>
    <t>잔여 시간 타이머가 시간 경과에 따라 카운트다운되어 갱신된다.</t>
  </si>
  <si>
    <t>시계 아이콘 출력</t>
  </si>
  <si>
    <t>잔여 시간 텍스트 좌측에 시계 아이콘이 출력된다.</t>
  </si>
  <si>
    <t>메인 화면 UI</t>
  </si>
  <si>
    <t>이벤트 타이틀 출력</t>
  </si>
  <si>
    <t>화면 상단 중앙에 '반죽 게임즈 테스트 센터' 이벤트 타이틀 이미지가 출력된다.</t>
  </si>
  <si>
    <t>메인 캐릭터 출력</t>
  </si>
  <si>
    <t>화면 중앙에 안경을 착용한 고양이 형태의 메인 캐릭터 일러스트가 출력된다.</t>
  </si>
  <si>
    <t>대사 말풍선 출력</t>
  </si>
  <si>
    <t>메인 캐릭터 하단에 대사 말풍선(예: '랭킹에 도전할 거야? 아옹- 과연 내 신기록을 이길 수 있으려나?')이 출력된다.</t>
  </si>
  <si>
    <t>프리뷰 화면 출력</t>
  </si>
  <si>
    <t>화면 우측에 TV/모니터 형태의 프리뷰 영역이 출력된다.</t>
  </si>
  <si>
    <t>배경 연출 출력</t>
  </si>
  <si>
    <t>화면 배경에 크리스탈 및 장식 요소가 포함된 이벤트 배경 이미지가 출력된다.</t>
  </si>
  <si>
    <t>캐릭터 애니메이션 재생</t>
  </si>
  <si>
    <t>메인 화면 진입 시, 메인 캐릭터의 아이들 애니메이션이 재생된다.</t>
  </si>
  <si>
    <t>메뉴 버튼 영역</t>
  </si>
  <si>
    <t>튜토리얼 버튼 출력</t>
  </si>
  <si>
    <t>화면 좌측 중앙에 돋보기 아이콘이 포함된 '튜토리얼' 버튼이 출력된다.</t>
  </si>
  <si>
    <t>Critical</t>
  </si>
  <si>
    <t>튜토리얼 버튼 터치 동작</t>
  </si>
  <si>
    <t>튜토리얼 버튼 터치 시, 튜토리얼 화면으로 전환된다.</t>
  </si>
  <si>
    <t>랭킹 버튼 출력</t>
  </si>
  <si>
    <t>화면 좌측 중앙에 트로피 아이콘이 포함된 '랭킹' 버튼이 출력된다.</t>
  </si>
  <si>
    <t>랭킹 버튼 터치 동작</t>
  </si>
  <si>
    <t>랭킹 버튼 터치 시, 랭킹 화면으로 전환된다.</t>
  </si>
  <si>
    <t>미션 버튼 출력</t>
  </si>
  <si>
    <t>화면 좌측 중앙에 문서 아이콘이 포함된 '미션' 버튼이 출력된다.</t>
  </si>
  <si>
    <t>미션 버튼 터치 동작</t>
  </si>
  <si>
    <t>미션 버튼 터치 시, 미션 화면으로 전환된다.</t>
  </si>
  <si>
    <t>메뉴 버튼 터치 효과음</t>
  </si>
  <si>
    <t>튜토리얼/랭킹/미션 버튼 터치 시, 효과음이 출력된다.</t>
  </si>
  <si>
    <t>레드닷 출력</t>
  </si>
  <si>
    <t>각 메뉴 버튼(튜토리얼/랭킹/미션)에 신규 알림 조건 충족 시, 레드닷이 출력된다.</t>
  </si>
  <si>
    <t>레드닷 제거</t>
  </si>
  <si>
    <t>레드닷이 출력된 메뉴 버튼 진입 후 알림 조건 해소 시, 해당 레드닷이 제거된다.</t>
  </si>
  <si>
    <t>START 버튼 영역</t>
  </si>
  <si>
    <t>START 버튼 출력</t>
  </si>
  <si>
    <t>화면 우측 하단에 노란색의 'START' 버튼이 출력된다.</t>
  </si>
  <si>
    <t>START 버튼 터치 효과음</t>
  </si>
  <si>
    <t>START 버튼 터치 시, 효과음이 출력된다.</t>
  </si>
  <si>
    <t>콘텐츠 진입 전환</t>
  </si>
  <si>
    <t>START 버튼 터치 시, 반죽 게임즈 테스트 센터 콘텐츠 로딩 화면으로 진입된다.</t>
  </si>
  <si>
    <t>예외 처리</t>
  </si>
  <si>
    <t>이벤트 기간 종료</t>
  </si>
  <si>
    <t>이벤트 기간 종료 시, 반죽 게임즈 테스트 센터 항목이 이벤트 리스트에서 제거된다.</t>
  </si>
  <si>
    <t>디바이스 뒤로가기</t>
  </si>
  <si>
    <t>반죽 게임즈 테스트 센터 메인 화면에서 디바이스 뒤로가기 동작 시, 메인 로비로 복귀된다.</t>
  </si>
  <si>
    <t>잔여 시간 0 도달</t>
  </si>
  <si>
    <t>이벤트 잔여 시간이 0에 도달 시, 이벤트 종료 안내 처리가 진행된다.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</si>
</sst>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2"/>
    </font>
    <font>
      <b/>
      <color rgb="FFFFFFFF"/>
      <sz val="11"/>
    </font>
    <font>
      <b/>
      <color rgb="FF92D050"/>
    </font>
    <font>
      <b/>
      <color rgb="FFFFC000"/>
    </font>
    <font>
      <b/>
      <color rgb="FFFF0000"/>
    </font>
    <font>
      <b/>
      <color rgb="FF7030A0"/>
    </font>
    <font>
      <b/>
      <color rgb="FFFFFFFF"/>
      <sz val="10"/>
    </font>
    <font>
      <color rgb="FF666666"/>
      <sz val="9"/>
    </font>
    <font>
      <b/>
      <color rgb="FF00B050"/>
    </font>
  </fonts>
  <fills count="3">
    <fill>
      <patternFill patternType="none"/>
    </fill>
    <fill>
      <patternFill patternType="gray125"/>
    </fill>
    <fill>
      <patternFill patternType="solid">
        <fgColor rgb="FF4472C4"/>
      </patternFill>
    </fill>
  </fills>
  <borders count="3">
    <border>
      <left/>
      <right/>
      <top/>
      <bottom/>
      <diagonal/>
    </border>
    <border>
      <left style="thin"/>
      <right style="thin"/>
      <top style="thin"/>
      <bottom style="thin"/>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5" fillId="0" borderId="0" xfId="0" applyFont="1"/>
    <xf numFmtId="0" fontId="6" fillId="0" borderId="0" xfId="0" applyFont="1"/>
    <xf numFmtId="9" fontId="0" fillId="0" borderId="0" xfId="0" applyNumberFormat="1"/>
    <xf numFmtId="0" fontId="7" fillId="2" borderId="1" xfId="0" applyFont="1" applyFill="1" applyBorder="1" applyAlignment="1">
      <alignment horizontal="center" vertical="center"/>
    </xf>
    <xf numFmtId="0" fontId="0" fillId="0" borderId="2" xfId="0" applyBorder="1" applyAlignment="1">
      <alignment horizontal="center"/>
    </xf>
    <xf numFmtId="0" fontId="4" fillId="0" borderId="2" xfId="0" applyFont="1" applyBorder="1" applyAlignment="1">
      <alignment horizontal="center"/>
    </xf>
    <xf numFmtId="0" fontId="0" fillId="0" borderId="2" xfId="0" applyBorder="1" applyAlignment="1">
      <alignment horizontal="left" vertical="center"/>
    </xf>
    <xf numFmtId="0" fontId="0" fillId="0" borderId="2" xfId="0" applyBorder="1"/>
    <xf numFmtId="0" fontId="0" fillId="0" borderId="2" xfId="0" applyBorder="1" applyAlignment="1">
      <alignment wrapText="1"/>
    </xf>
    <xf numFmtId="0" fontId="8" fillId="0" borderId="2" xfId="0" applyFont="1" applyBorder="1" applyAlignment="1">
      <alignment wrapText="1"/>
    </xf>
    <xf numFmtId="0" fontId="9" fillId="0" borderId="2" xfId="0" applyFont="1" applyBorder="1" applyAlignment="1">
      <alignment horizontal="center"/>
    </xf>
    <xf numFmtId="0" fontId="5"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9"/>
  <sheetViews>
    <sheetView workbookViewId="0">
      <pane ySplit="9" topLeftCell="A10" activePane="bottomLeft" state="frozen"/>
      <selection pane="bottomLeft"/>
    </sheetView>
  </sheetViews>
  <sheetFormatPr defaultRowHeight="15" outlineLevelRow="0" outlineLevelCol="0" x14ac:dyDescent="55"/>
  <cols>
    <col min="1" max="1" width="3" customWidth="1"/>
    <col min="2" max="2" width="6" customWidth="1"/>
    <col min="3" max="3" width="10" customWidth="1"/>
    <col min="4" max="7" width="18" customWidth="1"/>
    <col min="8" max="8" width="55" customWidth="1"/>
    <col min="9" max="10" width="10" customWidth="1"/>
    <col min="11" max="11" width="20" customWidth="1"/>
    <col min="12" max="13" width="5" customWidth="1"/>
    <col min="14" max="14" width="25" customWidth="1"/>
  </cols>
  <sheetData>
    <row r="2" spans="8:13" x14ac:dyDescent="0.25">
      <c r="H2" s="1" t="s">
        <v>0</v>
      </c>
      <c r="I2" s="2" t="s">
        <v>1</v>
      </c>
      <c r="M2" s="2" t="s">
        <v>2</v>
      </c>
    </row>
    <row r="3" spans="9:14" x14ac:dyDescent="0.25">
      <c r="I3" s="3" t="s">
        <v>3</v>
      </c>
      <c r="J3">
        <f>COUNTIF(I10:I39,"Pass")</f>
      </c>
      <c r="K3" t="s">
        <v>4</v>
      </c>
      <c r="L3">
        <f>COUNTIF(I10:I39,"")</f>
      </c>
      <c r="M3" s="3" t="s">
        <v>3</v>
      </c>
      <c r="N3">
        <f>COUNTIF(J10:J39,"Pass")</f>
      </c>
    </row>
    <row r="4" spans="9:14" x14ac:dyDescent="0.25">
      <c r="I4" s="4" t="s">
        <v>5</v>
      </c>
      <c r="J4">
        <f>COUNTIF(I10:I39,"N/T")</f>
      </c>
      <c r="K4" t="s">
        <v>6</v>
      </c>
      <c r="L4">
        <f>COUNTA(I10:I39)-COUNTIF(I10:I39,"")</f>
      </c>
      <c r="M4" s="4" t="s">
        <v>5</v>
      </c>
      <c r="N4">
        <f>COUNTIF(J10:J39,"N/T")</f>
      </c>
    </row>
    <row r="5" spans="9:14" x14ac:dyDescent="0.25">
      <c r="I5" s="5" t="s">
        <v>7</v>
      </c>
      <c r="J5">
        <f>COUNTIF(I10:I39,"Fail")</f>
      </c>
      <c r="K5" t="s">
        <v>8</v>
      </c>
      <c r="L5">
        <v>30</v>
      </c>
      <c r="M5" s="5" t="s">
        <v>7</v>
      </c>
      <c r="N5">
        <f>COUNTIF(J10:J39,"Fail")</f>
      </c>
    </row>
    <row r="6" spans="9:14" x14ac:dyDescent="0.25">
      <c r="I6" s="6" t="s">
        <v>9</v>
      </c>
      <c r="J6">
        <f>COUNTIF(I10:I39,"Block")</f>
      </c>
      <c r="K6" t="s">
        <v>10</v>
      </c>
      <c r="L6" s="7">
        <f>IF(L5=0,0,L4/L5)</f>
      </c>
      <c r="M6" s="6" t="s">
        <v>9</v>
      </c>
      <c r="N6">
        <f>COUNTIF(J10:J39,"Block")</f>
      </c>
    </row>
    <row r="9" spans="1:14" x14ac:dyDescent="0.25">
      <c r="A9" t="s">
        <v>11</v>
      </c>
      <c r="B9" s="8" t="s">
        <v>12</v>
      </c>
      <c r="C9" s="8" t="s">
        <v>13</v>
      </c>
      <c r="D9" s="8" t="s">
        <v>14</v>
      </c>
      <c r="E9" s="8" t="s">
        <v>15</v>
      </c>
      <c r="F9" s="8" t="s">
        <v>16</v>
      </c>
      <c r="G9" s="8" t="s">
        <v>17</v>
      </c>
      <c r="H9" s="8" t="s">
        <v>18</v>
      </c>
      <c r="I9" s="8" t="s">
        <v>19</v>
      </c>
      <c r="J9" s="8" t="s">
        <v>2</v>
      </c>
      <c r="K9" s="8" t="s">
        <v>20</v>
      </c>
      <c r="L9" t="s">
        <v>11</v>
      </c>
      <c r="M9" t="s">
        <v>11</v>
      </c>
      <c r="N9" s="8" t="s">
        <v>21</v>
      </c>
    </row>
    <row r="10" spans="2:14" x14ac:dyDescent="0.25">
      <c r="B10" s="9">
        <v>1</v>
      </c>
      <c r="C10" s="10" t="s">
        <v>22</v>
      </c>
      <c r="D10" s="11" t="s">
        <v>23</v>
      </c>
      <c r="E10" s="11" t="s">
        <v>24</v>
      </c>
      <c r="F10" s="11" t="s">
        <v>25</v>
      </c>
      <c r="G10" s="12" t="s">
        <v>26</v>
      </c>
      <c r="H10" s="13" t="s">
        <v>27</v>
      </c>
      <c r="I10" s="12"/>
      <c r="J10" s="12"/>
      <c r="K10" s="12"/>
      <c r="L10" s="12"/>
      <c r="M10" s="12"/>
      <c r="N10" s="14" t="s">
        <v>28</v>
      </c>
    </row>
    <row r="11" spans="2:14" x14ac:dyDescent="0.25">
      <c r="B11" s="9">
        <v>2</v>
      </c>
      <c r="C11" s="10" t="s">
        <v>22</v>
      </c>
      <c r="D11" s="11"/>
      <c r="E11" s="11"/>
      <c r="F11" s="11"/>
      <c r="G11" s="12" t="s">
        <v>29</v>
      </c>
      <c r="H11" s="13" t="s">
        <v>30</v>
      </c>
      <c r="I11" s="12"/>
      <c r="J11" s="12"/>
      <c r="K11" s="12"/>
      <c r="L11" s="12"/>
      <c r="M11" s="12"/>
      <c r="N11" s="14" t="s">
        <v>28</v>
      </c>
    </row>
    <row r="12" spans="2:14" x14ac:dyDescent="0.25">
      <c r="B12" s="9">
        <v>3</v>
      </c>
      <c r="C12" s="10" t="s">
        <v>22</v>
      </c>
      <c r="D12" s="11"/>
      <c r="E12" s="11"/>
      <c r="F12" s="11"/>
      <c r="G12" s="12" t="s">
        <v>31</v>
      </c>
      <c r="H12" s="13" t="s">
        <v>32</v>
      </c>
      <c r="I12" s="12"/>
      <c r="J12" s="12"/>
      <c r="K12" s="12"/>
      <c r="L12" s="12"/>
      <c r="M12" s="12"/>
      <c r="N12" s="14" t="s">
        <v>28</v>
      </c>
    </row>
    <row r="13" spans="2:14" x14ac:dyDescent="0.25">
      <c r="B13" s="9">
        <v>4</v>
      </c>
      <c r="C13" s="15" t="s">
        <v>33</v>
      </c>
      <c r="D13" s="11"/>
      <c r="E13" s="11"/>
      <c r="F13" s="11"/>
      <c r="G13" s="12" t="s">
        <v>34</v>
      </c>
      <c r="H13" s="13" t="s">
        <v>35</v>
      </c>
      <c r="I13" s="12"/>
      <c r="J13" s="12"/>
      <c r="K13" s="12"/>
      <c r="L13" s="12"/>
      <c r="M13" s="12"/>
      <c r="N13" s="14" t="s">
        <v>28</v>
      </c>
    </row>
    <row r="14" spans="2:14" x14ac:dyDescent="0.25">
      <c r="B14" s="9">
        <v>5</v>
      </c>
      <c r="C14" s="10" t="s">
        <v>22</v>
      </c>
      <c r="D14" s="11"/>
      <c r="E14" s="11"/>
      <c r="F14" s="11" t="s">
        <v>36</v>
      </c>
      <c r="G14" s="12" t="s">
        <v>37</v>
      </c>
      <c r="H14" s="13" t="s">
        <v>38</v>
      </c>
      <c r="I14" s="12"/>
      <c r="J14" s="12"/>
      <c r="K14" s="12"/>
      <c r="L14" s="12"/>
      <c r="M14" s="12"/>
      <c r="N14" s="14" t="s">
        <v>28</v>
      </c>
    </row>
    <row r="15" spans="2:14" x14ac:dyDescent="0.25">
      <c r="B15" s="9">
        <v>6</v>
      </c>
      <c r="C15" s="15" t="s">
        <v>33</v>
      </c>
      <c r="D15" s="11"/>
      <c r="E15" s="11"/>
      <c r="F15" s="11"/>
      <c r="G15" s="12" t="s">
        <v>39</v>
      </c>
      <c r="H15" s="13" t="s">
        <v>40</v>
      </c>
      <c r="I15" s="12"/>
      <c r="J15" s="12"/>
      <c r="K15" s="12"/>
      <c r="L15" s="12"/>
      <c r="M15" s="12"/>
      <c r="N15" s="14" t="s">
        <v>28</v>
      </c>
    </row>
    <row r="16" spans="2:14" x14ac:dyDescent="0.25">
      <c r="B16" s="9">
        <v>7</v>
      </c>
      <c r="C16" s="10" t="s">
        <v>22</v>
      </c>
      <c r="D16" s="11"/>
      <c r="E16" s="11" t="s">
        <v>41</v>
      </c>
      <c r="F16" s="11" t="s">
        <v>42</v>
      </c>
      <c r="G16" s="12" t="s">
        <v>43</v>
      </c>
      <c r="H16" s="13" t="s">
        <v>44</v>
      </c>
      <c r="I16" s="12"/>
      <c r="J16" s="12"/>
      <c r="K16" s="12"/>
      <c r="L16" s="12"/>
      <c r="M16" s="12"/>
      <c r="N16" s="14" t="s">
        <v>28</v>
      </c>
    </row>
    <row r="17" spans="2:14" x14ac:dyDescent="0.25">
      <c r="B17" s="9">
        <v>8</v>
      </c>
      <c r="C17" s="10" t="s">
        <v>22</v>
      </c>
      <c r="D17" s="11"/>
      <c r="E17" s="11"/>
      <c r="F17" s="11"/>
      <c r="G17" s="12" t="s">
        <v>45</v>
      </c>
      <c r="H17" s="13" t="s">
        <v>46</v>
      </c>
      <c r="I17" s="12"/>
      <c r="J17" s="12"/>
      <c r="K17" s="12"/>
      <c r="L17" s="12"/>
      <c r="M17" s="12"/>
      <c r="N17" s="14" t="s">
        <v>28</v>
      </c>
    </row>
    <row r="18" spans="2:14" x14ac:dyDescent="0.25">
      <c r="B18" s="9">
        <v>9</v>
      </c>
      <c r="C18" s="15" t="s">
        <v>33</v>
      </c>
      <c r="D18" s="11"/>
      <c r="E18" s="11"/>
      <c r="F18" s="11"/>
      <c r="G18" s="12" t="s">
        <v>47</v>
      </c>
      <c r="H18" s="13" t="s">
        <v>48</v>
      </c>
      <c r="I18" s="12"/>
      <c r="J18" s="12"/>
      <c r="K18" s="12"/>
      <c r="L18" s="12"/>
      <c r="M18" s="12"/>
      <c r="N18" s="14" t="s">
        <v>28</v>
      </c>
    </row>
    <row r="19" spans="2:14" x14ac:dyDescent="0.25">
      <c r="B19" s="9">
        <v>10</v>
      </c>
      <c r="C19" s="10" t="s">
        <v>22</v>
      </c>
      <c r="D19" s="11"/>
      <c r="E19" s="11"/>
      <c r="F19" s="11" t="s">
        <v>49</v>
      </c>
      <c r="G19" s="12" t="s">
        <v>50</v>
      </c>
      <c r="H19" s="13" t="s">
        <v>51</v>
      </c>
      <c r="I19" s="12"/>
      <c r="J19" s="12"/>
      <c r="K19" s="12"/>
      <c r="L19" s="12"/>
      <c r="M19" s="12"/>
      <c r="N19" s="14" t="s">
        <v>28</v>
      </c>
    </row>
    <row r="20" spans="2:14" x14ac:dyDescent="0.25">
      <c r="B20" s="9">
        <v>11</v>
      </c>
      <c r="C20" s="10" t="s">
        <v>22</v>
      </c>
      <c r="D20" s="11"/>
      <c r="E20" s="11"/>
      <c r="F20" s="11"/>
      <c r="G20" s="12" t="s">
        <v>52</v>
      </c>
      <c r="H20" s="13" t="s">
        <v>53</v>
      </c>
      <c r="I20" s="12"/>
      <c r="J20" s="12"/>
      <c r="K20" s="12"/>
      <c r="L20" s="12"/>
      <c r="M20" s="12"/>
      <c r="N20" s="14" t="s">
        <v>28</v>
      </c>
    </row>
    <row r="21" spans="2:14" x14ac:dyDescent="0.25">
      <c r="B21" s="9">
        <v>12</v>
      </c>
      <c r="C21" s="15" t="s">
        <v>33</v>
      </c>
      <c r="D21" s="11"/>
      <c r="E21" s="11"/>
      <c r="F21" s="11"/>
      <c r="G21" s="12" t="s">
        <v>54</v>
      </c>
      <c r="H21" s="13" t="s">
        <v>55</v>
      </c>
      <c r="I21" s="12"/>
      <c r="J21" s="12"/>
      <c r="K21" s="12"/>
      <c r="L21" s="12"/>
      <c r="M21" s="12"/>
      <c r="N21" s="14" t="s">
        <v>28</v>
      </c>
    </row>
    <row r="22" spans="2:14" x14ac:dyDescent="0.25">
      <c r="B22" s="9">
        <v>13</v>
      </c>
      <c r="C22" s="15" t="s">
        <v>33</v>
      </c>
      <c r="D22" s="11"/>
      <c r="E22" s="11"/>
      <c r="F22" s="11"/>
      <c r="G22" s="12" t="s">
        <v>56</v>
      </c>
      <c r="H22" s="13" t="s">
        <v>57</v>
      </c>
      <c r="I22" s="12"/>
      <c r="J22" s="12"/>
      <c r="K22" s="12"/>
      <c r="L22" s="12"/>
      <c r="M22" s="12"/>
      <c r="N22" s="14" t="s">
        <v>28</v>
      </c>
    </row>
    <row r="23" spans="2:14" x14ac:dyDescent="0.25">
      <c r="B23" s="9">
        <v>14</v>
      </c>
      <c r="C23" s="15" t="s">
        <v>33</v>
      </c>
      <c r="D23" s="11"/>
      <c r="E23" s="11"/>
      <c r="F23" s="11"/>
      <c r="G23" s="12" t="s">
        <v>58</v>
      </c>
      <c r="H23" s="13" t="s">
        <v>59</v>
      </c>
      <c r="I23" s="12"/>
      <c r="J23" s="12"/>
      <c r="K23" s="12"/>
      <c r="L23" s="12"/>
      <c r="M23" s="12"/>
      <c r="N23" s="14" t="s">
        <v>28</v>
      </c>
    </row>
    <row r="24" spans="2:14" x14ac:dyDescent="0.25">
      <c r="B24" s="9">
        <v>15</v>
      </c>
      <c r="C24" s="15" t="s">
        <v>33</v>
      </c>
      <c r="D24" s="11"/>
      <c r="E24" s="11"/>
      <c r="F24" s="11"/>
      <c r="G24" s="12" t="s">
        <v>60</v>
      </c>
      <c r="H24" s="13" t="s">
        <v>61</v>
      </c>
      <c r="I24" s="12"/>
      <c r="J24" s="12"/>
      <c r="K24" s="12"/>
      <c r="L24" s="12"/>
      <c r="M24" s="12"/>
      <c r="N24" s="14" t="s">
        <v>28</v>
      </c>
    </row>
    <row r="25" spans="2:14" x14ac:dyDescent="0.25">
      <c r="B25" s="9">
        <v>16</v>
      </c>
      <c r="C25" s="10" t="s">
        <v>22</v>
      </c>
      <c r="D25" s="11"/>
      <c r="E25" s="11"/>
      <c r="F25" s="11" t="s">
        <v>62</v>
      </c>
      <c r="G25" s="12" t="s">
        <v>63</v>
      </c>
      <c r="H25" s="13" t="s">
        <v>64</v>
      </c>
      <c r="I25" s="12"/>
      <c r="J25" s="12"/>
      <c r="K25" s="12"/>
      <c r="L25" s="12"/>
      <c r="M25" s="12"/>
      <c r="N25" s="14" t="s">
        <v>28</v>
      </c>
    </row>
    <row r="26" spans="2:14" x14ac:dyDescent="0.25">
      <c r="B26" s="9">
        <v>17</v>
      </c>
      <c r="C26" s="16" t="s">
        <v>65</v>
      </c>
      <c r="D26" s="11"/>
      <c r="E26" s="11"/>
      <c r="F26" s="11"/>
      <c r="G26" s="12" t="s">
        <v>66</v>
      </c>
      <c r="H26" s="13" t="s">
        <v>67</v>
      </c>
      <c r="I26" s="12"/>
      <c r="J26" s="12"/>
      <c r="K26" s="12"/>
      <c r="L26" s="12"/>
      <c r="M26" s="12"/>
      <c r="N26" s="14" t="s">
        <v>28</v>
      </c>
    </row>
    <row r="27" spans="2:14" x14ac:dyDescent="0.25">
      <c r="B27" s="9">
        <v>18</v>
      </c>
      <c r="C27" s="10" t="s">
        <v>22</v>
      </c>
      <c r="D27" s="11"/>
      <c r="E27" s="11"/>
      <c r="F27" s="11"/>
      <c r="G27" s="12" t="s">
        <v>68</v>
      </c>
      <c r="H27" s="13" t="s">
        <v>69</v>
      </c>
      <c r="I27" s="12"/>
      <c r="J27" s="12"/>
      <c r="K27" s="12"/>
      <c r="L27" s="12"/>
      <c r="M27" s="12"/>
      <c r="N27" s="14" t="s">
        <v>28</v>
      </c>
    </row>
    <row r="28" spans="2:14" x14ac:dyDescent="0.25">
      <c r="B28" s="9">
        <v>19</v>
      </c>
      <c r="C28" s="16" t="s">
        <v>65</v>
      </c>
      <c r="D28" s="11"/>
      <c r="E28" s="11"/>
      <c r="F28" s="11"/>
      <c r="G28" s="12" t="s">
        <v>70</v>
      </c>
      <c r="H28" s="13" t="s">
        <v>71</v>
      </c>
      <c r="I28" s="12"/>
      <c r="J28" s="12"/>
      <c r="K28" s="12"/>
      <c r="L28" s="12"/>
      <c r="M28" s="12"/>
      <c r="N28" s="14" t="s">
        <v>28</v>
      </c>
    </row>
    <row r="29" spans="2:14" x14ac:dyDescent="0.25">
      <c r="B29" s="9">
        <v>20</v>
      </c>
      <c r="C29" s="10" t="s">
        <v>22</v>
      </c>
      <c r="D29" s="11"/>
      <c r="E29" s="11"/>
      <c r="F29" s="11"/>
      <c r="G29" s="12" t="s">
        <v>72</v>
      </c>
      <c r="H29" s="13" t="s">
        <v>73</v>
      </c>
      <c r="I29" s="12"/>
      <c r="J29" s="12"/>
      <c r="K29" s="12"/>
      <c r="L29" s="12"/>
      <c r="M29" s="12"/>
      <c r="N29" s="14" t="s">
        <v>28</v>
      </c>
    </row>
    <row r="30" spans="2:14" x14ac:dyDescent="0.25">
      <c r="B30" s="9">
        <v>21</v>
      </c>
      <c r="C30" s="16" t="s">
        <v>65</v>
      </c>
      <c r="D30" s="11"/>
      <c r="E30" s="11"/>
      <c r="F30" s="11"/>
      <c r="G30" s="12" t="s">
        <v>74</v>
      </c>
      <c r="H30" s="13" t="s">
        <v>75</v>
      </c>
      <c r="I30" s="12"/>
      <c r="J30" s="12"/>
      <c r="K30" s="12"/>
      <c r="L30" s="12"/>
      <c r="M30" s="12"/>
      <c r="N30" s="14" t="s">
        <v>28</v>
      </c>
    </row>
    <row r="31" spans="2:14" x14ac:dyDescent="0.25">
      <c r="B31" s="9">
        <v>22</v>
      </c>
      <c r="C31" s="15" t="s">
        <v>33</v>
      </c>
      <c r="D31" s="11"/>
      <c r="E31" s="11"/>
      <c r="F31" s="11"/>
      <c r="G31" s="12" t="s">
        <v>76</v>
      </c>
      <c r="H31" s="13" t="s">
        <v>77</v>
      </c>
      <c r="I31" s="12"/>
      <c r="J31" s="12"/>
      <c r="K31" s="12"/>
      <c r="L31" s="12"/>
      <c r="M31" s="12"/>
      <c r="N31" s="14" t="s">
        <v>28</v>
      </c>
    </row>
    <row r="32" spans="2:14" x14ac:dyDescent="0.25">
      <c r="B32" s="9">
        <v>23</v>
      </c>
      <c r="C32" s="15" t="s">
        <v>33</v>
      </c>
      <c r="D32" s="11"/>
      <c r="E32" s="11"/>
      <c r="F32" s="11"/>
      <c r="G32" s="12" t="s">
        <v>78</v>
      </c>
      <c r="H32" s="13" t="s">
        <v>79</v>
      </c>
      <c r="I32" s="12"/>
      <c r="J32" s="12"/>
      <c r="K32" s="12"/>
      <c r="L32" s="12"/>
      <c r="M32" s="12"/>
      <c r="N32" s="14" t="s">
        <v>28</v>
      </c>
    </row>
    <row r="33" spans="2:14" x14ac:dyDescent="0.25">
      <c r="B33" s="9">
        <v>24</v>
      </c>
      <c r="C33" s="10" t="s">
        <v>22</v>
      </c>
      <c r="D33" s="11"/>
      <c r="E33" s="11"/>
      <c r="F33" s="11"/>
      <c r="G33" s="12" t="s">
        <v>80</v>
      </c>
      <c r="H33" s="13" t="s">
        <v>81</v>
      </c>
      <c r="I33" s="12"/>
      <c r="J33" s="12"/>
      <c r="K33" s="12"/>
      <c r="L33" s="12"/>
      <c r="M33" s="12"/>
      <c r="N33" s="14" t="s">
        <v>28</v>
      </c>
    </row>
    <row r="34" spans="2:14" x14ac:dyDescent="0.25">
      <c r="B34" s="9">
        <v>25</v>
      </c>
      <c r="C34" s="10" t="s">
        <v>22</v>
      </c>
      <c r="D34" s="11"/>
      <c r="E34" s="11"/>
      <c r="F34" s="11" t="s">
        <v>82</v>
      </c>
      <c r="G34" s="12" t="s">
        <v>83</v>
      </c>
      <c r="H34" s="13" t="s">
        <v>84</v>
      </c>
      <c r="I34" s="12"/>
      <c r="J34" s="12"/>
      <c r="K34" s="12"/>
      <c r="L34" s="12"/>
      <c r="M34" s="12"/>
      <c r="N34" s="14" t="s">
        <v>28</v>
      </c>
    </row>
    <row r="35" spans="2:14" x14ac:dyDescent="0.25">
      <c r="B35" s="9">
        <v>26</v>
      </c>
      <c r="C35" s="15" t="s">
        <v>33</v>
      </c>
      <c r="D35" s="11"/>
      <c r="E35" s="11"/>
      <c r="F35" s="11"/>
      <c r="G35" s="12" t="s">
        <v>85</v>
      </c>
      <c r="H35" s="13" t="s">
        <v>86</v>
      </c>
      <c r="I35" s="12"/>
      <c r="J35" s="12"/>
      <c r="K35" s="12"/>
      <c r="L35" s="12"/>
      <c r="M35" s="12"/>
      <c r="N35" s="14" t="s">
        <v>28</v>
      </c>
    </row>
    <row r="36" spans="2:14" x14ac:dyDescent="0.25">
      <c r="B36" s="9">
        <v>27</v>
      </c>
      <c r="C36" s="16" t="s">
        <v>65</v>
      </c>
      <c r="D36" s="11"/>
      <c r="E36" s="11"/>
      <c r="F36" s="11"/>
      <c r="G36" s="12" t="s">
        <v>87</v>
      </c>
      <c r="H36" s="13" t="s">
        <v>88</v>
      </c>
      <c r="I36" s="12"/>
      <c r="J36" s="12"/>
      <c r="K36" s="12"/>
      <c r="L36" s="12"/>
      <c r="M36" s="12"/>
      <c r="N36" s="14" t="s">
        <v>28</v>
      </c>
    </row>
    <row r="37" spans="2:14" x14ac:dyDescent="0.25">
      <c r="B37" s="9">
        <v>28</v>
      </c>
      <c r="C37" s="10" t="s">
        <v>22</v>
      </c>
      <c r="D37" s="11"/>
      <c r="E37" s="11"/>
      <c r="F37" s="11" t="s">
        <v>89</v>
      </c>
      <c r="G37" s="12" t="s">
        <v>90</v>
      </c>
      <c r="H37" s="13" t="s">
        <v>91</v>
      </c>
      <c r="I37" s="12"/>
      <c r="J37" s="12"/>
      <c r="K37" s="12"/>
      <c r="L37" s="12"/>
      <c r="M37" s="12"/>
      <c r="N37" s="14" t="s">
        <v>28</v>
      </c>
    </row>
    <row r="38" spans="2:14" x14ac:dyDescent="0.25">
      <c r="B38" s="9">
        <v>29</v>
      </c>
      <c r="C38" s="10" t="s">
        <v>22</v>
      </c>
      <c r="D38" s="11"/>
      <c r="E38" s="11"/>
      <c r="F38" s="11"/>
      <c r="G38" s="12" t="s">
        <v>92</v>
      </c>
      <c r="H38" s="13" t="s">
        <v>93</v>
      </c>
      <c r="I38" s="12"/>
      <c r="J38" s="12"/>
      <c r="K38" s="12"/>
      <c r="L38" s="12"/>
      <c r="M38" s="12"/>
      <c r="N38" s="14" t="s">
        <v>28</v>
      </c>
    </row>
    <row r="39" spans="2:14" x14ac:dyDescent="0.25">
      <c r="B39" s="9">
        <v>30</v>
      </c>
      <c r="C39" s="15" t="s">
        <v>33</v>
      </c>
      <c r="D39" s="11"/>
      <c r="E39" s="11"/>
      <c r="F39" s="11"/>
      <c r="G39" s="12" t="s">
        <v>94</v>
      </c>
      <c r="H39" s="13" t="s">
        <v>95</v>
      </c>
      <c r="I39" s="12"/>
      <c r="J39" s="12"/>
      <c r="K39" s="12"/>
      <c r="L39" s="12"/>
      <c r="M39" s="12"/>
      <c r="N39" s="14" t="s">
        <v>28</v>
      </c>
    </row>
  </sheetData>
  <mergeCells count="10">
    <mergeCell ref="D10:D39"/>
    <mergeCell ref="E10:E15"/>
    <mergeCell ref="F10:F13"/>
    <mergeCell ref="F14:F15"/>
    <mergeCell ref="E16:E39"/>
    <mergeCell ref="F16:F18"/>
    <mergeCell ref="F19:F24"/>
    <mergeCell ref="F25:F33"/>
    <mergeCell ref="F34:F36"/>
    <mergeCell ref="F37:F39"/>
  </mergeCells>
  <dataValidations count="1">
    <dataValidation type="list" allowBlank="1" showErrorMessage="1" errorTitle="잘못된 값" error="Pass, Fail, N/T, Block 중 하나를 선택하세요." sqref="I10:J39">
      <formula1>"Pass,Fail,N/T,Block"</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테스트2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2026-05-13T04:37:40Z</dcterms:created>
  <dcterms:modified xsi:type="dcterms:W3CDTF">2026-05-13T04:37:40Z</dcterms:modified>
</cp:coreProperties>
</file>