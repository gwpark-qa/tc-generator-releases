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소롱포맛쿠키" state="visible" r:id="rId4"/>
  </sheets>
  <calcPr calcId="171027"/>
</workbook>
</file>

<file path=xl/sharedStrings.xml><?xml version="1.0" encoding="utf-8"?>
<sst xmlns="http://schemas.openxmlformats.org/spreadsheetml/2006/main" count="657" uniqueCount="396">
  <si>
    <t>(C)소롱포맛쿠키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</si>
  <si>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</si>
  <si>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</si>
  <si>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</si>
  <si>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</si>
  <si>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</si>
  <si>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</si>
  <si>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</si>
  <si>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</si>
  <si>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</si>
  <si>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</si>
  <si>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</si>
  <si>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</si>
  <si>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</si>
  <si>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</si>
  <si>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</si>
  <si>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</si>
  <si>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</si>
  <si>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</si>
  <si>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</si>
  <si>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</si>
  <si>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</si>
  <si>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</si>
  <si>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아웃게임 기능</t>
  </si>
  <si>
    <t>언락조건</t>
  </si>
  <si>
    <t>언락조건 확인</t>
  </si>
  <si>
    <t>소롱포맛 쿠키는 별도의 언락 조건 없이 패키지 또는 별사탕 해금으로 획득 가능하다.</t>
  </si>
  <si>
    <t>쿠키 언락조건 섹션</t>
  </si>
  <si>
    <t>미보유</t>
  </si>
  <si>
    <t>쿠키 리스트에서 소롱포맛 쿠키 미보유 시 자물쇠 아이콘이 나타난다.</t>
  </si>
  <si>
    <t>쿠키 리스트 화면</t>
  </si>
  <si>
    <t>획득</t>
  </si>
  <si>
    <t>패키지 또는 별사탕 해금으로 소롱포맛 쿠키를 획득할 수 있다.</t>
  </si>
  <si>
    <t>쿠키 획득 화면</t>
  </si>
  <si>
    <t>Critical</t>
  </si>
  <si>
    <t>업그레이드</t>
  </si>
  <si>
    <t>레벨 업</t>
  </si>
  <si>
    <t>레벨 업 불가</t>
  </si>
  <si>
    <t>레벨업에 필요한 카드 수량보다 적은 경우 레벨 업 버튼이 비활성화되어 레벨 업이 불가능하다.</t>
  </si>
  <si>
    <t>쿠키 업그레이드 화면</t>
  </si>
  <si>
    <t>레벨 업 가능 - 카드</t>
  </si>
  <si>
    <t>레벨업에 필요한 카드 수량을 보유한 경우 레벨업이 가능하다.</t>
  </si>
  <si>
    <t>레벨 업 가능 - 영혼의 물약</t>
  </si>
  <si>
    <t>레벨업에 필요한 영혼의 물약 수량을 보유한 경우 레벨업이 가능하다.</t>
  </si>
  <si>
    <t>레벨 업 가능 - 크리스탈</t>
  </si>
  <si>
    <t>레벨업에 필요한 카드 또는 영혼의 물약 부족 시 보유 크리스탈로 구매하여 레벨업이 가능하다.</t>
  </si>
  <si>
    <t>Normal</t>
  </si>
  <si>
    <t>마법사탕</t>
  </si>
  <si>
    <t>마법사탕 제작가능</t>
  </si>
  <si>
    <t>마법사탕 제작이 가능한 경우, 마법사탕 부분에 녹색 화살표가 나타난다.</t>
  </si>
  <si>
    <t>마법사탕 UI</t>
  </si>
  <si>
    <t>마법사탕 터치 시 마법사탕 화면으로 이동한다.</t>
  </si>
  <si>
    <t>마법사탕 재료</t>
  </si>
  <si>
    <t>마법사탕 제작에 필요한 재료 목록과 보유 수량이 정상적으로 표시된다.</t>
  </si>
  <si>
    <t>마법사탕 제작 화면</t>
  </si>
  <si>
    <t>마법사탕 제작</t>
  </si>
  <si>
    <t>필요한 재료가 있는 경우 마법사탕 제작 버튼이 활성화된다.</t>
  </si>
  <si>
    <t>제작 화면 진입</t>
  </si>
  <si>
    <t>마법사탕 제작 터치 시 마법사탕 제작 화면으로 진입하며, 마법사탕 제작이 진행된다.</t>
  </si>
  <si>
    <t>제작 완료</t>
  </si>
  <si>
    <t>100% 확률로 마법사탕이 제작된다.</t>
  </si>
  <si>
    <t>호감도</t>
  </si>
  <si>
    <t>호감도 능력 확인</t>
  </si>
  <si>
    <t>호감도 능력 설명에 '소롱포 젤리 점수 {%0}점 추가'가 정상적으로 표시된다.</t>
  </si>
  <si>
    <t>쿠키 호감도 능력 텍스트</t>
  </si>
  <si>
    <t>조합보너스 능력 확인</t>
  </si>
  <si>
    <t>조합보너스 능력 설명에 '소롱포 젤리 점수 {%0}점 추가'가 정상적으로 표시된다.</t>
  </si>
  <si>
    <t>쿠키 조합보너스 능력 텍스트</t>
  </si>
  <si>
    <t>아웃게임 리소스</t>
  </si>
  <si>
    <t>아웃게임 이미지</t>
  </si>
  <si>
    <t>메인 로비</t>
  </si>
  <si>
    <t>메인 로비에서 소롱포맛 쿠키의 이미지가 정상적으로 출력된다.</t>
  </si>
  <si>
    <t>메인 로비 화면</t>
  </si>
  <si>
    <t>호감도 반응</t>
  </si>
  <si>
    <t>호감도 대화/선물하기 반응에 따른 이미지 변화가 정상적으로 출력된다.</t>
  </si>
  <si>
    <t>호감도 화면</t>
  </si>
  <si>
    <t>텍스트</t>
  </si>
  <si>
    <t>쿠키 능력 설명</t>
  </si>
  <si>
    <t>쿠키 능력 설명 텍스트가 '일정 시간마다 내공을 발산하는 상태가 된다. 이 상태에서 점프하면 소롱포를 꺼내고, 버튼을 누르면 내공을 실어 발사할 수 있다. 발사된 소롱포는 주변의 장애물을 파괴하고 소롱포 젤리를 생성한다. 마지막 공격으로 대왕 소롱포를 꺼내 더욱 강력한 내공을 실어 공격한다. 레벨업할수록 소롱포 젤리 점수가 증가한다.'로 정상 출력된다.</t>
  </si>
  <si>
    <t>쿠키 능력 설명 번역 텍스트</t>
  </si>
  <si>
    <t>쿠키 짧은 능력 설명</t>
  </si>
  <si>
    <t>쿠키 짧은 능력 설명 텍스트가 '소롱포에 내공을 실어 발사한다.'로 정상 출력된다.</t>
  </si>
  <si>
    <t>쿠키 짧은 능력 설명 번역 텍스트</t>
  </si>
  <si>
    <t>쿠키 능력 단수 표시</t>
  </si>
  <si>
    <t>쿠키 능력 {%0}단 텍스트에서 '{%0}초마다 능력발동, 소롱포 젤리 점수 +{%1}점'이 레벨에 맞게 정상 출력된다.</t>
  </si>
  <si>
    <t>쿠키 능력 단수 번역 텍스트</t>
  </si>
  <si>
    <t>쿠키 마법사탕 능력 설명</t>
  </si>
  <si>
    <t>마법사탕 능력 설명 텍스트가 '일정 시간마다 능력 카운트를 획득하며, 추가 공격을 할 수 있다. 마법의 힘이 강해질수록 소롱포 젤리 점수가 증가한다.'로 정상 출력된다.</t>
  </si>
  <si>
    <t>쿠키 마법사탕 능력 설명 번역 텍스트</t>
  </si>
  <si>
    <t>펫 능력 설명</t>
  </si>
  <si>
    <t>펫 능력 설명 텍스트가 '일정 시간마다 찜기에서 만두를 꺼낸다. 레벨업할수록 만두 젤리 점수가 증가한다.'로 정상 출력된다.</t>
  </si>
  <si>
    <t>펫 능력 설명 번역 텍스트</t>
  </si>
  <si>
    <t>펫 짧은 능력 설명</t>
  </si>
  <si>
    <t>펫 짧은 능력 설명 텍스트가 '다양한 만두 젤리를 생성한다.'로 정상 출력된다.</t>
  </si>
  <si>
    <t>펫 짧은 능력 설명 번역 텍스트</t>
  </si>
  <si>
    <t>펫 능력 단수 표시</t>
  </si>
  <si>
    <t>펫 능력 {%0}단 텍스트에서 '{%0}초마다 능력 발동, 만두 젤리 점수 +{%1}점, 왕만두 젤리 점수 +{%2}점'이 레벨에 맞게 정상 출력된다.</t>
  </si>
  <si>
    <t>펫 능력 단수 번역 텍스트</t>
  </si>
  <si>
    <t>마법사탕 능력 단수 표시</t>
  </si>
  <si>
    <t>마법사탕 능력 {%0}단 텍스트에서 '{%0}초마다 능력 카운트 추가 획득, 소롱포 젤리 점수 +{%1}점'이 레벨에 맞게 정상 출력된다.</t>
  </si>
  <si>
    <t>쿠키 마법사탕 능력 단수 번역 텍스트</t>
  </si>
  <si>
    <t>인게임 쿠키 능력</t>
  </si>
  <si>
    <t>능력 환경 설정</t>
  </si>
  <si>
    <t>전용 능력 버튼</t>
  </si>
  <si>
    <t>능력 발동 중 점프 시 슬라이드 버튼이 공격 버튼으로 변경된다.</t>
  </si>
  <si>
    <t>능력 환경 설정 - 전용 능력 버튼</t>
  </si>
  <si>
    <t>게이지바</t>
  </si>
  <si>
    <t>큰 게이지바가 사용되며 쿨타임과 지속시간을 혼용하여 표시한다.</t>
  </si>
  <si>
    <t>능력 환경 설정 - 게이지바</t>
  </si>
  <si>
    <t>헤드 카운트</t>
  </si>
  <si>
    <t>점수 획득이 가능한 본 능력 카운트가 헤드 카운트에 모두 표기된다.</t>
  </si>
  <si>
    <t>능력 환경 설정 - 헤드 카운트</t>
  </si>
  <si>
    <t>능력 발동</t>
  </si>
  <si>
    <t>쿨타임</t>
  </si>
  <si>
    <t>능력 쿨타임이 27.5초로 정상 적용되며, 쿨타임 완료 후 능력이 발동된다.</t>
  </si>
  <si>
    <t>QA TEST 수치 - 쿨타임 27.5초</t>
  </si>
  <si>
    <t>내공 활성화 전환</t>
  </si>
  <si>
    <t>능력 발동 시 쿠키가 내공이 활성화된 상태로 전환되며, 기운을 두른 이펙트가 표시되어 능력 중임을 알 수 있다.</t>
  </si>
  <si>
    <t>능력 설명 - 능력 발동</t>
  </si>
  <si>
    <t>능력 카운트 부여</t>
  </si>
  <si>
    <t>능력 발동 시 능력 카운트가 8회 제공된다.</t>
  </si>
  <si>
    <t>QA TEST 수치 - 본 능력 카운트 8개</t>
  </si>
  <si>
    <t>만두 준비</t>
  </si>
  <si>
    <t>점프 시 만두 들어올리기</t>
  </si>
  <si>
    <t>능력 발동 상태에서 점프 버튼 입력 시 쿠키가 만두를 들어올리는 동작을 하며 공격 준비 상태가 된다.</t>
  </si>
  <si>
    <t>능력 설명 - 만두 준비</t>
  </si>
  <si>
    <t>미입력 시 만두 회수</t>
  </si>
  <si>
    <t>만두를 들어올린 상태에서 공격 버튼 입력이 없으면 착지하며 만두가 회수된다.</t>
  </si>
  <si>
    <t>능력 설명 - 만두 준비 (라임맛 쿠키 비치볼 문법 동일)</t>
  </si>
  <si>
    <t>만두 들기 달리기 속도</t>
  </si>
  <si>
    <t>만두를 들고 있는 동작의 달리기 속도가 기본 달리기 속도와 일치하여 어색하지 않다.</t>
  </si>
  <si>
    <t>5/12 수정사항 - 달리기 속도 불일치 해소</t>
  </si>
  <si>
    <t>만두 공격</t>
  </si>
  <si>
    <t>공격 버튼 입력</t>
  </si>
  <si>
    <t>만두를 들고 있는 상태에서 공격 버튼 입력 시 만두에 내공을 실어 투척한다.</t>
  </si>
  <si>
    <t>능력 설명 - 만두 공격</t>
  </si>
  <si>
    <t>손/발 공격 액션</t>
  </si>
  <si>
    <t>액션 교차</t>
  </si>
  <si>
    <t>쿠키의 손, 발 공격 액션이 교차하며 수행된다.</t>
  </si>
  <si>
    <t>능력 설명 - 만두 공격 액션</t>
  </si>
  <si>
    <t>3회 이상 반복 방지</t>
  </si>
  <si>
    <t>같은 공격 동작이 3회 이상 연속으로 반복되지 않도록 제어된다.</t>
  </si>
  <si>
    <t>능력 설명 - 액션 반복 제어</t>
  </si>
  <si>
    <t>공중 체공 유지</t>
  </si>
  <si>
    <t>공격 액션 동안 쿠키가 공중 체공 상태를 유지하거나 슬로우 기법이 적용된다.</t>
  </si>
  <si>
    <t>능력 설명 - 공중 체공</t>
  </si>
  <si>
    <t>공중 공격 횟수 제한</t>
  </si>
  <si>
    <t>공중에서 공격할 수 있는 횟수가 2회로 제한된다.</t>
  </si>
  <si>
    <t>5/4 개발사항 - 공중 공격 2회 제한</t>
  </si>
  <si>
    <t>만두 투척</t>
  </si>
  <si>
    <t>전방 직진 비행</t>
  </si>
  <si>
    <t>투척된 만두가 전방으로 일정 거��만큼 직진으로 날아간다.</t>
  </si>
  <si>
    <t>능력 설명 - 만두 투척</t>
  </si>
  <si>
    <t>폭발</t>
  </si>
  <si>
    <t>만두가 일정 거리까지 날아간 후 폭발 연출이 정상적으로 발생한다.</t>
  </si>
  <si>
    <t>능력 설명 - 만두 투척 폭발</t>
  </si>
  <si>
    <t>장애물 파괴</t>
  </si>
  <si>
    <t>만두 폭발 시 주변의 장애물이 정상적으로 파괴된다.</t>
  </si>
  <si>
    <t>능력 설명 - 장애물 파괴</t>
  </si>
  <si>
    <t>젤리 생성</t>
  </si>
  <si>
    <t>생성 개수</t>
  </si>
  <si>
    <t>소만두 폭발 시 소롱포 젤리가 15개 생성된다.</t>
  </si>
  <si>
    <t>QA TEST 수치 - 만두당 젤리 15개</t>
  </si>
  <si>
    <t>젤리 점수</t>
  </si>
  <si>
    <t>소롱포 젤리 점수가 레벨 1에서 1,001점이며, 레벨당 1점씩 증가하여 레벨 15에서 1,015점이 된다.</t>
  </si>
  <si>
    <t>QA TEST 수치 - 만두 젤리 점수 1,001~1,015</t>
  </si>
  <si>
    <t>만두 스케일업 연출</t>
  </si>
  <si>
    <t>소만두와 왕만두가 쿠키 손에서 꺼낼 때는 작지만 날아가면서 점차 커지는 스케일업 효과가 적용된다.</t>
  </si>
  <si>
    <t>5/6 개발사항 - 스케일업 연출</t>
  </si>
  <si>
    <t>반복</t>
  </si>
  <si>
    <t>카운트 내 반복</t>
  </si>
  <si>
    <t>만두 준비→만두 공격→만두 투척 흐름이 주어진 능력 카운트(8회) 내에서 반복 가능하다.</t>
  </si>
  <si>
    <t>능력 설명 - 반복</t>
  </si>
  <si>
    <t>카운트 소모 후 추가 공격 불가</t>
  </si>
  <si>
    <t>능력 카운트를 모두 소모한 후에는 추가 공격이 불가능하다. (5/13 스펙 변경 반영)</t>
  </si>
  <si>
    <t>5/13 스펙 변경 - 카운트 소모 후 추가 공격 불가</t>
  </si>
  <si>
    <t>카운트 소모 후 입력 차단</t>
  </si>
  <si>
    <t>능력 카운트를 모두 소모한 후 점프→공격 버튼 입력 시 만두가 생성되거나 투척되지 않는다.</t>
  </si>
  <si>
    <t>5/13 스펙 변경 - 입력 차단 검증</t>
  </si>
  <si>
    <t>피니시 왕만두 공격</t>
  </si>
  <si>
    <t>마지막 카운트 왕만두 전환</t>
  </si>
  <si>
    <t>마지막 카운트(8번째)에서 점프 시 쿠키가 소만두 대신 왕만두를 들어올린다.</t>
  </si>
  <si>
    <t>능력 설명 - 피니시 왕만두</t>
  </si>
  <si>
    <t>왕만두 점프 및 공격</t>
  </si>
  <si>
    <t>왕만두를 들어올린 상태에서 공격 버튼 입력 시 왕만두 공격이 발동된다.</t>
  </si>
  <si>
    <t>능력 설명 - 왕만두 공격</t>
  </si>
  <si>
    <t>넓은 범위 장애물 파괴</t>
  </si>
  <si>
    <t>왕만두 폭발 시 소만두보다 더 넓은 범위의 장애물이 파괴된다.</t>
  </si>
  <si>
    <t>능력 설명 - 왕만두 범위</t>
  </si>
  <si>
    <t>왕만두 젤리 생성</t>
  </si>
  <si>
    <t>왕만두 폭발 시 소롱포 젤리가 30개 생성된다.</t>
  </si>
  <si>
    <t>QA TEST 수치 - 왕만두 젤리 30개</t>
  </si>
  <si>
    <t>왕만두 폭발로 생성된 소롱포 젤리의 점수가 소만두 젤리와 동일하게 1,001~1,015점(레벨당 1점 증가)으로 적용된다.</t>
  </si>
  <si>
    <t>QA TEST 수치 - 만두 젤리 점수</t>
  </si>
  <si>
    <t>화면 흔들림</t>
  </si>
  <si>
    <t>왕만두 폭발 시 화면이 소폭 흔들리는 연출이 발생한다.</t>
  </si>
  <si>
    <t>능력 설명 - 왕만두 화면 흔들림</t>
  </si>
  <si>
    <t>왕만두 미발사 시 능력 종료</t>
  </si>
  <si>
    <t>왕만두를 발사하지 않은 상태로 능력이 종료되어도 다음 마법사탕 능력에서 왕만두가 나가지 않는다.</t>
  </si>
  <si>
    <t>5/7 수정사항 - 왕만두 미발사 후 마탕 능력 영향 해소</t>
  </si>
  <si>
    <t>능력 종료</t>
  </si>
  <si>
    <t>일반 달리기 복귀</t>
  </si>
  <si>
    <t>능력 종료 시 내공의 기운이 걷어지고 쿠키가 일반 달리기 상태로 복귀한다.</t>
  </si>
  <si>
    <t>능력 설명 - 능력 종료</t>
  </si>
  <si>
    <t>조작</t>
  </si>
  <si>
    <t>추가 점프</t>
  </si>
  <si>
    <t>점프 후 공격 후 추가 점프 연계</t>
  </si>
  <si>
    <t>1단 점프→버튼 공격→추가 점프→버튼 공격 연계가 정상적으로 동작한다.</t>
  </si>
  <si>
    <t>4/29 개발사항 - 점프 횟수 초기화</t>
  </si>
  <si>
    <t>추가 점프 1회 제한</t>
  </si>
  <si>
    <t>능력 중 추가로 사용 가능한 점프 횟수가 1회로 제한된다.</t>
  </si>
  <si>
    <t>5/4 개발사항 - 추가 점프 1회</t>
  </si>
  <si>
    <t>버튼 활성화 시간 갱신</t>
  </si>
  <si>
    <t>공격 버튼 활성화 상태에서 추가 점프 시 버튼 활성화 시간이 갱신된다.</t>
  </si>
  <si>
    <t>5/7 개발사항 - 버튼 활성화 시간 갱신</t>
  </si>
  <si>
    <t>비활성 상태 추가 점프</t>
  </si>
  <si>
    <t>공격 버튼 비활성화 상태에서 추가 점프 시에도 정상적으로 만��� 준비 상태가 된다.</t>
  </si>
  <si>
    <t>5/7 개발사항 - 비활성 상태 추가 점프 검증</t>
  </si>
  <si>
    <t>입력 딜레이</t>
  </si>
  <si>
    <t>공격 후 매우 짧은 텀으로 점프→공격을 빠르게 반복 입력 시 투사체가 누락되지 않는다.</t>
  </si>
  <si>
    <t>5/4 개발사항 - 투사체 씹힘 문제 해소</t>
  </si>
  <si>
    <t>착지 시 공격 처리</t>
  </si>
  <si>
    <t>착지 시점에 공격 입력 시 공격 모습과 함께 투사체가 정상적으로 발사된다.</t>
  </si>
  <si>
    <t>4/29 개발사항 - 착지 공격 투사체 미발사 해소</t>
  </si>
  <si>
    <t>능력 발동 직후 만두 들기</t>
  </si>
  <si>
    <t>능력 발동 애니메이션 종료 후 즉시 만두를 들고 있는 상태가 되며, 프레임이 끊기지 않고 자연스럽게 전환된다.</t>
  </si>
  <si>
    <t>5/12 수정사항 - 능력 발동 애니→만두 들기 연결</t>
  </si>
  <si>
    <t>인게임 쿠키 능력 연출</t>
  </si>
  <si>
    <t>내공 이펙트</t>
  </si>
  <si>
    <t>버프 이펙트</t>
  </si>
  <si>
    <t>능력 발동 시 쿠키에게 내공 버프 이펙트가 정상 표시되며, 하단부가 짤려보이지 않는다.</t>
  </si>
  <si>
    <t>5/8 수정사항 - 버프 이펙트 하단부 짤림 해소</t>
  </si>
  <si>
    <t>만두 글로우 이펙트</t>
  </si>
  <si>
    <t>날아가는 만두에 내공이 실린 것처럼 글로우 이펙트가 적용된다.</t>
  </si>
  <si>
    <t>5/8 수정사항 - 글로우 이펙트 추가</t>
  </si>
  <si>
    <t>능력 발동 애니메이션</t>
  </si>
  <si>
    <t>만두 들기 연결</t>
  </si>
  <si>
    <t>능력 발동 애니메이션에서 만두 들기까지 자연스럽게 연결되며, 갑작스러운 프레임 전환이 발생하지 않는다.</t>
  </si>
  <si>
    <t>5/12 수정사항 - 능력 발동 애니→만두 들기</t>
  </si>
  <si>
    <t>왕만두 공격 연출</t>
  </si>
  <si>
    <t>공중 체류 시간</t>
  </si>
  <si>
    <t>왕만두 공격 시 소만두 공격보다 공중 체류 시간이 더 길어 비중 있는 공격으로 보인다.</t>
  </si>
  <si>
    <t>5/8 확인사항 - 왕만두 공격 비중</t>
  </si>
  <si>
    <t>임팩트 연출</t>
  </si>
  <si>
    <t>왕만두 공격 애니메이션이 소만두보다 임팩트 있게 연출된다.</t>
  </si>
  <si>
    <t>5/8 확인사항 - 왕만두 임팩트</t>
  </si>
  <si>
    <t>효과음</t>
  </si>
  <si>
    <t>소만두 투척 시 효과음이 정상적으로 재생된다.</t>
  </si>
  <si>
    <t>능력 연출 - 효과음</t>
  </si>
  <si>
    <t>소만두 폭발 시 효과음이 정상적으로 재생된다.</t>
  </si>
  <si>
    <t>왕만두 폭발</t>
  </si>
  <si>
    <t>왕만두 폭발 시 소만두 폭발보다 강렬한 효과음이 정상적으로 재생된다.</t>
  </si>
  <si>
    <t>능력 발동 시 내공 활성화 관련 효과음이 정상적으로 재생된다.</t>
  </si>
  <si>
    <t>능력 종료 시 내공이 걷어지는 효과음이 정상적으로 재생된다.</t>
  </si>
  <si>
    <t>인게임 마법사탕 능력</t>
  </si>
  <si>
    <t>마법사탕 능력 사용 시 점프하면 슬라이드 버튼이 공격 버튼으로 변경된다.</t>
  </si>
  <si>
    <t>마법사탕 능력 환경 설정</t>
  </si>
  <si>
    <t>작은 게이지바가 사용되며 쿨타임을 표시한다.</t>
  </si>
  <si>
    <t>마법사탕 능력 환경 설정 - 게이지바</t>
  </si>
  <si>
    <t>쿨타임이 찰 때마다 마법사탕 능력 카운트가 1개씩 헤드 카운트에 표시된다.</t>
  </si>
  <si>
    <t>마법사탕 능력 환경 설정 - 헤드 카운트</t>
  </si>
  <si>
    <t>카운트 충전</t>
  </si>
  <si>
    <t>쿨타임 6초</t>
  </si>
  <si>
    <t>작은 게이지바가 6초마다 가득 차며, 가득 찰 때마다 마법사탕 능력 카운트 1개가 충전된다.</t>
  </si>
  <si>
    <t>QA TEST 수치 - 마탕 쿨타임 6초</t>
  </si>
  <si>
    <t>최대 카운트 4회 제한</t>
  </si>
  <si>
    <t>마법사탕 능력 카운트가 최대 4개까지만 충전되며, 4개 이상 누적되지 않는다.</t>
  </si>
  <si>
    <t>QA TEST 수치 - 마탕 최대 4회</t>
  </si>
  <si>
    <t>최대 카운트 도달 시 충전 중지</t>
  </si>
  <si>
    <t>마법사탕 능력 카운트가 최대치(4개)에 도달하면 추가 충전이 발생하지 않는다.</t>
  </si>
  <si>
    <t>마법사탕 능력 설명 - 최대 제한</t>
  </si>
  <si>
    <t>본 능력 진입 시 카운트 소멸</t>
  </si>
  <si>
    <t>마법사탕 카운트를 보유한 채 본 능력에 진입하면, 본 능력이 종료된 후 마법사탕 카운트가 모두 소멸된다.</t>
  </si>
  <si>
    <t>마법사탕 능력 설명 - 카운트 소멸</t>
  </si>
  <si>
    <t>본 능력 진입 시 카운트 소멸 타이밍</t>
  </si>
  <si>
    <t>본 능력 진입 시 카운트가 즉시 소멸되지 않고, 본 능력이 완전히 종료된 후 소멸된다.</t>
  </si>
  <si>
    <t>마법사탕 능력 설명 - 소멸 타이밍 검증</t>
  </si>
  <si>
    <t>공격 흐름</t>
  </si>
  <si>
    <t>마법사탕 능력 카운트가 있는 상태에서 점프 시 만두를 들어올리는 동작이 본 능력과 동일하게 수행된다.</t>
  </si>
  <si>
    <t>마법사탕 능력 설명 - 공격 흐름</t>
  </si>
  <si>
    <t>마법사탕 능력으로 만두를 들고 공격 버튼 입력 시 만두를 투척하며, 본 능력과 동일한 공격 액션이 수행된다.</t>
  </si>
  <si>
    <t>만두 투척 및 젤리 생성</t>
  </si>
  <si>
    <t>마법사탕 능력으로 투척한 만두가 폭발하며 장애물을 파괴하고 소롱포 젤리를 생성한다.</t>
  </si>
  <si>
    <t>마법사탕 능력 설명 - 젤리 생성</t>
  </si>
  <si>
    <t>자력 부여</t>
  </si>
  <si>
    <t>마법사탕 능력 사용 시 일정 시간 자력이 부여되어 주변 젤리가 쿠키 쪽으로 끌려온다.</t>
  </si>
  <si>
    <t>5/12 개발사항 - 자력 부여 (자두맛 쿠키 참고)</t>
  </si>
  <si>
    <t>카운트 소모</t>
  </si>
  <si>
    <t>마법사탕 능력으로 만두를 투척할 때마다 마법사탕 카운트가 1개씩 소모된다.</t>
  </si>
  <si>
    <t>마법사탕 능력 설명 - 카운트 소모</t>
  </si>
  <si>
    <t>카운트 소모 후 종료</t>
  </si>
  <si>
    <t>마법사탕 카운트를 모두 소모하면 마법사탕 공격이 종료되고 일반 상태로 복귀한다.</t>
  </si>
  <si>
    <t>마법사탕 능력 설명 - 카운트 소모 후 종료</t>
  </si>
  <si>
    <t>왕만두 미출현</t>
  </si>
  <si>
    <t>마법사탕 능력으로는 왕만두가 등장하지 않으며, 모든 공격이 소만두로만 수행된다.</t>
  </si>
  <si>
    <t>마법사탕 능력 설명 - 왕만두 없음</t>
  </si>
  <si>
    <t>기본 점수</t>
  </si>
  <si>
    <t>마법사탕 능력으로 생성된 소롱포 젤리의 점수가 레벨 1에서 100점이다.</t>
  </si>
  <si>
    <t>QA TEST 수치 - 마탕 젤리 점수 100점</t>
  </si>
  <si>
    <t>레벨별 점수 증가</t>
  </si>
  <si>
    <t>마법사탕 능력 소롱포 젤리 점수가 레벨당 100점씩 증가하여 레벨 5에서 500점이 된다.</t>
  </si>
  <si>
    <t>QA TEST 수치 - 마탕 젤리 점수 100~500</t>
  </si>
  <si>
    <t>레벨별 점수 전수 확인</t>
  </si>
  <si>
    <t>마법사탕 능력 레벨별 젤리 점수가 Lv1: 100, Lv2: 200, Lv3: 300, Lv4: 400, Lv5: 500으로 정확히 적용된다.</t>
  </si>
  <si>
    <t>QA TEST 수치 - 레벨별 전수 확인</t>
  </si>
  <si>
    <t>마법사탕 능력으로 만두를 들어올린 후 공격 버튼 미입력 시 착지하며 만두가 회수되고, 카운트가 소모되지 않는다.</t>
  </si>
  <si>
    <t>마법사탕 능력 설명 - 미입력 회수</t>
  </si>
  <si>
    <t>비능력 중 사용</t>
  </si>
  <si>
    <t>본 능력이 발동되지 않은 비능력 상태에서 마법사탕 카운트를 사용하여 공격할 수 있다.</t>
  </si>
  <si>
    <t>마법사탕 능력 설명 - 비능력 중 사용</t>
  </si>
  <si>
    <t>펫 미보유</t>
  </si>
  <si>
    <t>펫 리스트에서 소롱포맛 쿠키의 펫 미보유 시 자물쇠 아이콘이 나타난다.</t>
  </si>
  <si>
    <t>펫 리스트 화면</t>
  </si>
  <si>
    <t>펫 획득</t>
  </si>
  <si>
    <t>패키지 또는 별사탕 해금으로 소롱포맛 쿠키의 펫을 획득할 수 있다.</t>
  </si>
  <si>
    <t>펫 획득 화면</t>
  </si>
  <si>
    <t>펫 레벨 업</t>
  </si>
  <si>
    <t>레벨 업 가능</t>
  </si>
  <si>
    <t>펫 레벨업에 필요한 재료를 보유한 경우 펫 레벨업이 가능하다.</t>
  </si>
  <si>
    <t>펫 업그레이드 화면</t>
  </si>
  <si>
    <t>인게임 펫 능력</t>
  </si>
  <si>
    <t>펫 능력 쿨타임이 15초로 정상 적용되며, 쿨타임 완료 후 능력이 발동된다.</t>
  </si>
  <si>
    <t>QA TEST 수치 - 펫 쿨타임 15초</t>
  </si>
  <si>
    <t>능력 위치 이동</t>
  </si>
  <si>
    <t>능력 발동 시 펫이 능력 위치로 이동한다.</t>
  </si>
  <si>
    <t>펫 능력 설명 - 능력 발동</t>
  </si>
  <si>
    <t>찜기 김 연출</t>
  </si>
  <si>
    <t>능력 발동 시 찜기의 김이 점점 강하게 올라오는 연출이 표시된다.</t>
  </si>
  <si>
    <t>펫 능력 설명 - 사전 준비 연출</t>
  </si>
  <si>
    <t>2층 찜기 개방</t>
  </si>
  <si>
    <t>작은 만두 생성</t>
  </si>
  <si>
    <t>생성 개수 4개</t>
  </si>
  <si>
    <t>2층 찜기에서 작은 만두가 총 4개 생성된다.</t>
  </si>
  <si>
    <t>QA TEST 수치 - 작은 만두 4개</t>
  </si>
  <si>
    <t>만두 종류 다양성</t>
  </si>
  <si>
    <t>생성되는 만두가 고기만두, 김치만두 등 다양한 종류로 나타난다.</t>
  </si>
  <si>
    <t>펫 능력 설명 - 만두 종류 다양성</t>
  </si>
  <si>
    <t>순차 생성</t>
  </si>
  <si>
    <t>2층 찜기의 뚜껑이 빠르게 반복적으로 열리며 만두 4개가 순차적으로 생성된다.</t>
  </si>
  <si>
    <t>펫 능력 설명 - 2층 찜기 순차 생성</t>
  </si>
  <si>
    <t>뚜껑 화들짝 연출</t>
  </si>
  <si>
    <t>2층 찜기의 뚜껑이 열릴 때 뜨거움으로 인한 화들짝 느낌의 연출이 표현된다.</t>
  </si>
  <si>
    <t>펫 능력 설명 - 뚜껑 연출</t>
  </si>
  <si>
    <t>1층 찜기 개방</t>
  </si>
  <si>
    <t>왕만두 생성 1개</t>
  </si>
  <si>
    <t>1층 찜기의 뚜껑이 열리면서 커다란 왕만두가 1개 생성된다.</t>
  </si>
  <si>
    <t>QA TEST 수치 - 왕만두 1개</t>
  </si>
  <si>
    <t>강렬한 연출</t>
  </si>
  <si>
    <t>1층 찜기(왕만두) 개방 시 2층 찜기 뚜껑 열림보다 더 강렬한 화들짝 연출이 표현된다.</t>
  </si>
  <si>
    <t>펫 능력 설명 - 1층 찜기 강렬한 연출</t>
  </si>
  <si>
    <t>열기 사라짐</t>
  </si>
  <si>
    <t>능력 종료 시 찜기의 강렬한 열기가 본래 상태로 돌아오는 과정이 연출된다.</t>
  </si>
  <si>
    <t>펫 능력 설명 - 능력 종료</t>
  </si>
  <si>
    <t>기본 자리 복귀</t>
  </si>
  <si>
    <t>능력 종료 후 펫이 기본 자리로 정상 복귀한다.</t>
  </si>
  <si>
    <t>펫 능력 설명 - 기본 자리 복귀</t>
  </si>
  <si>
    <t>왕만두 후 딜레이</t>
  </si>
  <si>
    <t>왕만두를 생성한 후 약간의 딜레이를 가진 후 능력이 종료된다.</t>
  </si>
  <si>
    <t>4/27 개발사항 - 왕만두 후 딜레이</t>
  </si>
  <si>
    <t>작은 만두 점수</t>
  </si>
  <si>
    <t>펫이 생성한 작은 만두 젤리 점수가 레벨 1에서 1,001점이며, 레벨당 1점씩 증가하여 레벨 15에서 1,015점이 된다.</t>
  </si>
  <si>
    <t>QA TEST 수치 - 작은 만두 1,001~1,015</t>
  </si>
  <si>
    <t>왕만두 점수</t>
  </si>
  <si>
    <t>펫이 생성한 왕만두 젤리 점수가 레벨 1에서 2,001점이며, 레벨당 1점씩 증가하여 레벨 15에서 2,015점이 된다.</t>
  </si>
  <si>
    <t>QA TEST 수치 - 왕만두 2,001~2,015</t>
  </si>
  <si>
    <t>만두 생성 후 마무리 전환</t>
  </si>
  <si>
    <t>2층 찜기에서 만두 4개를 모두 생성한 후 1층 찜기 마무리 단계로 자연스럽게 전환된다.</t>
  </si>
  <si>
    <t>펫 능력 설명 - 마무리 단계 전환</t>
  </si>
  <si>
    <t>펫 사전 준비 모션</t>
  </si>
  <si>
    <t>작은 만두를 뱉기 전 펫이 사전 준비 모션(extra1)을 수행한다.</t>
  </si>
  <si>
    <t>4/27 개발사항 - extra1 모션</t>
  </si>
  <si>
    <t>왕만두 뱉기 전 격앙 모션</t>
  </si>
  <si>
    <t>왕만두를 뱉기 전 펫이 작은 만두 사전 모션보다 더 격앙된 모션을 수행한다.</t>
  </si>
  <si>
    <t>4/27 개발사항 - 왕만두 격앙 모션</t>
  </si>
  <si>
    <t>인게임 펫 능력 연출</t>
  </si>
  <si>
    <t>연기 이펙트</t>
  </si>
  <si>
    <t>투명도 설정</t>
  </si>
  <si>
    <t>만두가 날아갈 때 연기 이펙트의 투명도 설정값이 정상 적용된다.</t>
  </si>
  <si>
    <t>4/29 개발사항 - 연기 이펙트 투명도</t>
  </si>
  <si>
    <t>카메라 영향 처리</t>
  </si>
  <si>
    <t>젤리가 멈춘 후 연기 이펙트가 화면 오른쪽에 잔류하지 않고 함께 멈추거나 사라진다.</t>
  </si>
  <si>
    <t>4/29 개발사항 - affectCamera 처리</t>
  </si>
  <si>
    <t>뜨거움 표현</t>
  </si>
  <si>
    <t>만두가 날아갈 때 연기 이펙트가 잔상처럼 표시되어 뜨거움이 표현된다.</t>
  </si>
  <si>
    <t>4/27 개발사항 - 연기 이펙트 뜨거움 표현</t>
  </si>
  <si>
    <t>두둥실 모션</t>
  </si>
  <si>
    <t>펫이 미약하게 위아래 두둥실 거리는 모션이 적용된다.</t>
  </si>
  <si>
    <t>4/29 개발사항 - 두둥실 모션</t>
  </si>
  <si>
    <t>찜기 뚜껑 열림</t>
  </si>
  <si>
    <t>2층 찜기 뚜껑이 열릴 때 효과음이 정상적으로 재생된다.</t>
  </si>
  <si>
    <t>펫 능력 연출 - 효과음</t>
  </si>
  <si>
    <t>왕만두 뚜껑 열림</t>
  </si>
  <si>
    <t>1층 찜기 뚜껑이 열릴 때 2층보다 더 강렬한 효과음이 정상적으로 재생된다.</t>
  </si>
  <si>
    <t>왕만두 뱉기 애니메이션</t>
  </si>
  <si>
    <t>왕만두 뱉기 위한 애니메이션 단계별 전환이 자연스러우며, 각 단계 간 괴리가 크지 않다.</t>
  </si>
  <si>
    <t>5/7 확인사항 - 왕만두 뱉기 애니메이션 개선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</si>
</sst>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COUNTIF(I10:I129,"Pass")</f>
      </c>
      <c r="K3" t="s">
        <v>4</v>
      </c>
      <c r="L3">
        <f>COUNTIF(I10:I129,"")</f>
      </c>
      <c r="M3" s="3" t="s">
        <v>3</v>
      </c>
      <c r="N3">
        <f>COUNTIF(J10:J129,"Pass")</f>
      </c>
    </row>
    <row r="4" spans="9:14" x14ac:dyDescent="0.25">
      <c r="I4" s="4" t="s">
        <v>5</v>
      </c>
      <c r="J4">
        <f>COUNTIF(I10:I129,"N/T")</f>
      </c>
      <c r="K4" t="s">
        <v>6</v>
      </c>
      <c r="L4">
        <f>COUNTA(I10:I129)-COUNTIF(I10:I129,"")</f>
      </c>
      <c r="M4" s="4" t="s">
        <v>5</v>
      </c>
      <c r="N4">
        <f>COUNTIF(J10:J129,"N/T")</f>
      </c>
    </row>
    <row r="5" spans="9:14" x14ac:dyDescent="0.25">
      <c r="I5" s="5" t="s">
        <v>7</v>
      </c>
      <c r="J5">
        <f>COUNTIF(I10:I129,"Fail")</f>
      </c>
      <c r="K5" t="s">
        <v>8</v>
      </c>
      <c r="L5">
        <v>120</v>
      </c>
      <c r="M5" s="5" t="s">
        <v>7</v>
      </c>
      <c r="N5">
        <f>COUNTIF(J10:J129,"Fail")</f>
      </c>
    </row>
    <row r="6" spans="9:14" x14ac:dyDescent="0.25">
      <c r="I6" s="6" t="s">
        <v>9</v>
      </c>
      <c r="J6">
        <f>COUNTIF(I10:I129,"Block")</f>
      </c>
      <c r="K6" t="s">
        <v>10</v>
      </c>
      <c r="L6" s="7">
        <f>IF(L5=0,0,L4/L5)</f>
      </c>
      <c r="M6" s="6" t="s">
        <v>9</v>
      </c>
      <c r="N6">
        <f>COUNTIF(J10:J129,"Block")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25</v>
      </c>
      <c r="G10" s="12" t="s">
        <v>11</v>
      </c>
      <c r="H10" s="13" t="s">
        <v>26</v>
      </c>
      <c r="I10" s="12"/>
      <c r="J10" s="12"/>
      <c r="K10" s="12"/>
      <c r="L10" s="12"/>
      <c r="M10" s="12"/>
      <c r="N10" s="14" t="s">
        <v>27</v>
      </c>
    </row>
    <row r="11" spans="2:14" x14ac:dyDescent="0.25">
      <c r="B11" s="9">
        <v>2</v>
      </c>
      <c r="C11" s="10" t="s">
        <v>22</v>
      </c>
      <c r="D11" s="11"/>
      <c r="E11" s="11"/>
      <c r="F11" s="12" t="s">
        <v>28</v>
      </c>
      <c r="G11" s="12" t="s">
        <v>11</v>
      </c>
      <c r="H11" s="13" t="s">
        <v>29</v>
      </c>
      <c r="I11" s="12"/>
      <c r="J11" s="12"/>
      <c r="K11" s="12"/>
      <c r="L11" s="12"/>
      <c r="M11" s="12"/>
      <c r="N11" s="14" t="s">
        <v>30</v>
      </c>
    </row>
    <row r="12" spans="2:14" x14ac:dyDescent="0.25">
      <c r="B12" s="9">
        <v>3</v>
      </c>
      <c r="C12" s="10" t="s">
        <v>22</v>
      </c>
      <c r="D12" s="11"/>
      <c r="E12" s="11"/>
      <c r="F12" s="12" t="s">
        <v>31</v>
      </c>
      <c r="G12" s="12" t="s">
        <v>11</v>
      </c>
      <c r="H12" s="13" t="s">
        <v>32</v>
      </c>
      <c r="I12" s="12"/>
      <c r="J12" s="12"/>
      <c r="K12" s="12"/>
      <c r="L12" s="12"/>
      <c r="M12" s="12"/>
      <c r="N12" s="14" t="s">
        <v>33</v>
      </c>
    </row>
    <row r="13" spans="2:14" x14ac:dyDescent="0.25">
      <c r="B13" s="9">
        <v>4</v>
      </c>
      <c r="C13" s="15" t="s">
        <v>34</v>
      </c>
      <c r="D13" s="11"/>
      <c r="E13" s="11" t="s">
        <v>35</v>
      </c>
      <c r="F13" s="11" t="s">
        <v>36</v>
      </c>
      <c r="G13" s="12" t="s">
        <v>37</v>
      </c>
      <c r="H13" s="13" t="s">
        <v>38</v>
      </c>
      <c r="I13" s="12"/>
      <c r="J13" s="12"/>
      <c r="K13" s="12"/>
      <c r="L13" s="12"/>
      <c r="M13" s="12"/>
      <c r="N13" s="14" t="s">
        <v>39</v>
      </c>
    </row>
    <row r="14" spans="2:14" x14ac:dyDescent="0.25">
      <c r="B14" s="9">
        <v>5</v>
      </c>
      <c r="C14" s="15" t="s">
        <v>34</v>
      </c>
      <c r="D14" s="11"/>
      <c r="E14" s="11"/>
      <c r="F14" s="11"/>
      <c r="G14" s="12" t="s">
        <v>40</v>
      </c>
      <c r="H14" s="13" t="s">
        <v>41</v>
      </c>
      <c r="I14" s="12"/>
      <c r="J14" s="12"/>
      <c r="K14" s="12"/>
      <c r="L14" s="12"/>
      <c r="M14" s="12"/>
      <c r="N14" s="14" t="s">
        <v>39</v>
      </c>
    </row>
    <row r="15" spans="2:14" x14ac:dyDescent="0.25">
      <c r="B15" s="9">
        <v>6</v>
      </c>
      <c r="C15" s="15" t="s">
        <v>34</v>
      </c>
      <c r="D15" s="11"/>
      <c r="E15" s="11"/>
      <c r="F15" s="11"/>
      <c r="G15" s="12" t="s">
        <v>42</v>
      </c>
      <c r="H15" s="13" t="s">
        <v>43</v>
      </c>
      <c r="I15" s="12"/>
      <c r="J15" s="12"/>
      <c r="K15" s="12"/>
      <c r="L15" s="12"/>
      <c r="M15" s="12"/>
      <c r="N15" s="14" t="s">
        <v>39</v>
      </c>
    </row>
    <row r="16" spans="2:14" x14ac:dyDescent="0.25">
      <c r="B16" s="9">
        <v>7</v>
      </c>
      <c r="C16" s="15" t="s">
        <v>34</v>
      </c>
      <c r="D16" s="11"/>
      <c r="E16" s="11"/>
      <c r="F16" s="11"/>
      <c r="G16" s="12" t="s">
        <v>44</v>
      </c>
      <c r="H16" s="13" t="s">
        <v>45</v>
      </c>
      <c r="I16" s="12"/>
      <c r="J16" s="12"/>
      <c r="K16" s="12"/>
      <c r="L16" s="12"/>
      <c r="M16" s="12"/>
      <c r="N16" s="14" t="s">
        <v>39</v>
      </c>
    </row>
    <row r="17" spans="2:14" x14ac:dyDescent="0.25">
      <c r="B17" s="9">
        <v>8</v>
      </c>
      <c r="C17" s="16" t="s">
        <v>46</v>
      </c>
      <c r="D17" s="11"/>
      <c r="E17" s="11"/>
      <c r="F17" s="11" t="s">
        <v>47</v>
      </c>
      <c r="G17" s="12" t="s">
        <v>48</v>
      </c>
      <c r="H17" s="13" t="s">
        <v>49</v>
      </c>
      <c r="I17" s="12"/>
      <c r="J17" s="12"/>
      <c r="K17" s="12"/>
      <c r="L17" s="12"/>
      <c r="M17" s="12"/>
      <c r="N17" s="14" t="s">
        <v>39</v>
      </c>
    </row>
    <row r="18" spans="2:14" x14ac:dyDescent="0.25">
      <c r="B18" s="9">
        <v>9</v>
      </c>
      <c r="C18" s="15" t="s">
        <v>34</v>
      </c>
      <c r="D18" s="11"/>
      <c r="E18" s="11"/>
      <c r="F18" s="11"/>
      <c r="G18" s="12" t="s">
        <v>50</v>
      </c>
      <c r="H18" s="13" t="s">
        <v>51</v>
      </c>
      <c r="I18" s="12"/>
      <c r="J18" s="12"/>
      <c r="K18" s="12"/>
      <c r="L18" s="12"/>
      <c r="M18" s="12"/>
      <c r="N18" s="14" t="s">
        <v>39</v>
      </c>
    </row>
    <row r="19" spans="2:14" x14ac:dyDescent="0.25">
      <c r="B19" s="9">
        <v>10</v>
      </c>
      <c r="C19" s="15" t="s">
        <v>34</v>
      </c>
      <c r="D19" s="11"/>
      <c r="E19" s="11"/>
      <c r="F19" s="11"/>
      <c r="G19" s="12" t="s">
        <v>52</v>
      </c>
      <c r="H19" s="13" t="s">
        <v>53</v>
      </c>
      <c r="I19" s="12"/>
      <c r="J19" s="12"/>
      <c r="K19" s="12"/>
      <c r="L19" s="12"/>
      <c r="M19" s="12"/>
      <c r="N19" s="14" t="s">
        <v>54</v>
      </c>
    </row>
    <row r="20" spans="2:14" x14ac:dyDescent="0.25">
      <c r="B20" s="9">
        <v>11</v>
      </c>
      <c r="C20" s="15" t="s">
        <v>34</v>
      </c>
      <c r="D20" s="11"/>
      <c r="E20" s="11"/>
      <c r="F20" s="11"/>
      <c r="G20" s="12" t="s">
        <v>55</v>
      </c>
      <c r="H20" s="13" t="s">
        <v>56</v>
      </c>
      <c r="I20" s="12"/>
      <c r="J20" s="12"/>
      <c r="K20" s="12"/>
      <c r="L20" s="12"/>
      <c r="M20" s="12"/>
      <c r="N20" s="14" t="s">
        <v>54</v>
      </c>
    </row>
    <row r="21" spans="2:14" x14ac:dyDescent="0.25">
      <c r="B21" s="9">
        <v>12</v>
      </c>
      <c r="C21" s="15" t="s">
        <v>34</v>
      </c>
      <c r="D21" s="11"/>
      <c r="E21" s="11"/>
      <c r="F21" s="11"/>
      <c r="G21" s="12" t="s">
        <v>57</v>
      </c>
      <c r="H21" s="13" t="s">
        <v>58</v>
      </c>
      <c r="I21" s="12"/>
      <c r="J21" s="12"/>
      <c r="K21" s="12"/>
      <c r="L21" s="12"/>
      <c r="M21" s="12"/>
      <c r="N21" s="14" t="s">
        <v>54</v>
      </c>
    </row>
    <row r="22" spans="2:14" x14ac:dyDescent="0.25">
      <c r="B22" s="9">
        <v>13</v>
      </c>
      <c r="C22" s="15" t="s">
        <v>34</v>
      </c>
      <c r="D22" s="11"/>
      <c r="E22" s="11"/>
      <c r="F22" s="11"/>
      <c r="G22" s="12" t="s">
        <v>59</v>
      </c>
      <c r="H22" s="13" t="s">
        <v>60</v>
      </c>
      <c r="I22" s="12"/>
      <c r="J22" s="12"/>
      <c r="K22" s="12"/>
      <c r="L22" s="12"/>
      <c r="M22" s="12"/>
      <c r="N22" s="14" t="s">
        <v>54</v>
      </c>
    </row>
    <row r="23" spans="2:14" x14ac:dyDescent="0.25">
      <c r="B23" s="9">
        <v>14</v>
      </c>
      <c r="C23" s="10" t="s">
        <v>22</v>
      </c>
      <c r="D23" s="11"/>
      <c r="E23" s="11" t="s">
        <v>61</v>
      </c>
      <c r="F23" s="12" t="s">
        <v>62</v>
      </c>
      <c r="G23" s="12" t="s">
        <v>11</v>
      </c>
      <c r="H23" s="13" t="s">
        <v>63</v>
      </c>
      <c r="I23" s="12"/>
      <c r="J23" s="12"/>
      <c r="K23" s="12"/>
      <c r="L23" s="12"/>
      <c r="M23" s="12"/>
      <c r="N23" s="14" t="s">
        <v>64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65</v>
      </c>
      <c r="G24" s="12" t="s">
        <v>11</v>
      </c>
      <c r="H24" s="13" t="s">
        <v>66</v>
      </c>
      <c r="I24" s="12"/>
      <c r="J24" s="12"/>
      <c r="K24" s="12"/>
      <c r="L24" s="12"/>
      <c r="M24" s="12"/>
      <c r="N24" s="14" t="s">
        <v>67</v>
      </c>
    </row>
    <row r="25" spans="2:14" x14ac:dyDescent="0.25">
      <c r="B25" s="9">
        <v>16</v>
      </c>
      <c r="C25" s="10" t="s">
        <v>22</v>
      </c>
      <c r="D25" s="11" t="s">
        <v>68</v>
      </c>
      <c r="E25" s="11" t="s">
        <v>69</v>
      </c>
      <c r="F25" s="12" t="s">
        <v>70</v>
      </c>
      <c r="G25" s="12" t="s">
        <v>11</v>
      </c>
      <c r="H25" s="13" t="s">
        <v>71</v>
      </c>
      <c r="I25" s="12"/>
      <c r="J25" s="12"/>
      <c r="K25" s="12"/>
      <c r="L25" s="12"/>
      <c r="M25" s="12"/>
      <c r="N25" s="14" t="s">
        <v>72</v>
      </c>
    </row>
    <row r="26" spans="2:14" x14ac:dyDescent="0.25">
      <c r="B26" s="9">
        <v>17</v>
      </c>
      <c r="C26" s="10" t="s">
        <v>22</v>
      </c>
      <c r="D26" s="11"/>
      <c r="E26" s="11"/>
      <c r="F26" s="12" t="s">
        <v>73</v>
      </c>
      <c r="G26" s="12" t="s">
        <v>11</v>
      </c>
      <c r="H26" s="13" t="s">
        <v>74</v>
      </c>
      <c r="I26" s="12"/>
      <c r="J26" s="12"/>
      <c r="K26" s="12"/>
      <c r="L26" s="12"/>
      <c r="M26" s="12"/>
      <c r="N26" s="14" t="s">
        <v>75</v>
      </c>
    </row>
    <row r="27" spans="2:14" x14ac:dyDescent="0.25">
      <c r="B27" s="9">
        <v>18</v>
      </c>
      <c r="C27" s="10" t="s">
        <v>22</v>
      </c>
      <c r="D27" s="11"/>
      <c r="E27" s="11" t="s">
        <v>76</v>
      </c>
      <c r="F27" s="12" t="s">
        <v>77</v>
      </c>
      <c r="G27" s="12" t="s">
        <v>11</v>
      </c>
      <c r="H27" s="13" t="s">
        <v>78</v>
      </c>
      <c r="I27" s="12"/>
      <c r="J27" s="12"/>
      <c r="K27" s="12"/>
      <c r="L27" s="12"/>
      <c r="M27" s="12"/>
      <c r="N27" s="14" t="s">
        <v>79</v>
      </c>
    </row>
    <row r="28" spans="2:14" x14ac:dyDescent="0.25">
      <c r="B28" s="9">
        <v>19</v>
      </c>
      <c r="C28" s="16" t="s">
        <v>46</v>
      </c>
      <c r="D28" s="11"/>
      <c r="E28" s="11"/>
      <c r="F28" s="12" t="s">
        <v>80</v>
      </c>
      <c r="G28" s="12" t="s">
        <v>11</v>
      </c>
      <c r="H28" s="13" t="s">
        <v>81</v>
      </c>
      <c r="I28" s="12"/>
      <c r="J28" s="12"/>
      <c r="K28" s="12"/>
      <c r="L28" s="12"/>
      <c r="M28" s="12"/>
      <c r="N28" s="14" t="s">
        <v>82</v>
      </c>
    </row>
    <row r="29" spans="2:14" x14ac:dyDescent="0.25">
      <c r="B29" s="9">
        <v>20</v>
      </c>
      <c r="C29" s="10" t="s">
        <v>22</v>
      </c>
      <c r="D29" s="11"/>
      <c r="E29" s="11"/>
      <c r="F29" s="12" t="s">
        <v>83</v>
      </c>
      <c r="G29" s="12" t="s">
        <v>11</v>
      </c>
      <c r="H29" s="13" t="s">
        <v>84</v>
      </c>
      <c r="I29" s="12"/>
      <c r="J29" s="12"/>
      <c r="K29" s="12"/>
      <c r="L29" s="12"/>
      <c r="M29" s="12"/>
      <c r="N29" s="14" t="s">
        <v>85</v>
      </c>
    </row>
    <row r="30" spans="2:14" x14ac:dyDescent="0.25">
      <c r="B30" s="9">
        <v>21</v>
      </c>
      <c r="C30" s="10" t="s">
        <v>22</v>
      </c>
      <c r="D30" s="11"/>
      <c r="E30" s="11"/>
      <c r="F30" s="12" t="s">
        <v>86</v>
      </c>
      <c r="G30" s="12" t="s">
        <v>11</v>
      </c>
      <c r="H30" s="13" t="s">
        <v>87</v>
      </c>
      <c r="I30" s="12"/>
      <c r="J30" s="12"/>
      <c r="K30" s="12"/>
      <c r="L30" s="12"/>
      <c r="M30" s="12"/>
      <c r="N30" s="14" t="s">
        <v>88</v>
      </c>
    </row>
    <row r="31" spans="2:14" x14ac:dyDescent="0.25">
      <c r="B31" s="9">
        <v>22</v>
      </c>
      <c r="C31" s="16" t="s">
        <v>46</v>
      </c>
      <c r="D31" s="11"/>
      <c r="E31" s="11"/>
      <c r="F31" s="12" t="s">
        <v>89</v>
      </c>
      <c r="G31" s="12" t="s">
        <v>11</v>
      </c>
      <c r="H31" s="13" t="s">
        <v>90</v>
      </c>
      <c r="I31" s="12"/>
      <c r="J31" s="12"/>
      <c r="K31" s="12"/>
      <c r="L31" s="12"/>
      <c r="M31" s="12"/>
      <c r="N31" s="14" t="s">
        <v>91</v>
      </c>
    </row>
    <row r="32" spans="2:14" x14ac:dyDescent="0.25">
      <c r="B32" s="9">
        <v>23</v>
      </c>
      <c r="C32" s="16" t="s">
        <v>46</v>
      </c>
      <c r="D32" s="11"/>
      <c r="E32" s="11"/>
      <c r="F32" s="12" t="s">
        <v>92</v>
      </c>
      <c r="G32" s="12" t="s">
        <v>11</v>
      </c>
      <c r="H32" s="13" t="s">
        <v>93</v>
      </c>
      <c r="I32" s="12"/>
      <c r="J32" s="12"/>
      <c r="K32" s="12"/>
      <c r="L32" s="12"/>
      <c r="M32" s="12"/>
      <c r="N32" s="14" t="s">
        <v>94</v>
      </c>
    </row>
    <row r="33" spans="2:14" x14ac:dyDescent="0.25">
      <c r="B33" s="9">
        <v>24</v>
      </c>
      <c r="C33" s="16" t="s">
        <v>46</v>
      </c>
      <c r="D33" s="11"/>
      <c r="E33" s="11"/>
      <c r="F33" s="12" t="s">
        <v>95</v>
      </c>
      <c r="G33" s="12" t="s">
        <v>11</v>
      </c>
      <c r="H33" s="13" t="s">
        <v>96</v>
      </c>
      <c r="I33" s="12"/>
      <c r="J33" s="12"/>
      <c r="K33" s="12"/>
      <c r="L33" s="12"/>
      <c r="M33" s="12"/>
      <c r="N33" s="14" t="s">
        <v>97</v>
      </c>
    </row>
    <row r="34" spans="2:14" x14ac:dyDescent="0.25">
      <c r="B34" s="9">
        <v>25</v>
      </c>
      <c r="C34" s="16" t="s">
        <v>46</v>
      </c>
      <c r="D34" s="11"/>
      <c r="E34" s="11"/>
      <c r="F34" s="12" t="s">
        <v>98</v>
      </c>
      <c r="G34" s="12" t="s">
        <v>11</v>
      </c>
      <c r="H34" s="13" t="s">
        <v>99</v>
      </c>
      <c r="I34" s="12"/>
      <c r="J34" s="12"/>
      <c r="K34" s="12"/>
      <c r="L34" s="12"/>
      <c r="M34" s="12"/>
      <c r="N34" s="14" t="s">
        <v>100</v>
      </c>
    </row>
    <row r="35" spans="2:14" x14ac:dyDescent="0.25">
      <c r="B35" s="9">
        <v>26</v>
      </c>
      <c r="C35" s="10" t="s">
        <v>22</v>
      </c>
      <c r="D35" s="11" t="s">
        <v>101</v>
      </c>
      <c r="E35" s="11" t="s">
        <v>102</v>
      </c>
      <c r="F35" s="12" t="s">
        <v>103</v>
      </c>
      <c r="G35" s="12" t="s">
        <v>11</v>
      </c>
      <c r="H35" s="13" t="s">
        <v>104</v>
      </c>
      <c r="I35" s="12"/>
      <c r="J35" s="12"/>
      <c r="K35" s="12"/>
      <c r="L35" s="12"/>
      <c r="M35" s="12"/>
      <c r="N35" s="14" t="s">
        <v>105</v>
      </c>
    </row>
    <row r="36" spans="2:14" x14ac:dyDescent="0.25">
      <c r="B36" s="9">
        <v>27</v>
      </c>
      <c r="C36" s="10" t="s">
        <v>22</v>
      </c>
      <c r="D36" s="11"/>
      <c r="E36" s="11"/>
      <c r="F36" s="12" t="s">
        <v>106</v>
      </c>
      <c r="G36" s="12" t="s">
        <v>11</v>
      </c>
      <c r="H36" s="13" t="s">
        <v>107</v>
      </c>
      <c r="I36" s="12"/>
      <c r="J36" s="12"/>
      <c r="K36" s="12"/>
      <c r="L36" s="12"/>
      <c r="M36" s="12"/>
      <c r="N36" s="14" t="s">
        <v>108</v>
      </c>
    </row>
    <row r="37" spans="2:14" x14ac:dyDescent="0.25">
      <c r="B37" s="9">
        <v>28</v>
      </c>
      <c r="C37" s="10" t="s">
        <v>22</v>
      </c>
      <c r="D37" s="11"/>
      <c r="E37" s="11"/>
      <c r="F37" s="12" t="s">
        <v>109</v>
      </c>
      <c r="G37" s="12" t="s">
        <v>11</v>
      </c>
      <c r="H37" s="13" t="s">
        <v>110</v>
      </c>
      <c r="I37" s="12"/>
      <c r="J37" s="12"/>
      <c r="K37" s="12"/>
      <c r="L37" s="12"/>
      <c r="M37" s="12"/>
      <c r="N37" s="14" t="s">
        <v>111</v>
      </c>
    </row>
    <row r="38" spans="2:14" x14ac:dyDescent="0.25">
      <c r="B38" s="9">
        <v>29</v>
      </c>
      <c r="C38" s="15" t="s">
        <v>34</v>
      </c>
      <c r="D38" s="11"/>
      <c r="E38" s="11" t="s">
        <v>112</v>
      </c>
      <c r="F38" s="12" t="s">
        <v>113</v>
      </c>
      <c r="G38" s="12" t="s">
        <v>11</v>
      </c>
      <c r="H38" s="13" t="s">
        <v>114</v>
      </c>
      <c r="I38" s="12"/>
      <c r="J38" s="12"/>
      <c r="K38" s="12"/>
      <c r="L38" s="12"/>
      <c r="M38" s="12"/>
      <c r="N38" s="14" t="s">
        <v>115</v>
      </c>
    </row>
    <row r="39" spans="2:14" x14ac:dyDescent="0.25">
      <c r="B39" s="9">
        <v>30</v>
      </c>
      <c r="C39" s="15" t="s">
        <v>34</v>
      </c>
      <c r="D39" s="11"/>
      <c r="E39" s="11"/>
      <c r="F39" s="12" t="s">
        <v>116</v>
      </c>
      <c r="G39" s="12" t="s">
        <v>11</v>
      </c>
      <c r="H39" s="13" t="s">
        <v>117</v>
      </c>
      <c r="I39" s="12"/>
      <c r="J39" s="12"/>
      <c r="K39" s="12"/>
      <c r="L39" s="12"/>
      <c r="M39" s="12"/>
      <c r="N39" s="14" t="s">
        <v>118</v>
      </c>
    </row>
    <row r="40" spans="2:14" x14ac:dyDescent="0.25">
      <c r="B40" s="9">
        <v>31</v>
      </c>
      <c r="C40" s="15" t="s">
        <v>34</v>
      </c>
      <c r="D40" s="11"/>
      <c r="E40" s="11"/>
      <c r="F40" s="12" t="s">
        <v>119</v>
      </c>
      <c r="G40" s="12" t="s">
        <v>11</v>
      </c>
      <c r="H40" s="13" t="s">
        <v>120</v>
      </c>
      <c r="I40" s="12"/>
      <c r="J40" s="12"/>
      <c r="K40" s="12"/>
      <c r="L40" s="12"/>
      <c r="M40" s="12"/>
      <c r="N40" s="14" t="s">
        <v>121</v>
      </c>
    </row>
    <row r="41" spans="2:14" x14ac:dyDescent="0.25">
      <c r="B41" s="9">
        <v>32</v>
      </c>
      <c r="C41" s="10" t="s">
        <v>22</v>
      </c>
      <c r="D41" s="11"/>
      <c r="E41" s="11" t="s">
        <v>122</v>
      </c>
      <c r="F41" s="12" t="s">
        <v>123</v>
      </c>
      <c r="G41" s="12" t="s">
        <v>11</v>
      </c>
      <c r="H41" s="13" t="s">
        <v>124</v>
      </c>
      <c r="I41" s="12"/>
      <c r="J41" s="12"/>
      <c r="K41" s="12"/>
      <c r="L41" s="12"/>
      <c r="M41" s="12"/>
      <c r="N41" s="14" t="s">
        <v>125</v>
      </c>
    </row>
    <row r="42" spans="2:14" x14ac:dyDescent="0.25">
      <c r="B42" s="9">
        <v>33</v>
      </c>
      <c r="C42" s="10" t="s">
        <v>22</v>
      </c>
      <c r="D42" s="11"/>
      <c r="E42" s="11"/>
      <c r="F42" s="12" t="s">
        <v>126</v>
      </c>
      <c r="G42" s="12" t="s">
        <v>11</v>
      </c>
      <c r="H42" s="13" t="s">
        <v>127</v>
      </c>
      <c r="I42" s="12"/>
      <c r="J42" s="12"/>
      <c r="K42" s="12"/>
      <c r="L42" s="12"/>
      <c r="M42" s="12"/>
      <c r="N42" s="14" t="s">
        <v>128</v>
      </c>
    </row>
    <row r="43" spans="2:14" x14ac:dyDescent="0.25">
      <c r="B43" s="9">
        <v>34</v>
      </c>
      <c r="C43" s="10" t="s">
        <v>22</v>
      </c>
      <c r="D43" s="11"/>
      <c r="E43" s="11"/>
      <c r="F43" s="12" t="s">
        <v>129</v>
      </c>
      <c r="G43" s="12" t="s">
        <v>11</v>
      </c>
      <c r="H43" s="13" t="s">
        <v>130</v>
      </c>
      <c r="I43" s="12"/>
      <c r="J43" s="12"/>
      <c r="K43" s="12"/>
      <c r="L43" s="12"/>
      <c r="M43" s="12"/>
      <c r="N43" s="14" t="s">
        <v>131</v>
      </c>
    </row>
    <row r="44" spans="2:14" x14ac:dyDescent="0.25">
      <c r="B44" s="9">
        <v>35</v>
      </c>
      <c r="C44" s="15" t="s">
        <v>34</v>
      </c>
      <c r="D44" s="11"/>
      <c r="E44" s="11" t="s">
        <v>132</v>
      </c>
      <c r="F44" s="12" t="s">
        <v>133</v>
      </c>
      <c r="G44" s="12" t="s">
        <v>11</v>
      </c>
      <c r="H44" s="13" t="s">
        <v>134</v>
      </c>
      <c r="I44" s="12"/>
      <c r="J44" s="12"/>
      <c r="K44" s="12"/>
      <c r="L44" s="12"/>
      <c r="M44" s="12"/>
      <c r="N44" s="14" t="s">
        <v>135</v>
      </c>
    </row>
    <row r="45" spans="2:14" x14ac:dyDescent="0.25">
      <c r="B45" s="9">
        <v>36</v>
      </c>
      <c r="C45" s="10" t="s">
        <v>22</v>
      </c>
      <c r="D45" s="11"/>
      <c r="E45" s="11"/>
      <c r="F45" s="11" t="s">
        <v>136</v>
      </c>
      <c r="G45" s="12" t="s">
        <v>137</v>
      </c>
      <c r="H45" s="13" t="s">
        <v>138</v>
      </c>
      <c r="I45" s="12"/>
      <c r="J45" s="12"/>
      <c r="K45" s="12"/>
      <c r="L45" s="12"/>
      <c r="M45" s="12"/>
      <c r="N45" s="14" t="s">
        <v>139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140</v>
      </c>
      <c r="H46" s="13" t="s">
        <v>141</v>
      </c>
      <c r="I46" s="12"/>
      <c r="J46" s="12"/>
      <c r="K46" s="12"/>
      <c r="L46" s="12"/>
      <c r="M46" s="12"/>
      <c r="N46" s="14" t="s">
        <v>142</v>
      </c>
    </row>
    <row r="47" spans="2:14" x14ac:dyDescent="0.25">
      <c r="B47" s="9">
        <v>38</v>
      </c>
      <c r="C47" s="10" t="s">
        <v>22</v>
      </c>
      <c r="D47" s="11"/>
      <c r="E47" s="11"/>
      <c r="F47" s="12" t="s">
        <v>143</v>
      </c>
      <c r="G47" s="12" t="s">
        <v>11</v>
      </c>
      <c r="H47" s="13" t="s">
        <v>144</v>
      </c>
      <c r="I47" s="12"/>
      <c r="J47" s="12"/>
      <c r="K47" s="12"/>
      <c r="L47" s="12"/>
      <c r="M47" s="12"/>
      <c r="N47" s="14" t="s">
        <v>145</v>
      </c>
    </row>
    <row r="48" spans="2:14" x14ac:dyDescent="0.25">
      <c r="B48" s="9">
        <v>39</v>
      </c>
      <c r="C48" s="10" t="s">
        <v>22</v>
      </c>
      <c r="D48" s="11"/>
      <c r="E48" s="11"/>
      <c r="F48" s="12" t="s">
        <v>146</v>
      </c>
      <c r="G48" s="12" t="s">
        <v>11</v>
      </c>
      <c r="H48" s="13" t="s">
        <v>147</v>
      </c>
      <c r="I48" s="12"/>
      <c r="J48" s="12"/>
      <c r="K48" s="12"/>
      <c r="L48" s="12"/>
      <c r="M48" s="12"/>
      <c r="N48" s="14" t="s">
        <v>148</v>
      </c>
    </row>
    <row r="49" spans="2:14" x14ac:dyDescent="0.25">
      <c r="B49" s="9">
        <v>40</v>
      </c>
      <c r="C49" s="10" t="s">
        <v>22</v>
      </c>
      <c r="D49" s="11"/>
      <c r="E49" s="11" t="s">
        <v>149</v>
      </c>
      <c r="F49" s="12" t="s">
        <v>150</v>
      </c>
      <c r="G49" s="12" t="s">
        <v>11</v>
      </c>
      <c r="H49" s="13" t="s">
        <v>151</v>
      </c>
      <c r="I49" s="12"/>
      <c r="J49" s="12"/>
      <c r="K49" s="12"/>
      <c r="L49" s="12"/>
      <c r="M49" s="12"/>
      <c r="N49" s="14" t="s">
        <v>152</v>
      </c>
    </row>
    <row r="50" spans="2:14" x14ac:dyDescent="0.25">
      <c r="B50" s="9">
        <v>41</v>
      </c>
      <c r="C50" s="10" t="s">
        <v>22</v>
      </c>
      <c r="D50" s="11"/>
      <c r="E50" s="11"/>
      <c r="F50" s="12" t="s">
        <v>153</v>
      </c>
      <c r="G50" s="12" t="s">
        <v>11</v>
      </c>
      <c r="H50" s="13" t="s">
        <v>154</v>
      </c>
      <c r="I50" s="12"/>
      <c r="J50" s="12"/>
      <c r="K50" s="12"/>
      <c r="L50" s="12"/>
      <c r="M50" s="12"/>
      <c r="N50" s="14" t="s">
        <v>155</v>
      </c>
    </row>
    <row r="51" spans="2:14" x14ac:dyDescent="0.25">
      <c r="B51" s="9">
        <v>42</v>
      </c>
      <c r="C51" s="10" t="s">
        <v>22</v>
      </c>
      <c r="D51" s="11"/>
      <c r="E51" s="11"/>
      <c r="F51" s="12" t="s">
        <v>156</v>
      </c>
      <c r="G51" s="12" t="s">
        <v>11</v>
      </c>
      <c r="H51" s="13" t="s">
        <v>157</v>
      </c>
      <c r="I51" s="12"/>
      <c r="J51" s="12"/>
      <c r="K51" s="12"/>
      <c r="L51" s="12"/>
      <c r="M51" s="12"/>
      <c r="N51" s="14" t="s">
        <v>158</v>
      </c>
    </row>
    <row r="52" spans="2:14" x14ac:dyDescent="0.25">
      <c r="B52" s="9">
        <v>43</v>
      </c>
      <c r="C52" s="15" t="s">
        <v>34</v>
      </c>
      <c r="D52" s="11"/>
      <c r="E52" s="11"/>
      <c r="F52" s="11" t="s">
        <v>159</v>
      </c>
      <c r="G52" s="12" t="s">
        <v>160</v>
      </c>
      <c r="H52" s="13" t="s">
        <v>161</v>
      </c>
      <c r="I52" s="12"/>
      <c r="J52" s="12"/>
      <c r="K52" s="12"/>
      <c r="L52" s="12"/>
      <c r="M52" s="12"/>
      <c r="N52" s="14" t="s">
        <v>162</v>
      </c>
    </row>
    <row r="53" spans="2:14" x14ac:dyDescent="0.25">
      <c r="B53" s="9">
        <v>44</v>
      </c>
      <c r="C53" s="15" t="s">
        <v>34</v>
      </c>
      <c r="D53" s="11"/>
      <c r="E53" s="11"/>
      <c r="F53" s="11"/>
      <c r="G53" s="12" t="s">
        <v>163</v>
      </c>
      <c r="H53" s="13" t="s">
        <v>164</v>
      </c>
      <c r="I53" s="12"/>
      <c r="J53" s="12"/>
      <c r="K53" s="12"/>
      <c r="L53" s="12"/>
      <c r="M53" s="12"/>
      <c r="N53" s="14" t="s">
        <v>165</v>
      </c>
    </row>
    <row r="54" spans="2:14" x14ac:dyDescent="0.25">
      <c r="B54" s="9">
        <v>45</v>
      </c>
      <c r="C54" s="16" t="s">
        <v>46</v>
      </c>
      <c r="D54" s="11"/>
      <c r="E54" s="11"/>
      <c r="F54" s="12" t="s">
        <v>166</v>
      </c>
      <c r="G54" s="12" t="s">
        <v>11</v>
      </c>
      <c r="H54" s="13" t="s">
        <v>167</v>
      </c>
      <c r="I54" s="12"/>
      <c r="J54" s="12"/>
      <c r="K54" s="12"/>
      <c r="L54" s="12"/>
      <c r="M54" s="12"/>
      <c r="N54" s="14" t="s">
        <v>168</v>
      </c>
    </row>
    <row r="55" spans="2:14" x14ac:dyDescent="0.25">
      <c r="B55" s="9">
        <v>46</v>
      </c>
      <c r="C55" s="10" t="s">
        <v>22</v>
      </c>
      <c r="D55" s="11"/>
      <c r="E55" s="11" t="s">
        <v>169</v>
      </c>
      <c r="F55" s="12" t="s">
        <v>170</v>
      </c>
      <c r="G55" s="12" t="s">
        <v>11</v>
      </c>
      <c r="H55" s="13" t="s">
        <v>171</v>
      </c>
      <c r="I55" s="12"/>
      <c r="J55" s="12"/>
      <c r="K55" s="12"/>
      <c r="L55" s="12"/>
      <c r="M55" s="12"/>
      <c r="N55" s="14" t="s">
        <v>172</v>
      </c>
    </row>
    <row r="56" spans="2:14" x14ac:dyDescent="0.25">
      <c r="B56" s="9">
        <v>47</v>
      </c>
      <c r="C56" s="15" t="s">
        <v>34</v>
      </c>
      <c r="D56" s="11"/>
      <c r="E56" s="11"/>
      <c r="F56" s="12" t="s">
        <v>173</v>
      </c>
      <c r="G56" s="12" t="s">
        <v>11</v>
      </c>
      <c r="H56" s="13" t="s">
        <v>174</v>
      </c>
      <c r="I56" s="12"/>
      <c r="J56" s="12"/>
      <c r="K56" s="12"/>
      <c r="L56" s="12"/>
      <c r="M56" s="12"/>
      <c r="N56" s="14" t="s">
        <v>175</v>
      </c>
    </row>
    <row r="57" spans="2:14" x14ac:dyDescent="0.25">
      <c r="B57" s="9">
        <v>48</v>
      </c>
      <c r="C57" s="10" t="s">
        <v>22</v>
      </c>
      <c r="D57" s="11"/>
      <c r="E57" s="11"/>
      <c r="F57" s="12" t="s">
        <v>176</v>
      </c>
      <c r="G57" s="12" t="s">
        <v>11</v>
      </c>
      <c r="H57" s="13" t="s">
        <v>177</v>
      </c>
      <c r="I57" s="12"/>
      <c r="J57" s="12"/>
      <c r="K57" s="12"/>
      <c r="L57" s="12"/>
      <c r="M57" s="12"/>
      <c r="N57" s="14" t="s">
        <v>178</v>
      </c>
    </row>
    <row r="58" spans="2:14" x14ac:dyDescent="0.25">
      <c r="B58" s="9">
        <v>49</v>
      </c>
      <c r="C58" s="15" t="s">
        <v>34</v>
      </c>
      <c r="D58" s="11"/>
      <c r="E58" s="11" t="s">
        <v>179</v>
      </c>
      <c r="F58" s="12" t="s">
        <v>180</v>
      </c>
      <c r="G58" s="12" t="s">
        <v>11</v>
      </c>
      <c r="H58" s="13" t="s">
        <v>181</v>
      </c>
      <c r="I58" s="12"/>
      <c r="J58" s="12"/>
      <c r="K58" s="12"/>
      <c r="L58" s="12"/>
      <c r="M58" s="12"/>
      <c r="N58" s="14" t="s">
        <v>182</v>
      </c>
    </row>
    <row r="59" spans="2:14" x14ac:dyDescent="0.25">
      <c r="B59" s="9">
        <v>50</v>
      </c>
      <c r="C59" s="15" t="s">
        <v>34</v>
      </c>
      <c r="D59" s="11"/>
      <c r="E59" s="11"/>
      <c r="F59" s="12" t="s">
        <v>183</v>
      </c>
      <c r="G59" s="12" t="s">
        <v>11</v>
      </c>
      <c r="H59" s="13" t="s">
        <v>184</v>
      </c>
      <c r="I59" s="12"/>
      <c r="J59" s="12"/>
      <c r="K59" s="12"/>
      <c r="L59" s="12"/>
      <c r="M59" s="12"/>
      <c r="N59" s="14" t="s">
        <v>185</v>
      </c>
    </row>
    <row r="60" spans="2:14" x14ac:dyDescent="0.25">
      <c r="B60" s="9">
        <v>51</v>
      </c>
      <c r="C60" s="10" t="s">
        <v>22</v>
      </c>
      <c r="D60" s="11"/>
      <c r="E60" s="11"/>
      <c r="F60" s="12" t="s">
        <v>186</v>
      </c>
      <c r="G60" s="12" t="s">
        <v>11</v>
      </c>
      <c r="H60" s="13" t="s">
        <v>187</v>
      </c>
      <c r="I60" s="12"/>
      <c r="J60" s="12"/>
      <c r="K60" s="12"/>
      <c r="L60" s="12"/>
      <c r="M60" s="12"/>
      <c r="N60" s="14" t="s">
        <v>188</v>
      </c>
    </row>
    <row r="61" spans="2:14" x14ac:dyDescent="0.25">
      <c r="B61" s="9">
        <v>52</v>
      </c>
      <c r="C61" s="15" t="s">
        <v>34</v>
      </c>
      <c r="D61" s="11"/>
      <c r="E61" s="11"/>
      <c r="F61" s="11" t="s">
        <v>189</v>
      </c>
      <c r="G61" s="12" t="s">
        <v>160</v>
      </c>
      <c r="H61" s="13" t="s">
        <v>190</v>
      </c>
      <c r="I61" s="12"/>
      <c r="J61" s="12"/>
      <c r="K61" s="12"/>
      <c r="L61" s="12"/>
      <c r="M61" s="12"/>
      <c r="N61" s="14" t="s">
        <v>191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163</v>
      </c>
      <c r="H62" s="13" t="s">
        <v>192</v>
      </c>
      <c r="I62" s="12"/>
      <c r="J62" s="12"/>
      <c r="K62" s="12"/>
      <c r="L62" s="12"/>
      <c r="M62" s="12"/>
      <c r="N62" s="14" t="s">
        <v>193</v>
      </c>
    </row>
    <row r="63" spans="2:14" x14ac:dyDescent="0.25">
      <c r="B63" s="9">
        <v>54</v>
      </c>
      <c r="C63" s="16" t="s">
        <v>46</v>
      </c>
      <c r="D63" s="11"/>
      <c r="E63" s="11"/>
      <c r="F63" s="12" t="s">
        <v>194</v>
      </c>
      <c r="G63" s="12" t="s">
        <v>11</v>
      </c>
      <c r="H63" s="13" t="s">
        <v>195</v>
      </c>
      <c r="I63" s="12"/>
      <c r="J63" s="12"/>
      <c r="K63" s="12"/>
      <c r="L63" s="12"/>
      <c r="M63" s="12"/>
      <c r="N63" s="14" t="s">
        <v>196</v>
      </c>
    </row>
    <row r="64" spans="2:14" x14ac:dyDescent="0.25">
      <c r="B64" s="9">
        <v>55</v>
      </c>
      <c r="C64" s="10" t="s">
        <v>22</v>
      </c>
      <c r="D64" s="11"/>
      <c r="E64" s="11"/>
      <c r="F64" s="12" t="s">
        <v>197</v>
      </c>
      <c r="G64" s="12" t="s">
        <v>11</v>
      </c>
      <c r="H64" s="13" t="s">
        <v>198</v>
      </c>
      <c r="I64" s="12"/>
      <c r="J64" s="12"/>
      <c r="K64" s="12"/>
      <c r="L64" s="12"/>
      <c r="M64" s="12"/>
      <c r="N64" s="14" t="s">
        <v>199</v>
      </c>
    </row>
    <row r="65" spans="2:14" x14ac:dyDescent="0.25">
      <c r="B65" s="9">
        <v>56</v>
      </c>
      <c r="C65" s="10" t="s">
        <v>22</v>
      </c>
      <c r="D65" s="11"/>
      <c r="E65" s="12" t="s">
        <v>200</v>
      </c>
      <c r="F65" s="12" t="s">
        <v>201</v>
      </c>
      <c r="G65" s="12" t="s">
        <v>11</v>
      </c>
      <c r="H65" s="13" t="s">
        <v>202</v>
      </c>
      <c r="I65" s="12"/>
      <c r="J65" s="12"/>
      <c r="K65" s="12"/>
      <c r="L65" s="12"/>
      <c r="M65" s="12"/>
      <c r="N65" s="14" t="s">
        <v>203</v>
      </c>
    </row>
    <row r="66" spans="2:14" x14ac:dyDescent="0.25">
      <c r="B66" s="9">
        <v>57</v>
      </c>
      <c r="C66" s="10" t="s">
        <v>22</v>
      </c>
      <c r="D66" s="11"/>
      <c r="E66" s="11" t="s">
        <v>204</v>
      </c>
      <c r="F66" s="11" t="s">
        <v>205</v>
      </c>
      <c r="G66" s="12" t="s">
        <v>206</v>
      </c>
      <c r="H66" s="13" t="s">
        <v>207</v>
      </c>
      <c r="I66" s="12"/>
      <c r="J66" s="12"/>
      <c r="K66" s="12"/>
      <c r="L66" s="12"/>
      <c r="M66" s="12"/>
      <c r="N66" s="14" t="s">
        <v>208</v>
      </c>
    </row>
    <row r="67" spans="2:14" x14ac:dyDescent="0.25">
      <c r="B67" s="9">
        <v>58</v>
      </c>
      <c r="C67" s="10" t="s">
        <v>22</v>
      </c>
      <c r="D67" s="11"/>
      <c r="E67" s="11"/>
      <c r="F67" s="11"/>
      <c r="G67" s="12" t="s">
        <v>209</v>
      </c>
      <c r="H67" s="13" t="s">
        <v>210</v>
      </c>
      <c r="I67" s="12"/>
      <c r="J67" s="12"/>
      <c r="K67" s="12"/>
      <c r="L67" s="12"/>
      <c r="M67" s="12"/>
      <c r="N67" s="14" t="s">
        <v>211</v>
      </c>
    </row>
    <row r="68" spans="2:14" x14ac:dyDescent="0.25">
      <c r="B68" s="9">
        <v>59</v>
      </c>
      <c r="C68" s="10" t="s">
        <v>22</v>
      </c>
      <c r="D68" s="11"/>
      <c r="E68" s="11"/>
      <c r="F68" s="11"/>
      <c r="G68" s="12" t="s">
        <v>212</v>
      </c>
      <c r="H68" s="13" t="s">
        <v>213</v>
      </c>
      <c r="I68" s="12"/>
      <c r="J68" s="12"/>
      <c r="K68" s="12"/>
      <c r="L68" s="12"/>
      <c r="M68" s="12"/>
      <c r="N68" s="14" t="s">
        <v>214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215</v>
      </c>
      <c r="H69" s="13" t="s">
        <v>216</v>
      </c>
      <c r="I69" s="12"/>
      <c r="J69" s="12"/>
      <c r="K69" s="12"/>
      <c r="L69" s="12"/>
      <c r="M69" s="12"/>
      <c r="N69" s="14" t="s">
        <v>217</v>
      </c>
    </row>
    <row r="70" spans="2:14" x14ac:dyDescent="0.25">
      <c r="B70" s="9">
        <v>61</v>
      </c>
      <c r="C70" s="10" t="s">
        <v>22</v>
      </c>
      <c r="D70" s="11"/>
      <c r="E70" s="11"/>
      <c r="F70" s="12" t="s">
        <v>218</v>
      </c>
      <c r="G70" s="12" t="s">
        <v>11</v>
      </c>
      <c r="H70" s="13" t="s">
        <v>219</v>
      </c>
      <c r="I70" s="12"/>
      <c r="J70" s="12"/>
      <c r="K70" s="12"/>
      <c r="L70" s="12"/>
      <c r="M70" s="12"/>
      <c r="N70" s="14" t="s">
        <v>220</v>
      </c>
    </row>
    <row r="71" spans="2:14" x14ac:dyDescent="0.25">
      <c r="B71" s="9">
        <v>62</v>
      </c>
      <c r="C71" s="10" t="s">
        <v>22</v>
      </c>
      <c r="D71" s="11"/>
      <c r="E71" s="11"/>
      <c r="F71" s="12" t="s">
        <v>221</v>
      </c>
      <c r="G71" s="12" t="s">
        <v>11</v>
      </c>
      <c r="H71" s="13" t="s">
        <v>222</v>
      </c>
      <c r="I71" s="12"/>
      <c r="J71" s="12"/>
      <c r="K71" s="12"/>
      <c r="L71" s="12"/>
      <c r="M71" s="12"/>
      <c r="N71" s="14" t="s">
        <v>223</v>
      </c>
    </row>
    <row r="72" spans="2:14" x14ac:dyDescent="0.25">
      <c r="B72" s="9">
        <v>63</v>
      </c>
      <c r="C72" s="16" t="s">
        <v>46</v>
      </c>
      <c r="D72" s="11"/>
      <c r="E72" s="11"/>
      <c r="F72" s="12" t="s">
        <v>224</v>
      </c>
      <c r="G72" s="12" t="s">
        <v>11</v>
      </c>
      <c r="H72" s="13" t="s">
        <v>225</v>
      </c>
      <c r="I72" s="12"/>
      <c r="J72" s="12"/>
      <c r="K72" s="12"/>
      <c r="L72" s="12"/>
      <c r="M72" s="12"/>
      <c r="N72" s="14" t="s">
        <v>226</v>
      </c>
    </row>
    <row r="73" spans="2:14" x14ac:dyDescent="0.25">
      <c r="B73" s="9">
        <v>64</v>
      </c>
      <c r="C73" s="16" t="s">
        <v>46</v>
      </c>
      <c r="D73" s="11" t="s">
        <v>227</v>
      </c>
      <c r="E73" s="11" t="s">
        <v>228</v>
      </c>
      <c r="F73" s="12" t="s">
        <v>229</v>
      </c>
      <c r="G73" s="12" t="s">
        <v>11</v>
      </c>
      <c r="H73" s="13" t="s">
        <v>230</v>
      </c>
      <c r="I73" s="12"/>
      <c r="J73" s="12"/>
      <c r="K73" s="12"/>
      <c r="L73" s="12"/>
      <c r="M73" s="12"/>
      <c r="N73" s="14" t="s">
        <v>231</v>
      </c>
    </row>
    <row r="74" spans="2:14" x14ac:dyDescent="0.25">
      <c r="B74" s="9">
        <v>65</v>
      </c>
      <c r="C74" s="16" t="s">
        <v>46</v>
      </c>
      <c r="D74" s="11"/>
      <c r="E74" s="11"/>
      <c r="F74" s="12" t="s">
        <v>232</v>
      </c>
      <c r="G74" s="12" t="s">
        <v>11</v>
      </c>
      <c r="H74" s="13" t="s">
        <v>233</v>
      </c>
      <c r="I74" s="12"/>
      <c r="J74" s="12"/>
      <c r="K74" s="12"/>
      <c r="L74" s="12"/>
      <c r="M74" s="12"/>
      <c r="N74" s="14" t="s">
        <v>234</v>
      </c>
    </row>
    <row r="75" spans="2:14" x14ac:dyDescent="0.25">
      <c r="B75" s="9">
        <v>66</v>
      </c>
      <c r="C75" s="16" t="s">
        <v>46</v>
      </c>
      <c r="D75" s="11"/>
      <c r="E75" s="12" t="s">
        <v>235</v>
      </c>
      <c r="F75" s="12" t="s">
        <v>236</v>
      </c>
      <c r="G75" s="12" t="s">
        <v>11</v>
      </c>
      <c r="H75" s="13" t="s">
        <v>237</v>
      </c>
      <c r="I75" s="12"/>
      <c r="J75" s="12"/>
      <c r="K75" s="12"/>
      <c r="L75" s="12"/>
      <c r="M75" s="12"/>
      <c r="N75" s="14" t="s">
        <v>238</v>
      </c>
    </row>
    <row r="76" spans="2:14" x14ac:dyDescent="0.25">
      <c r="B76" s="9">
        <v>67</v>
      </c>
      <c r="C76" s="10" t="s">
        <v>22</v>
      </c>
      <c r="D76" s="11"/>
      <c r="E76" s="11" t="s">
        <v>239</v>
      </c>
      <c r="F76" s="12" t="s">
        <v>240</v>
      </c>
      <c r="G76" s="12" t="s">
        <v>11</v>
      </c>
      <c r="H76" s="13" t="s">
        <v>241</v>
      </c>
      <c r="I76" s="12"/>
      <c r="J76" s="12"/>
      <c r="K76" s="12"/>
      <c r="L76" s="12"/>
      <c r="M76" s="12"/>
      <c r="N76" s="14" t="s">
        <v>242</v>
      </c>
    </row>
    <row r="77" spans="2:14" x14ac:dyDescent="0.25">
      <c r="B77" s="9">
        <v>68</v>
      </c>
      <c r="C77" s="10" t="s">
        <v>22</v>
      </c>
      <c r="D77" s="11"/>
      <c r="E77" s="11"/>
      <c r="F77" s="12" t="s">
        <v>243</v>
      </c>
      <c r="G77" s="12" t="s">
        <v>11</v>
      </c>
      <c r="H77" s="13" t="s">
        <v>244</v>
      </c>
      <c r="I77" s="12"/>
      <c r="J77" s="12"/>
      <c r="K77" s="12"/>
      <c r="L77" s="12"/>
      <c r="M77" s="12"/>
      <c r="N77" s="14" t="s">
        <v>245</v>
      </c>
    </row>
    <row r="78" spans="2:14" x14ac:dyDescent="0.25">
      <c r="B78" s="9">
        <v>69</v>
      </c>
      <c r="C78" s="16" t="s">
        <v>46</v>
      </c>
      <c r="D78" s="11"/>
      <c r="E78" s="11" t="s">
        <v>246</v>
      </c>
      <c r="F78" s="12" t="s">
        <v>149</v>
      </c>
      <c r="G78" s="12" t="s">
        <v>11</v>
      </c>
      <c r="H78" s="13" t="s">
        <v>247</v>
      </c>
      <c r="I78" s="12"/>
      <c r="J78" s="12"/>
      <c r="K78" s="12"/>
      <c r="L78" s="12"/>
      <c r="M78" s="12"/>
      <c r="N78" s="14" t="s">
        <v>248</v>
      </c>
    </row>
    <row r="79" spans="2:14" x14ac:dyDescent="0.25">
      <c r="B79" s="9">
        <v>70</v>
      </c>
      <c r="C79" s="16" t="s">
        <v>46</v>
      </c>
      <c r="D79" s="11"/>
      <c r="E79" s="11"/>
      <c r="F79" s="12" t="s">
        <v>153</v>
      </c>
      <c r="G79" s="12" t="s">
        <v>11</v>
      </c>
      <c r="H79" s="13" t="s">
        <v>249</v>
      </c>
      <c r="I79" s="12"/>
      <c r="J79" s="12"/>
      <c r="K79" s="12"/>
      <c r="L79" s="12"/>
      <c r="M79" s="12"/>
      <c r="N79" s="14" t="s">
        <v>248</v>
      </c>
    </row>
    <row r="80" spans="2:14" x14ac:dyDescent="0.25">
      <c r="B80" s="9">
        <v>71</v>
      </c>
      <c r="C80" s="16" t="s">
        <v>46</v>
      </c>
      <c r="D80" s="11"/>
      <c r="E80" s="11"/>
      <c r="F80" s="12" t="s">
        <v>250</v>
      </c>
      <c r="G80" s="12" t="s">
        <v>11</v>
      </c>
      <c r="H80" s="13" t="s">
        <v>251</v>
      </c>
      <c r="I80" s="12"/>
      <c r="J80" s="12"/>
      <c r="K80" s="12"/>
      <c r="L80" s="12"/>
      <c r="M80" s="12"/>
      <c r="N80" s="14" t="s">
        <v>248</v>
      </c>
    </row>
    <row r="81" spans="2:14" x14ac:dyDescent="0.25">
      <c r="B81" s="9">
        <v>72</v>
      </c>
      <c r="C81" s="16" t="s">
        <v>46</v>
      </c>
      <c r="D81" s="11"/>
      <c r="E81" s="11"/>
      <c r="F81" s="12" t="s">
        <v>112</v>
      </c>
      <c r="G81" s="12" t="s">
        <v>11</v>
      </c>
      <c r="H81" s="13" t="s">
        <v>252</v>
      </c>
      <c r="I81" s="12"/>
      <c r="J81" s="12"/>
      <c r="K81" s="12"/>
      <c r="L81" s="12"/>
      <c r="M81" s="12"/>
      <c r="N81" s="14" t="s">
        <v>248</v>
      </c>
    </row>
    <row r="82" spans="2:14" x14ac:dyDescent="0.25">
      <c r="B82" s="9">
        <v>73</v>
      </c>
      <c r="C82" s="16" t="s">
        <v>46</v>
      </c>
      <c r="D82" s="11"/>
      <c r="E82" s="11"/>
      <c r="F82" s="12" t="s">
        <v>200</v>
      </c>
      <c r="G82" s="12" t="s">
        <v>11</v>
      </c>
      <c r="H82" s="13" t="s">
        <v>253</v>
      </c>
      <c r="I82" s="12"/>
      <c r="J82" s="12"/>
      <c r="K82" s="12"/>
      <c r="L82" s="12"/>
      <c r="M82" s="12"/>
      <c r="N82" s="14" t="s">
        <v>248</v>
      </c>
    </row>
    <row r="83" spans="2:14" x14ac:dyDescent="0.25">
      <c r="B83" s="9">
        <v>74</v>
      </c>
      <c r="C83" s="10" t="s">
        <v>22</v>
      </c>
      <c r="D83" s="11" t="s">
        <v>254</v>
      </c>
      <c r="E83" s="11" t="s">
        <v>102</v>
      </c>
      <c r="F83" s="12" t="s">
        <v>103</v>
      </c>
      <c r="G83" s="12" t="s">
        <v>11</v>
      </c>
      <c r="H83" s="13" t="s">
        <v>255</v>
      </c>
      <c r="I83" s="12"/>
      <c r="J83" s="12"/>
      <c r="K83" s="12"/>
      <c r="L83" s="12"/>
      <c r="M83" s="12"/>
      <c r="N83" s="14" t="s">
        <v>256</v>
      </c>
    </row>
    <row r="84" spans="2:14" x14ac:dyDescent="0.25">
      <c r="B84" s="9">
        <v>75</v>
      </c>
      <c r="C84" s="10" t="s">
        <v>22</v>
      </c>
      <c r="D84" s="11"/>
      <c r="E84" s="11"/>
      <c r="F84" s="12" t="s">
        <v>106</v>
      </c>
      <c r="G84" s="12" t="s">
        <v>11</v>
      </c>
      <c r="H84" s="13" t="s">
        <v>257</v>
      </c>
      <c r="I84" s="12"/>
      <c r="J84" s="12"/>
      <c r="K84" s="12"/>
      <c r="L84" s="12"/>
      <c r="M84" s="12"/>
      <c r="N84" s="14" t="s">
        <v>258</v>
      </c>
    </row>
    <row r="85" spans="2:14" x14ac:dyDescent="0.25">
      <c r="B85" s="9">
        <v>76</v>
      </c>
      <c r="C85" s="10" t="s">
        <v>22</v>
      </c>
      <c r="D85" s="11"/>
      <c r="E85" s="11"/>
      <c r="F85" s="12" t="s">
        <v>109</v>
      </c>
      <c r="G85" s="12" t="s">
        <v>11</v>
      </c>
      <c r="H85" s="13" t="s">
        <v>259</v>
      </c>
      <c r="I85" s="12"/>
      <c r="J85" s="12"/>
      <c r="K85" s="12"/>
      <c r="L85" s="12"/>
      <c r="M85" s="12"/>
      <c r="N85" s="14" t="s">
        <v>260</v>
      </c>
    </row>
    <row r="86" spans="2:14" x14ac:dyDescent="0.25">
      <c r="B86" s="9">
        <v>77</v>
      </c>
      <c r="C86" s="15" t="s">
        <v>34</v>
      </c>
      <c r="D86" s="11"/>
      <c r="E86" s="11" t="s">
        <v>261</v>
      </c>
      <c r="F86" s="12" t="s">
        <v>262</v>
      </c>
      <c r="G86" s="12" t="s">
        <v>11</v>
      </c>
      <c r="H86" s="13" t="s">
        <v>263</v>
      </c>
      <c r="I86" s="12"/>
      <c r="J86" s="12"/>
      <c r="K86" s="12"/>
      <c r="L86" s="12"/>
      <c r="M86" s="12"/>
      <c r="N86" s="14" t="s">
        <v>264</v>
      </c>
    </row>
    <row r="87" spans="2:14" x14ac:dyDescent="0.25">
      <c r="B87" s="9">
        <v>78</v>
      </c>
      <c r="C87" s="15" t="s">
        <v>34</v>
      </c>
      <c r="D87" s="11"/>
      <c r="E87" s="11"/>
      <c r="F87" s="12" t="s">
        <v>265</v>
      </c>
      <c r="G87" s="12" t="s">
        <v>11</v>
      </c>
      <c r="H87" s="13" t="s">
        <v>266</v>
      </c>
      <c r="I87" s="12"/>
      <c r="J87" s="12"/>
      <c r="K87" s="12"/>
      <c r="L87" s="12"/>
      <c r="M87" s="12"/>
      <c r="N87" s="14" t="s">
        <v>267</v>
      </c>
    </row>
    <row r="88" spans="2:14" x14ac:dyDescent="0.25">
      <c r="B88" s="9">
        <v>79</v>
      </c>
      <c r="C88" s="10" t="s">
        <v>22</v>
      </c>
      <c r="D88" s="11"/>
      <c r="E88" s="11"/>
      <c r="F88" s="12" t="s">
        <v>268</v>
      </c>
      <c r="G88" s="12" t="s">
        <v>11</v>
      </c>
      <c r="H88" s="13" t="s">
        <v>269</v>
      </c>
      <c r="I88" s="12"/>
      <c r="J88" s="12"/>
      <c r="K88" s="12"/>
      <c r="L88" s="12"/>
      <c r="M88" s="12"/>
      <c r="N88" s="14" t="s">
        <v>270</v>
      </c>
    </row>
    <row r="89" spans="2:14" x14ac:dyDescent="0.25">
      <c r="B89" s="9">
        <v>80</v>
      </c>
      <c r="C89" s="15" t="s">
        <v>34</v>
      </c>
      <c r="D89" s="11"/>
      <c r="E89" s="11"/>
      <c r="F89" s="12" t="s">
        <v>271</v>
      </c>
      <c r="G89" s="12" t="s">
        <v>11</v>
      </c>
      <c r="H89" s="13" t="s">
        <v>272</v>
      </c>
      <c r="I89" s="12"/>
      <c r="J89" s="12"/>
      <c r="K89" s="12"/>
      <c r="L89" s="12"/>
      <c r="M89" s="12"/>
      <c r="N89" s="14" t="s">
        <v>273</v>
      </c>
    </row>
    <row r="90" spans="2:14" x14ac:dyDescent="0.25">
      <c r="B90" s="9">
        <v>81</v>
      </c>
      <c r="C90" s="10" t="s">
        <v>22</v>
      </c>
      <c r="D90" s="11"/>
      <c r="E90" s="11"/>
      <c r="F90" s="12" t="s">
        <v>274</v>
      </c>
      <c r="G90" s="12" t="s">
        <v>11</v>
      </c>
      <c r="H90" s="13" t="s">
        <v>275</v>
      </c>
      <c r="I90" s="12"/>
      <c r="J90" s="12"/>
      <c r="K90" s="12"/>
      <c r="L90" s="12"/>
      <c r="M90" s="12"/>
      <c r="N90" s="14" t="s">
        <v>276</v>
      </c>
    </row>
    <row r="91" spans="2:14" x14ac:dyDescent="0.25">
      <c r="B91" s="9">
        <v>82</v>
      </c>
      <c r="C91" s="10" t="s">
        <v>22</v>
      </c>
      <c r="D91" s="11"/>
      <c r="E91" s="11" t="s">
        <v>277</v>
      </c>
      <c r="F91" s="12" t="s">
        <v>122</v>
      </c>
      <c r="G91" s="12" t="s">
        <v>11</v>
      </c>
      <c r="H91" s="13" t="s">
        <v>278</v>
      </c>
      <c r="I91" s="12"/>
      <c r="J91" s="12"/>
      <c r="K91" s="12"/>
      <c r="L91" s="12"/>
      <c r="M91" s="12"/>
      <c r="N91" s="14" t="s">
        <v>279</v>
      </c>
    </row>
    <row r="92" spans="2:14" x14ac:dyDescent="0.25">
      <c r="B92" s="9">
        <v>83</v>
      </c>
      <c r="C92" s="10" t="s">
        <v>22</v>
      </c>
      <c r="D92" s="11"/>
      <c r="E92" s="11"/>
      <c r="F92" s="12" t="s">
        <v>132</v>
      </c>
      <c r="G92" s="12" t="s">
        <v>11</v>
      </c>
      <c r="H92" s="13" t="s">
        <v>280</v>
      </c>
      <c r="I92" s="12"/>
      <c r="J92" s="12"/>
      <c r="K92" s="12"/>
      <c r="L92" s="12"/>
      <c r="M92" s="12"/>
      <c r="N92" s="14" t="s">
        <v>279</v>
      </c>
    </row>
    <row r="93" spans="2:14" x14ac:dyDescent="0.25">
      <c r="B93" s="9">
        <v>84</v>
      </c>
      <c r="C93" s="15" t="s">
        <v>34</v>
      </c>
      <c r="D93" s="11"/>
      <c r="E93" s="11"/>
      <c r="F93" s="12" t="s">
        <v>281</v>
      </c>
      <c r="G93" s="12" t="s">
        <v>11</v>
      </c>
      <c r="H93" s="13" t="s">
        <v>282</v>
      </c>
      <c r="I93" s="12"/>
      <c r="J93" s="12"/>
      <c r="K93" s="12"/>
      <c r="L93" s="12"/>
      <c r="M93" s="12"/>
      <c r="N93" s="14" t="s">
        <v>283</v>
      </c>
    </row>
    <row r="94" spans="2:14" x14ac:dyDescent="0.25">
      <c r="B94" s="9">
        <v>85</v>
      </c>
      <c r="C94" s="10" t="s">
        <v>22</v>
      </c>
      <c r="D94" s="11"/>
      <c r="E94" s="11"/>
      <c r="F94" s="12" t="s">
        <v>284</v>
      </c>
      <c r="G94" s="12" t="s">
        <v>11</v>
      </c>
      <c r="H94" s="13" t="s">
        <v>285</v>
      </c>
      <c r="I94" s="12"/>
      <c r="J94" s="12"/>
      <c r="K94" s="12"/>
      <c r="L94" s="12"/>
      <c r="M94" s="12"/>
      <c r="N94" s="14" t="s">
        <v>286</v>
      </c>
    </row>
    <row r="95" spans="2:14" x14ac:dyDescent="0.25">
      <c r="B95" s="9">
        <v>86</v>
      </c>
      <c r="C95" s="10" t="s">
        <v>22</v>
      </c>
      <c r="D95" s="11"/>
      <c r="E95" s="11"/>
      <c r="F95" s="12" t="s">
        <v>287</v>
      </c>
      <c r="G95" s="12" t="s">
        <v>11</v>
      </c>
      <c r="H95" s="13" t="s">
        <v>288</v>
      </c>
      <c r="I95" s="12"/>
      <c r="J95" s="12"/>
      <c r="K95" s="12"/>
      <c r="L95" s="12"/>
      <c r="M95" s="12"/>
      <c r="N95" s="14" t="s">
        <v>289</v>
      </c>
    </row>
    <row r="96" spans="2:14" x14ac:dyDescent="0.25">
      <c r="B96" s="9">
        <v>87</v>
      </c>
      <c r="C96" s="10" t="s">
        <v>22</v>
      </c>
      <c r="D96" s="11"/>
      <c r="E96" s="11"/>
      <c r="F96" s="12" t="s">
        <v>290</v>
      </c>
      <c r="G96" s="12" t="s">
        <v>11</v>
      </c>
      <c r="H96" s="13" t="s">
        <v>291</v>
      </c>
      <c r="I96" s="12"/>
      <c r="J96" s="12"/>
      <c r="K96" s="12"/>
      <c r="L96" s="12"/>
      <c r="M96" s="12"/>
      <c r="N96" s="14" t="s">
        <v>292</v>
      </c>
    </row>
    <row r="97" spans="2:14" x14ac:dyDescent="0.25">
      <c r="B97" s="9">
        <v>88</v>
      </c>
      <c r="C97" s="10" t="s">
        <v>22</v>
      </c>
      <c r="D97" s="11"/>
      <c r="E97" s="11"/>
      <c r="F97" s="12" t="s">
        <v>293</v>
      </c>
      <c r="G97" s="12" t="s">
        <v>11</v>
      </c>
      <c r="H97" s="13" t="s">
        <v>294</v>
      </c>
      <c r="I97" s="12"/>
      <c r="J97" s="12"/>
      <c r="K97" s="12"/>
      <c r="L97" s="12"/>
      <c r="M97" s="12"/>
      <c r="N97" s="14" t="s">
        <v>295</v>
      </c>
    </row>
    <row r="98" spans="2:14" x14ac:dyDescent="0.25">
      <c r="B98" s="9">
        <v>89</v>
      </c>
      <c r="C98" s="15" t="s">
        <v>34</v>
      </c>
      <c r="D98" s="11"/>
      <c r="E98" s="11" t="s">
        <v>163</v>
      </c>
      <c r="F98" s="12" t="s">
        <v>296</v>
      </c>
      <c r="G98" s="12" t="s">
        <v>11</v>
      </c>
      <c r="H98" s="13" t="s">
        <v>297</v>
      </c>
      <c r="I98" s="12"/>
      <c r="J98" s="12"/>
      <c r="K98" s="12"/>
      <c r="L98" s="12"/>
      <c r="M98" s="12"/>
      <c r="N98" s="14" t="s">
        <v>298</v>
      </c>
    </row>
    <row r="99" spans="2:14" x14ac:dyDescent="0.25">
      <c r="B99" s="9">
        <v>90</v>
      </c>
      <c r="C99" s="10" t="s">
        <v>22</v>
      </c>
      <c r="D99" s="11"/>
      <c r="E99" s="11"/>
      <c r="F99" s="12" t="s">
        <v>299</v>
      </c>
      <c r="G99" s="12" t="s">
        <v>11</v>
      </c>
      <c r="H99" s="13" t="s">
        <v>300</v>
      </c>
      <c r="I99" s="12"/>
      <c r="J99" s="12"/>
      <c r="K99" s="12"/>
      <c r="L99" s="12"/>
      <c r="M99" s="12"/>
      <c r="N99" s="14" t="s">
        <v>301</v>
      </c>
    </row>
    <row r="100" spans="2:14" x14ac:dyDescent="0.25">
      <c r="B100" s="9">
        <v>91</v>
      </c>
      <c r="C100" s="16" t="s">
        <v>46</v>
      </c>
      <c r="D100" s="11"/>
      <c r="E100" s="11"/>
      <c r="F100" s="12" t="s">
        <v>302</v>
      </c>
      <c r="G100" s="12" t="s">
        <v>11</v>
      </c>
      <c r="H100" s="13" t="s">
        <v>303</v>
      </c>
      <c r="I100" s="12"/>
      <c r="J100" s="12"/>
      <c r="K100" s="12"/>
      <c r="L100" s="12"/>
      <c r="M100" s="12"/>
      <c r="N100" s="14" t="s">
        <v>304</v>
      </c>
    </row>
    <row r="101" spans="2:14" x14ac:dyDescent="0.25">
      <c r="B101" s="9">
        <v>92</v>
      </c>
      <c r="C101" s="16" t="s">
        <v>46</v>
      </c>
      <c r="D101" s="11"/>
      <c r="E101" s="11" t="s">
        <v>277</v>
      </c>
      <c r="F101" s="12" t="s">
        <v>126</v>
      </c>
      <c r="G101" s="12" t="s">
        <v>11</v>
      </c>
      <c r="H101" s="13" t="s">
        <v>305</v>
      </c>
      <c r="I101" s="12"/>
      <c r="J101" s="12"/>
      <c r="K101" s="12"/>
      <c r="L101" s="12"/>
      <c r="M101" s="12"/>
      <c r="N101" s="14" t="s">
        <v>306</v>
      </c>
    </row>
    <row r="102" spans="2:14" x14ac:dyDescent="0.25">
      <c r="B102" s="9">
        <v>93</v>
      </c>
      <c r="C102" s="16" t="s">
        <v>46</v>
      </c>
      <c r="D102" s="11"/>
      <c r="E102" s="11"/>
      <c r="F102" s="12" t="s">
        <v>307</v>
      </c>
      <c r="G102" s="12" t="s">
        <v>11</v>
      </c>
      <c r="H102" s="13" t="s">
        <v>308</v>
      </c>
      <c r="I102" s="12"/>
      <c r="J102" s="12"/>
      <c r="K102" s="12"/>
      <c r="L102" s="12"/>
      <c r="M102" s="12"/>
      <c r="N102" s="14" t="s">
        <v>309</v>
      </c>
    </row>
    <row r="103" spans="2:14" x14ac:dyDescent="0.25">
      <c r="B103" s="9">
        <v>94</v>
      </c>
      <c r="C103" s="10" t="s">
        <v>22</v>
      </c>
      <c r="D103" s="11" t="s">
        <v>23</v>
      </c>
      <c r="E103" s="11" t="s">
        <v>24</v>
      </c>
      <c r="F103" s="12" t="s">
        <v>310</v>
      </c>
      <c r="G103" s="12" t="s">
        <v>11</v>
      </c>
      <c r="H103" s="13" t="s">
        <v>311</v>
      </c>
      <c r="I103" s="12"/>
      <c r="J103" s="12"/>
      <c r="K103" s="12"/>
      <c r="L103" s="12"/>
      <c r="M103" s="12"/>
      <c r="N103" s="14" t="s">
        <v>312</v>
      </c>
    </row>
    <row r="104" spans="2:14" x14ac:dyDescent="0.25">
      <c r="B104" s="9">
        <v>95</v>
      </c>
      <c r="C104" s="10" t="s">
        <v>22</v>
      </c>
      <c r="D104" s="11"/>
      <c r="E104" s="11"/>
      <c r="F104" s="12" t="s">
        <v>313</v>
      </c>
      <c r="G104" s="12" t="s">
        <v>11</v>
      </c>
      <c r="H104" s="13" t="s">
        <v>314</v>
      </c>
      <c r="I104" s="12"/>
      <c r="J104" s="12"/>
      <c r="K104" s="12"/>
      <c r="L104" s="12"/>
      <c r="M104" s="12"/>
      <c r="N104" s="14" t="s">
        <v>315</v>
      </c>
    </row>
    <row r="105" spans="2:14" x14ac:dyDescent="0.25">
      <c r="B105" s="9">
        <v>96</v>
      </c>
      <c r="C105" s="15" t="s">
        <v>34</v>
      </c>
      <c r="D105" s="11"/>
      <c r="E105" s="12" t="s">
        <v>35</v>
      </c>
      <c r="F105" s="12" t="s">
        <v>316</v>
      </c>
      <c r="G105" s="12" t="s">
        <v>317</v>
      </c>
      <c r="H105" s="13" t="s">
        <v>318</v>
      </c>
      <c r="I105" s="12"/>
      <c r="J105" s="12"/>
      <c r="K105" s="12"/>
      <c r="L105" s="12"/>
      <c r="M105" s="12"/>
      <c r="N105" s="14" t="s">
        <v>319</v>
      </c>
    </row>
    <row r="106" spans="2:14" x14ac:dyDescent="0.25">
      <c r="B106" s="9">
        <v>97</v>
      </c>
      <c r="C106" s="15" t="s">
        <v>34</v>
      </c>
      <c r="D106" s="11" t="s">
        <v>320</v>
      </c>
      <c r="E106" s="11" t="s">
        <v>112</v>
      </c>
      <c r="F106" s="12" t="s">
        <v>113</v>
      </c>
      <c r="G106" s="12" t="s">
        <v>11</v>
      </c>
      <c r="H106" s="13" t="s">
        <v>321</v>
      </c>
      <c r="I106" s="12"/>
      <c r="J106" s="12"/>
      <c r="K106" s="12"/>
      <c r="L106" s="12"/>
      <c r="M106" s="12"/>
      <c r="N106" s="14" t="s">
        <v>322</v>
      </c>
    </row>
    <row r="107" spans="2:14" x14ac:dyDescent="0.25">
      <c r="B107" s="9">
        <v>98</v>
      </c>
      <c r="C107" s="10" t="s">
        <v>22</v>
      </c>
      <c r="D107" s="11"/>
      <c r="E107" s="11"/>
      <c r="F107" s="12" t="s">
        <v>323</v>
      </c>
      <c r="G107" s="12" t="s">
        <v>11</v>
      </c>
      <c r="H107" s="13" t="s">
        <v>324</v>
      </c>
      <c r="I107" s="12"/>
      <c r="J107" s="12"/>
      <c r="K107" s="12"/>
      <c r="L107" s="12"/>
      <c r="M107" s="12"/>
      <c r="N107" s="14" t="s">
        <v>325</v>
      </c>
    </row>
    <row r="108" spans="2:14" x14ac:dyDescent="0.25">
      <c r="B108" s="9">
        <v>99</v>
      </c>
      <c r="C108" s="16" t="s">
        <v>46</v>
      </c>
      <c r="D108" s="11"/>
      <c r="E108" s="11"/>
      <c r="F108" s="12" t="s">
        <v>326</v>
      </c>
      <c r="G108" s="12" t="s">
        <v>11</v>
      </c>
      <c r="H108" s="13" t="s">
        <v>327</v>
      </c>
      <c r="I108" s="12"/>
      <c r="J108" s="12"/>
      <c r="K108" s="12"/>
      <c r="L108" s="12"/>
      <c r="M108" s="12"/>
      <c r="N108" s="14" t="s">
        <v>328</v>
      </c>
    </row>
    <row r="109" spans="2:14" x14ac:dyDescent="0.25">
      <c r="B109" s="9">
        <v>100</v>
      </c>
      <c r="C109" s="15" t="s">
        <v>34</v>
      </c>
      <c r="D109" s="11"/>
      <c r="E109" s="11" t="s">
        <v>329</v>
      </c>
      <c r="F109" s="11" t="s">
        <v>330</v>
      </c>
      <c r="G109" s="12" t="s">
        <v>331</v>
      </c>
      <c r="H109" s="13" t="s">
        <v>332</v>
      </c>
      <c r="I109" s="12"/>
      <c r="J109" s="12"/>
      <c r="K109" s="12"/>
      <c r="L109" s="12"/>
      <c r="M109" s="12"/>
      <c r="N109" s="14" t="s">
        <v>333</v>
      </c>
    </row>
    <row r="110" spans="2:14" x14ac:dyDescent="0.25">
      <c r="B110" s="9">
        <v>101</v>
      </c>
      <c r="C110" s="10" t="s">
        <v>22</v>
      </c>
      <c r="D110" s="11"/>
      <c r="E110" s="11"/>
      <c r="F110" s="11"/>
      <c r="G110" s="12" t="s">
        <v>334</v>
      </c>
      <c r="H110" s="13" t="s">
        <v>335</v>
      </c>
      <c r="I110" s="12"/>
      <c r="J110" s="12"/>
      <c r="K110" s="12"/>
      <c r="L110" s="12"/>
      <c r="M110" s="12"/>
      <c r="N110" s="14" t="s">
        <v>336</v>
      </c>
    </row>
    <row r="111" spans="2:14" x14ac:dyDescent="0.25">
      <c r="B111" s="9">
        <v>102</v>
      </c>
      <c r="C111" s="10" t="s">
        <v>22</v>
      </c>
      <c r="D111" s="11"/>
      <c r="E111" s="11"/>
      <c r="F111" s="11"/>
      <c r="G111" s="12" t="s">
        <v>337</v>
      </c>
      <c r="H111" s="13" t="s">
        <v>338</v>
      </c>
      <c r="I111" s="12"/>
      <c r="J111" s="12"/>
      <c r="K111" s="12"/>
      <c r="L111" s="12"/>
      <c r="M111" s="12"/>
      <c r="N111" s="14" t="s">
        <v>339</v>
      </c>
    </row>
    <row r="112" spans="2:14" x14ac:dyDescent="0.25">
      <c r="B112" s="9">
        <v>103</v>
      </c>
      <c r="C112" s="16" t="s">
        <v>46</v>
      </c>
      <c r="D112" s="11"/>
      <c r="E112" s="11"/>
      <c r="F112" s="12" t="s">
        <v>340</v>
      </c>
      <c r="G112" s="12" t="s">
        <v>11</v>
      </c>
      <c r="H112" s="13" t="s">
        <v>341</v>
      </c>
      <c r="I112" s="12"/>
      <c r="J112" s="12"/>
      <c r="K112" s="12"/>
      <c r="L112" s="12"/>
      <c r="M112" s="12"/>
      <c r="N112" s="14" t="s">
        <v>342</v>
      </c>
    </row>
    <row r="113" spans="2:14" x14ac:dyDescent="0.25">
      <c r="B113" s="9">
        <v>104</v>
      </c>
      <c r="C113" s="15" t="s">
        <v>34</v>
      </c>
      <c r="D113" s="11"/>
      <c r="E113" s="11" t="s">
        <v>343</v>
      </c>
      <c r="F113" s="12" t="s">
        <v>344</v>
      </c>
      <c r="G113" s="12" t="s">
        <v>11</v>
      </c>
      <c r="H113" s="13" t="s">
        <v>345</v>
      </c>
      <c r="I113" s="12"/>
      <c r="J113" s="12"/>
      <c r="K113" s="12"/>
      <c r="L113" s="12"/>
      <c r="M113" s="12"/>
      <c r="N113" s="14" t="s">
        <v>346</v>
      </c>
    </row>
    <row r="114" spans="2:14" x14ac:dyDescent="0.25">
      <c r="B114" s="9">
        <v>105</v>
      </c>
      <c r="C114" s="16" t="s">
        <v>46</v>
      </c>
      <c r="D114" s="11"/>
      <c r="E114" s="11"/>
      <c r="F114" s="12" t="s">
        <v>347</v>
      </c>
      <c r="G114" s="12" t="s">
        <v>11</v>
      </c>
      <c r="H114" s="13" t="s">
        <v>348</v>
      </c>
      <c r="I114" s="12"/>
      <c r="J114" s="12"/>
      <c r="K114" s="12"/>
      <c r="L114" s="12"/>
      <c r="M114" s="12"/>
      <c r="N114" s="14" t="s">
        <v>349</v>
      </c>
    </row>
    <row r="115" spans="2:14" x14ac:dyDescent="0.25">
      <c r="B115" s="9">
        <v>106</v>
      </c>
      <c r="C115" s="10" t="s">
        <v>22</v>
      </c>
      <c r="D115" s="11"/>
      <c r="E115" s="11" t="s">
        <v>200</v>
      </c>
      <c r="F115" s="12" t="s">
        <v>350</v>
      </c>
      <c r="G115" s="12" t="s">
        <v>11</v>
      </c>
      <c r="H115" s="13" t="s">
        <v>351</v>
      </c>
      <c r="I115" s="12"/>
      <c r="J115" s="12"/>
      <c r="K115" s="12"/>
      <c r="L115" s="12"/>
      <c r="M115" s="12"/>
      <c r="N115" s="14" t="s">
        <v>352</v>
      </c>
    </row>
    <row r="116" spans="2:14" x14ac:dyDescent="0.25">
      <c r="B116" s="9">
        <v>107</v>
      </c>
      <c r="C116" s="10" t="s">
        <v>22</v>
      </c>
      <c r="D116" s="11"/>
      <c r="E116" s="11"/>
      <c r="F116" s="12" t="s">
        <v>353</v>
      </c>
      <c r="G116" s="12" t="s">
        <v>11</v>
      </c>
      <c r="H116" s="13" t="s">
        <v>354</v>
      </c>
      <c r="I116" s="12"/>
      <c r="J116" s="12"/>
      <c r="K116" s="12"/>
      <c r="L116" s="12"/>
      <c r="M116" s="12"/>
      <c r="N116" s="14" t="s">
        <v>355</v>
      </c>
    </row>
    <row r="117" spans="2:14" x14ac:dyDescent="0.25">
      <c r="B117" s="9">
        <v>108</v>
      </c>
      <c r="C117" s="10" t="s">
        <v>22</v>
      </c>
      <c r="D117" s="11"/>
      <c r="E117" s="11"/>
      <c r="F117" s="12" t="s">
        <v>356</v>
      </c>
      <c r="G117" s="12" t="s">
        <v>11</v>
      </c>
      <c r="H117" s="13" t="s">
        <v>357</v>
      </c>
      <c r="I117" s="12"/>
      <c r="J117" s="12"/>
      <c r="K117" s="12"/>
      <c r="L117" s="12"/>
      <c r="M117" s="12"/>
      <c r="N117" s="14" t="s">
        <v>358</v>
      </c>
    </row>
    <row r="118" spans="2:14" x14ac:dyDescent="0.25">
      <c r="B118" s="9">
        <v>109</v>
      </c>
      <c r="C118" s="15" t="s">
        <v>34</v>
      </c>
      <c r="D118" s="11"/>
      <c r="E118" s="11" t="s">
        <v>163</v>
      </c>
      <c r="F118" s="12" t="s">
        <v>359</v>
      </c>
      <c r="G118" s="12" t="s">
        <v>11</v>
      </c>
      <c r="H118" s="13" t="s">
        <v>360</v>
      </c>
      <c r="I118" s="12"/>
      <c r="J118" s="12"/>
      <c r="K118" s="12"/>
      <c r="L118" s="12"/>
      <c r="M118" s="12"/>
      <c r="N118" s="14" t="s">
        <v>361</v>
      </c>
    </row>
    <row r="119" spans="2:14" x14ac:dyDescent="0.25">
      <c r="B119" s="9">
        <v>110</v>
      </c>
      <c r="C119" s="15" t="s">
        <v>34</v>
      </c>
      <c r="D119" s="11"/>
      <c r="E119" s="11"/>
      <c r="F119" s="12" t="s">
        <v>362</v>
      </c>
      <c r="G119" s="12" t="s">
        <v>11</v>
      </c>
      <c r="H119" s="13" t="s">
        <v>363</v>
      </c>
      <c r="I119" s="12"/>
      <c r="J119" s="12"/>
      <c r="K119" s="12"/>
      <c r="L119" s="12"/>
      <c r="M119" s="12"/>
      <c r="N119" s="14" t="s">
        <v>364</v>
      </c>
    </row>
    <row r="120" spans="2:14" x14ac:dyDescent="0.25">
      <c r="B120" s="9">
        <v>111</v>
      </c>
      <c r="C120" s="10" t="s">
        <v>22</v>
      </c>
      <c r="D120" s="11"/>
      <c r="E120" s="11" t="s">
        <v>329</v>
      </c>
      <c r="F120" s="12" t="s">
        <v>365</v>
      </c>
      <c r="G120" s="12" t="s">
        <v>11</v>
      </c>
      <c r="H120" s="13" t="s">
        <v>366</v>
      </c>
      <c r="I120" s="12"/>
      <c r="J120" s="12"/>
      <c r="K120" s="12"/>
      <c r="L120" s="12"/>
      <c r="M120" s="12"/>
      <c r="N120" s="14" t="s">
        <v>367</v>
      </c>
    </row>
    <row r="121" spans="2:14" x14ac:dyDescent="0.25">
      <c r="B121" s="9">
        <v>112</v>
      </c>
      <c r="C121" s="10" t="s">
        <v>22</v>
      </c>
      <c r="D121" s="11"/>
      <c r="E121" s="11"/>
      <c r="F121" s="12" t="s">
        <v>368</v>
      </c>
      <c r="G121" s="12" t="s">
        <v>11</v>
      </c>
      <c r="H121" s="13" t="s">
        <v>369</v>
      </c>
      <c r="I121" s="12"/>
      <c r="J121" s="12"/>
      <c r="K121" s="12"/>
      <c r="L121" s="12"/>
      <c r="M121" s="12"/>
      <c r="N121" s="14" t="s">
        <v>370</v>
      </c>
    </row>
    <row r="122" spans="2:14" x14ac:dyDescent="0.25">
      <c r="B122" s="9">
        <v>113</v>
      </c>
      <c r="C122" s="10" t="s">
        <v>22</v>
      </c>
      <c r="D122" s="11"/>
      <c r="E122" s="12" t="s">
        <v>343</v>
      </c>
      <c r="F122" s="12" t="s">
        <v>371</v>
      </c>
      <c r="G122" s="12" t="s">
        <v>11</v>
      </c>
      <c r="H122" s="13" t="s">
        <v>372</v>
      </c>
      <c r="I122" s="12"/>
      <c r="J122" s="12"/>
      <c r="K122" s="12"/>
      <c r="L122" s="12"/>
      <c r="M122" s="12"/>
      <c r="N122" s="14" t="s">
        <v>373</v>
      </c>
    </row>
    <row r="123" spans="2:14" x14ac:dyDescent="0.25">
      <c r="B123" s="9">
        <v>114</v>
      </c>
      <c r="C123" s="16" t="s">
        <v>46</v>
      </c>
      <c r="D123" s="11" t="s">
        <v>374</v>
      </c>
      <c r="E123" s="11" t="s">
        <v>375</v>
      </c>
      <c r="F123" s="12" t="s">
        <v>376</v>
      </c>
      <c r="G123" s="12" t="s">
        <v>11</v>
      </c>
      <c r="H123" s="13" t="s">
        <v>377</v>
      </c>
      <c r="I123" s="12"/>
      <c r="J123" s="12"/>
      <c r="K123" s="12"/>
      <c r="L123" s="12"/>
      <c r="M123" s="12"/>
      <c r="N123" s="14" t="s">
        <v>378</v>
      </c>
    </row>
    <row r="124" spans="2:14" x14ac:dyDescent="0.25">
      <c r="B124" s="9">
        <v>115</v>
      </c>
      <c r="C124" s="10" t="s">
        <v>22</v>
      </c>
      <c r="D124" s="11"/>
      <c r="E124" s="11"/>
      <c r="F124" s="12" t="s">
        <v>379</v>
      </c>
      <c r="G124" s="12" t="s">
        <v>11</v>
      </c>
      <c r="H124" s="13" t="s">
        <v>380</v>
      </c>
      <c r="I124" s="12"/>
      <c r="J124" s="12"/>
      <c r="K124" s="12"/>
      <c r="L124" s="12"/>
      <c r="M124" s="12"/>
      <c r="N124" s="14" t="s">
        <v>381</v>
      </c>
    </row>
    <row r="125" spans="2:14" x14ac:dyDescent="0.25">
      <c r="B125" s="9">
        <v>116</v>
      </c>
      <c r="C125" s="10" t="s">
        <v>22</v>
      </c>
      <c r="D125" s="11"/>
      <c r="E125" s="11"/>
      <c r="F125" s="12" t="s">
        <v>382</v>
      </c>
      <c r="G125" s="12" t="s">
        <v>11</v>
      </c>
      <c r="H125" s="13" t="s">
        <v>383</v>
      </c>
      <c r="I125" s="12"/>
      <c r="J125" s="12"/>
      <c r="K125" s="12"/>
      <c r="L125" s="12"/>
      <c r="M125" s="12"/>
      <c r="N125" s="14" t="s">
        <v>384</v>
      </c>
    </row>
    <row r="126" spans="2:14" x14ac:dyDescent="0.25">
      <c r="B126" s="9">
        <v>117</v>
      </c>
      <c r="C126" s="16" t="s">
        <v>46</v>
      </c>
      <c r="D126" s="11"/>
      <c r="E126" s="12" t="s">
        <v>385</v>
      </c>
      <c r="F126" s="12" t="s">
        <v>11</v>
      </c>
      <c r="G126" s="12" t="s">
        <v>11</v>
      </c>
      <c r="H126" s="13" t="s">
        <v>386</v>
      </c>
      <c r="I126" s="12"/>
      <c r="J126" s="12"/>
      <c r="K126" s="12"/>
      <c r="L126" s="12"/>
      <c r="M126" s="12"/>
      <c r="N126" s="14" t="s">
        <v>387</v>
      </c>
    </row>
    <row r="127" spans="2:14" x14ac:dyDescent="0.25">
      <c r="B127" s="9">
        <v>118</v>
      </c>
      <c r="C127" s="16" t="s">
        <v>46</v>
      </c>
      <c r="D127" s="11"/>
      <c r="E127" s="11" t="s">
        <v>246</v>
      </c>
      <c r="F127" s="12" t="s">
        <v>388</v>
      </c>
      <c r="G127" s="12" t="s">
        <v>11</v>
      </c>
      <c r="H127" s="13" t="s">
        <v>389</v>
      </c>
      <c r="I127" s="12"/>
      <c r="J127" s="12"/>
      <c r="K127" s="12"/>
      <c r="L127" s="12"/>
      <c r="M127" s="12"/>
      <c r="N127" s="14" t="s">
        <v>390</v>
      </c>
    </row>
    <row r="128" spans="2:14" x14ac:dyDescent="0.25">
      <c r="B128" s="9">
        <v>119</v>
      </c>
      <c r="C128" s="16" t="s">
        <v>46</v>
      </c>
      <c r="D128" s="11"/>
      <c r="E128" s="11"/>
      <c r="F128" s="12" t="s">
        <v>391</v>
      </c>
      <c r="G128" s="12" t="s">
        <v>11</v>
      </c>
      <c r="H128" s="13" t="s">
        <v>392</v>
      </c>
      <c r="I128" s="12"/>
      <c r="J128" s="12"/>
      <c r="K128" s="12"/>
      <c r="L128" s="12"/>
      <c r="M128" s="12"/>
      <c r="N128" s="14" t="s">
        <v>390</v>
      </c>
    </row>
    <row r="129" spans="2:14" x14ac:dyDescent="0.25">
      <c r="B129" s="9">
        <v>120</v>
      </c>
      <c r="C129" s="10" t="s">
        <v>22</v>
      </c>
      <c r="D129" s="11"/>
      <c r="E129" s="12" t="s">
        <v>393</v>
      </c>
      <c r="F129" s="12" t="s">
        <v>11</v>
      </c>
      <c r="G129" s="12" t="s">
        <v>11</v>
      </c>
      <c r="H129" s="13" t="s">
        <v>394</v>
      </c>
      <c r="I129" s="12"/>
      <c r="J129" s="12"/>
      <c r="K129" s="12"/>
      <c r="L129" s="12"/>
      <c r="M129" s="12"/>
      <c r="N129" s="14" t="s">
        <v>395</v>
      </c>
    </row>
  </sheetData>
  <mergeCells count="45">
    <mergeCell ref="D10:D24"/>
    <mergeCell ref="E10:E12"/>
    <mergeCell ref="E13:E22"/>
    <mergeCell ref="F13:F16"/>
    <mergeCell ref="F17:F22"/>
    <mergeCell ref="E23:E24"/>
    <mergeCell ref="D25:D34"/>
    <mergeCell ref="E25:E26"/>
    <mergeCell ref="E27:E34"/>
    <mergeCell ref="D35:D72"/>
    <mergeCell ref="E35:E37"/>
    <mergeCell ref="E38:E40"/>
    <mergeCell ref="E41:E43"/>
    <mergeCell ref="E44:E48"/>
    <mergeCell ref="F45:F46"/>
    <mergeCell ref="E49:E54"/>
    <mergeCell ref="F52:F53"/>
    <mergeCell ref="E55:E57"/>
    <mergeCell ref="E58:E64"/>
    <mergeCell ref="F61:F62"/>
    <mergeCell ref="E66:E72"/>
    <mergeCell ref="F66:F69"/>
    <mergeCell ref="D73:D82"/>
    <mergeCell ref="E73:E74"/>
    <mergeCell ref="E76:E77"/>
    <mergeCell ref="E78:E82"/>
    <mergeCell ref="D83:D102"/>
    <mergeCell ref="E83:E85"/>
    <mergeCell ref="E86:E90"/>
    <mergeCell ref="E91:E97"/>
    <mergeCell ref="E98:E100"/>
    <mergeCell ref="E101:E102"/>
    <mergeCell ref="D103:D105"/>
    <mergeCell ref="E103:E104"/>
    <mergeCell ref="D106:D122"/>
    <mergeCell ref="E106:E108"/>
    <mergeCell ref="E109:E112"/>
    <mergeCell ref="F109:F111"/>
    <mergeCell ref="E113:E114"/>
    <mergeCell ref="E115:E117"/>
    <mergeCell ref="E118:E119"/>
    <mergeCell ref="E120:E121"/>
    <mergeCell ref="D123:D129"/>
    <mergeCell ref="E123:E125"/>
    <mergeCell ref="E127:E128"/>
  </mergeCells>
  <dataValidations count="1">
    <dataValidation type="list" allowBlank="1" showErrorMessage="1" errorTitle="잘못된 값" error="Pass, Fail, N/T, Block 중 하나를 선택하세요." sqref="I10:J129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소롱포맛쿠키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2026-05-13T08:23:33Z</dcterms:created>
  <dcterms:modified xsi:type="dcterms:W3CDTF">2026-05-13T08:23:33Z</dcterms:modified>
</cp:coreProperties>
</file>