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레이드모드 개선(3차) - 프롬프트 카테고리 세분화 수정" state="visible" r:id="rId4"/>
  </sheets>
  <calcPr calcId="171027"/>
</workbook>
</file>

<file path=xl/sharedStrings.xml><?xml version="1.0" encoding="utf-8"?>
<sst xmlns="http://schemas.openxmlformats.org/spreadsheetml/2006/main" count="543" uniqueCount="345">
  <si>
    <t xml:space="preserve">(C)레이드모드 개선(3차) - 프롬프트 카테고리 세분화 수정 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</si>
  <si>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</si>
  <si>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</si>
  <si>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</si>
  <si>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</si>
  <si>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</si>
  <si>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</si>
  <si>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</si>
  <si>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</si>
  <si>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</si>
  <si>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</si>
  <si>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</si>
  <si>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</si>
  <si>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</si>
  <si>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</si>
  <si>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</si>
  <si>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</si>
  <si>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</si>
  <si>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</si>
  <si>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</si>
  <si>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</si>
  <si>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</si>
  <si>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</si>
  <si>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탑 레벨</t>
  </si>
  <si>
    <t>좌측 모드 탭</t>
  </si>
  <si>
    <t>탭 구성</t>
  </si>
  <si>
    <t>탭 출력</t>
  </si>
  <si>
    <t>탑 레벨 화면 진입 시, 좌측에 탑 레벨/성장/도전 3종 탭이 출력된다.</t>
  </si>
  <si>
    <t>참고 화면: 탑레벨 UI 변경 - 7-2 탑레벨 메인 UI</t>
  </si>
  <si>
    <t>활성 표시 전환</t>
  </si>
  <si>
    <t>좌측 탭 중 특정 탭 선택 시, 선택한 탭이 활성 상태(노란색 강조)로 표시된다.</t>
  </si>
  <si>
    <t>모드 카드 리스트</t>
  </si>
  <si>
    <t>카드 정보</t>
  </si>
  <si>
    <t>카드 출력</t>
  </si>
  <si>
    <t>성장 탭 선택 시, 성장 던전/레이드 모드/탑의 균열/어비스 던전 4종 모드 카드가 세로로 출력된다.</t>
  </si>
  <si>
    <t>진행도 표시</t>
  </si>
  <si>
    <t>각 모드 카드에 현재 진행도가 표시된다. (성장 던전 300/300, 레이드 모드 5/5, 탑의 균열 2/2, 어비스 던전 1/1)</t>
  </si>
  <si>
    <t>Normal</t>
  </si>
  <si>
    <t>추천 속성 표시</t>
  </si>
  <si>
    <t>탑의 균열/어비스 던전 카드에 현재 추천 속성 아이콘이 표시된다.</t>
  </si>
  <si>
    <t>참고 화면: 진입경로 - 2-1 변경된 진입 UI</t>
  </si>
  <si>
    <t>레이드 모드 카드 영역</t>
  </si>
  <si>
    <t>보스 카드</t>
  </si>
  <si>
    <t>6종 보스 카드 출력</t>
  </si>
  <si>
    <t>레이드 모드 카드 영역에 6종의 보스 카드가 출력된다.</t>
  </si>
  <si>
    <t>참고 화면: 탑레벨 UI 변경 - 7-3 보스 카드 행</t>
  </si>
  <si>
    <t>보스 썸네일 표시</t>
  </si>
  <si>
    <t>각 보스 카드 좌측에 보스 미니 일러스트(썸네일)가 표시된다.</t>
  </si>
  <si>
    <t>드랍 장비 아이콘 표시</t>
  </si>
  <si>
    <t>각 보스 카드 중앙에 보스별 드랍 장비 슬롯이 등급별 컬러 테두리와 함께 표시된다.</t>
  </si>
  <si>
    <t>추천 속성 아이콘 표시</t>
  </si>
  <si>
    <t>각 보스 카드에 보스별 추천 속성 아이콘이 표시된다.</t>
  </si>
  <si>
    <t>잠금/해금 상태 표시</t>
  </si>
  <si>
    <t>보스 카드 잠금/해금 상태에 따라 자물쇠 또는 해금 아이콘이 표시된다.</t>
  </si>
  <si>
    <t>Critical</t>
  </si>
  <si>
    <t>진입 동작</t>
  </si>
  <si>
    <t>진입 화살표 터치</t>
  </si>
  <si>
    <t>보스 카드 우측의 주황색 진입 화살표 버튼 터치 시, 해당 보스의 레이드 로비 화면으로 이동된다.</t>
  </si>
  <si>
    <t>잠금 보스 진입 차단</t>
  </si>
  <si>
    <t>잠금 상태의 보스 카드 진입 화살표 터치 시, 진입이 차단되고 안내 토스트가 출력된다.</t>
  </si>
  <si>
    <t>레이드 로비</t>
  </si>
  <si>
    <t>모드 전환 토글</t>
  </si>
  <si>
    <t>싱글/멀티 토글</t>
  </si>
  <si>
    <t>Default 진입</t>
  </si>
  <si>
    <t>레이드 로비 최초 진입 시, 모드 전환 토글이 싱글 모드로 기본 활성화된 상태로 표시된다.</t>
  </si>
  <si>
    <t>참고 화면: 레이드 로비 - Description 1) 싱글/멀티 전환 토글</t>
  </si>
  <si>
    <t>토글 전환</t>
  </si>
  <si>
    <t>상단 모드 전환 토글 터치 시, 싱글 모드와 멀티 모드 간 전환된다.</t>
  </si>
  <si>
    <t>화면 변환</t>
  </si>
  <si>
    <t>활성화된 모드를 기준으로 레이드 로비 진입 시, 해당 모드의 화면으로 변환되어 표시된다.</t>
  </si>
  <si>
    <t>멀티 모드 인원</t>
  </si>
  <si>
    <t>2인 매칭 적용</t>
  </si>
  <si>
    <t>멀티 모드 진입 시, 어비스 던전과 동일한 2인 멀티 플레이 매칭이 적용된다.</t>
  </si>
  <si>
    <t>참고 화면: 레이드 로비 - 인게임 모드 추가 변동 요소</t>
  </si>
  <si>
    <t>보스 선택 그리드</t>
  </si>
  <si>
    <t>6종 보스 카드</t>
  </si>
  <si>
    <t>보스 그리드 출력</t>
  </si>
  <si>
    <t>레이드 로비 화면 중앙에 6종 보스 카드가 3x2 그리드 형태로 출력된다.</t>
  </si>
  <si>
    <t>참고 화면: 레이드 로비 - 3-1 보스 선택 화면</t>
  </si>
  <si>
    <t>보스 정보 표시</t>
  </si>
  <si>
    <t>각 보스 카드에 보스 포트레이트, 보스 이름, 등장 스테이지 배경 이미지가 표시된다.</t>
  </si>
  <si>
    <t>참고 화면: 레이드 로비 - Description 2) 등장 보스 정보 표시</t>
  </si>
  <si>
    <t>잠금/해금 표시</t>
  </si>
  <si>
    <t>각 보스 카드 하단에 해당 보스의 잠금/해금 및 속성 표시가 노출된다.</t>
  </si>
  <si>
    <t>인기 태그 출력</t>
  </si>
  <si>
    <t>데이터 테이블 조건 충족 시, 해당 보스 카드에 "인기" 태그가 노출된다.</t>
  </si>
  <si>
    <t>보스 정보 영역</t>
  </si>
  <si>
    <t>보스 상세</t>
  </si>
  <si>
    <t>드랍 보상 정보 표시</t>
  </si>
  <si>
    <t>보스 정보 영역에 최대 3종의 슈퍼레어 보상 세트 정보가 표시된다.</t>
  </si>
  <si>
    <t>장비 툴팁 출력</t>
  </si>
  <si>
    <t>드랍 보상 장비 이미지 터치 시, 세부 정보를 표시하는 툴팁이 출력된다.</t>
  </si>
  <si>
    <t>보스 sub_description 표시</t>
  </si>
  <si>
    <t>보스 정보 영역에 enemy_groups의 name과 boss_sub_description 정보가 표시된다.</t>
  </si>
  <si>
    <t>참고 화면: 레이드 로비 - Description 3) 보스 정보 표시 영역</t>
  </si>
  <si>
    <t>난이도 변경</t>
  </si>
  <si>
    <t>난이도 변경 버튼</t>
  </si>
  <si>
    <t>현재 난이도 표시</t>
  </si>
  <si>
    <t>난이도 변경 버튼에 현재 선택된 난이도 단계 정보가 표시된다.</t>
  </si>
  <si>
    <t>참고 화면: 레이드 로비 - Description 4) 난이도 변경 관련 표시 영역</t>
  </si>
  <si>
    <t>변경 팝업 출력</t>
  </si>
  <si>
    <t>난이도 변경 버튼 터치 시, 보스/난이도 변경 팝업이 출력된다.</t>
  </si>
  <si>
    <t>참고 화면: 레이드 로비 - 3-3 레이드 진입 팝업</t>
  </si>
  <si>
    <t>난이도 변경 팝업</t>
  </si>
  <si>
    <t>단계 리스트 표시</t>
  </si>
  <si>
    <t>난이도 변경 팝업의 사이드바에 1~6단계 난이도 리스트가 표시된다.</t>
  </si>
  <si>
    <t>단계별 입장료 표시</t>
  </si>
  <si>
    <t>각 단계 슬롯에 입장료/진입권 정보가 표시된다.</t>
  </si>
  <si>
    <t>단계별 체력 정보 표시</t>
  </si>
  <si>
    <t>각 단계 슬롯에 보스 체력 정보가 표시된다.</t>
  </si>
  <si>
    <t>단계 선택</t>
  </si>
  <si>
    <t>팝업 내 단계 슬롯 터치 시, 선택한 단계로 도전 정보가 변경된다.</t>
  </si>
  <si>
    <t>참고 화면: 레이드 로비 - Description 4) 난이도 변경</t>
  </si>
  <si>
    <t>확인 동작</t>
  </si>
  <si>
    <t>단계 선택 후 확인 버튼 터치 시, 변경 팝업이 닫히고 변경된 난이도 정보가 로비에 반영된다.</t>
  </si>
  <si>
    <t>취소 동작</t>
  </si>
  <si>
    <t>난이도 변경 팝업의 취소 버튼 터치 시, 변경 사항이 적용되지 않고 팝업이 닫힌다.</t>
  </si>
  <si>
    <t>단계 해금 규칙</t>
  </si>
  <si>
    <t>클리어 단계 해금</t>
  </si>
  <si>
    <t>다음 단계 해금</t>
  </si>
  <si>
    <t>특정 단계 클리어 시, 다음 단계가 해금되어 도전 가능한 상태로 표시된다.</t>
  </si>
  <si>
    <t>참고 화면: 레이드 로비 - 3-4 단계 해금 조건</t>
  </si>
  <si>
    <t>보스별 단계 해금 공유</t>
  </si>
  <si>
    <t>한 보스에서 특정 단계 클리어 시, 다른 보스의 동일 단계도 해금된다.</t>
  </si>
  <si>
    <t>잠금 단계 토스트</t>
  </si>
  <si>
    <t>잠금 단계 클릭 토스트</t>
  </si>
  <si>
    <t>잠금 상태의 난이도 단계 슬롯 터치 시, "사용 가능하지 않습니다" 안내 토스트가 출력된다.</t>
  </si>
  <si>
    <t>참고 화면: 레이드 로비 - 조건 분기 (1)</t>
  </si>
  <si>
    <t>이전 단계 미클리어 토스트</t>
  </si>
  <si>
    <t>이전 단계를 클리어하지 않은 상태에서 다음 단계 슬롯 터치 시, "이전 난이도를 클리어해야 도전 가능" 안내 토스트가 출력된다.</t>
  </si>
  <si>
    <t>참고 화면: 레이드 로비 - 조건 분기 (2)</t>
  </si>
  <si>
    <t>다음 단계 없음 토스트</t>
  </si>
  <si>
    <t>최고 난이도 이후 다음 단계 진입 시도 시, "다음 난이도가 존재하지 않습니다" 안내 토스트가 출력된다.</t>
  </si>
  <si>
    <t>참고 화면: 레이드 로비 - 조건 분기 (3)</t>
  </si>
  <si>
    <t>스테이지 정보 표시</t>
  </si>
  <si>
    <t>스테이지 정보 영역에 해당 난이도의 추천 속성이 표시된다.</t>
  </si>
  <si>
    <t>참고 화면: 레이드 로비 - Description 5) 스���이지 인게임 정보</t>
  </si>
  <si>
    <t>처치 조건 표시</t>
  </si>
  <si>
    <t>스테이지 정보 영역에 해당 난이도의 처치 조건이 표시된다.</t>
  </si>
  <si>
    <t>참고 화면: 레이드 로비 - Description 5) 스테이지 인게임 정보</t>
  </si>
  <si>
    <t>입장 자원 부족 시 차단</t>
  </si>
  <si>
    <t>입장 자원이 부족한 경우, 해당 난이도 입장이 차단된다.</t>
  </si>
  <si>
    <t>빠른 난이도 변경</t>
  </si>
  <si>
    <t>빠른 변경 버튼</t>
  </si>
  <si>
    <t>버튼 터치 시 난이도 변경</t>
  </si>
  <si>
    <t>빠른 난이도 변경 버튼 터치 시, 해당 단계의 보스로 도전이 변경된다.</t>
  </si>
  <si>
    <t>참고 화면: 레이드 로비 - Description 6) 빠른 난이도 변경 버튼</t>
  </si>
  <si>
    <t>토글 OFF 토스트</t>
  </si>
  <si>
    <t>빠른 난이도 변경 버튼이 비활성화 상태로 터치 시, 토스트 메시지가 출력된다.</t>
  </si>
  <si>
    <t>보상 정보 영역</t>
  </si>
  <si>
    <t>보상 표시</t>
  </si>
  <si>
    <t>보상 정보 노출</t>
  </si>
  <si>
    <t>레이드 로비 우측 보상 정보 영역에 해당 보스 + 난이도의 보상 정보가 표시된다.</t>
  </si>
  <si>
    <t>참고 화면: 레이드 로비 - 보상 정보 영역</t>
  </si>
  <si>
    <t>보상 미리보기</t>
  </si>
  <si>
    <t>보상 팝업 출력</t>
  </si>
  <si>
    <t>보상 정보 영역 터치 시, 보상 상세 정보 팝업이 출력된다.</t>
  </si>
  <si>
    <t>참고 화면: 레이드 로비 - 03-A 보상 상세 정보 팝업</t>
  </si>
  <si>
    <t>기본 보상 표시</t>
  </si>
  <si>
    <t>보상 미리보기 팝업에 해당 난이도의 클리어 기본 보상 정보가 표시된다.</t>
  </si>
  <si>
    <t>별 보상 표시</t>
  </si>
  <si>
    <t>보상 미리보기 팝업에 해당 난이도의 클리어 별 보상 정보가 표시된다.</t>
  </si>
  <si>
    <t>보스 변경 동작</t>
  </si>
  <si>
    <t>보상 미리보기 팝업의 좌/우 버튼 터치 시, 표시된 보스가 변경되어 해당 보스의 보상 정보로 갱신된다.</t>
  </si>
  <si>
    <t>난이도 변경 동작</t>
  </si>
  <si>
    <t>보상 미리보기 팝업의 난이도 탭 터치 시, 해당 난이도의 보상 정보로 갱신된다.</t>
  </si>
  <si>
    <t>팝업 닫기</t>
  </si>
  <si>
    <t>보상 미리보기 팝업의 우측 상단 닫기(X) 버튼 터치 시, 팝업이 닫힌다.</t>
  </si>
  <si>
    <t>Play 버튼</t>
  </si>
  <si>
    <t>Play 동작</t>
  </si>
  <si>
    <t>전투 입장</t>
  </si>
  <si>
    <t>PLAY 버튼 터치 시, 입장료가 차감되고 레이드 전투 로딩 화면으로 진입된다.</t>
  </si>
  <si>
    <t>참고 화면: 레이드 로비 - Play 버튼 동작</t>
  </si>
  <si>
    <t>미클리어 시 토스트</t>
  </si>
  <si>
    <t>이전 난이도를 클리어하지 않은 상태에서 PLAY 버튼 터치 시, "이전 난이도를 클리어해야 도전 가능" 안내 토스트가 출력된다.</t>
  </si>
  <si>
    <t>참고 화면: 레이드 로비 - Play 버튼 동작 (1)</t>
  </si>
  <si>
    <t>재화 부족 시 차단</t>
  </si>
  <si>
    <t>입장료에 해당하는 재화가 부족한 상태에서 PLAY 버튼 터치 시, 입장이 차단된다.</t>
  </si>
  <si>
    <t>참고 화면: 레이드 로비 - Description 5) 입장 정보</t>
  </si>
  <si>
    <t>패스/티켓 설정</t>
  </si>
  <si>
    <t>티켓 설정 팝업</t>
  </si>
  <si>
    <t>팝업 출력</t>
  </si>
  <si>
    <t>패스 설정 버튼 터치 시, 티켓 개수 설정 팝업이 출력된다.</t>
  </si>
  <si>
    <t>참고 화면: 레이드 로비 - 패스(티켓) 구매/설정 팝업</t>
  </si>
  <si>
    <t>수량 + 조절</t>
  </si>
  <si>
    <t>티켓 설정 팝업의 + 버튼 터치 시, 티켓 사용 수량이 1씩 증가한다.</t>
  </si>
  <si>
    <t>수량 - 조절</t>
  </si>
  <si>
    <t>티켓 설정 팝업의 - 버튼 터치 시, 티켓 사용 수량이 1씩 감소한다.</t>
  </si>
  <si>
    <t>기본값 1 표시</t>
  </si>
  <si>
    <t>티켓 설정 팝업 최초 출력 시, 수량 입력 영역에 기본값 1이 표시된다.</t>
  </si>
  <si>
    <t>안내 문구 표시</t>
  </si>
  <si>
    <t>티켓 ��정 팝업 하단에 "티켓 1개당 1회씩 BUFF 횟수 1회 추가" 안내 문구가 표시된다.</t>
  </si>
  <si>
    <t>회차당 추가 제공 표시</t>
  </si>
  <si>
    <t>패스 구매 상태에서 티켓 설정 팝업 출력 시, "패스 구매 시, 회차마다 설정 가능값으로 추가 제공" 안내 문구가 표시된다.</t>
  </si>
  <si>
    <t>티켓 설정 팝업의 우측 상단 닫기(X) 버튼 터치 시, 팝업이 닫힌다.</t>
  </si>
  <si>
    <t>제거 항목</t>
  </si>
  <si>
    <t>코코방울 축복</t>
  </si>
  <si>
    <t>미표시 확인</t>
  </si>
  <si>
    <t>레이드 로비 화면에 코코방울의 축복 기능 UI가 표시되지 않는다.</t>
  </si>
  <si>
    <t>참고 화면: 레이드 로비 - 보스 선택 / Play 진입 화면 Description</t>
  </si>
  <si>
    <t>트로피 상자</t>
  </si>
  <si>
    <t>레이드 로비 화면에 트로피 상자 기능 UI가 표시되지 않는다.</t>
  </si>
  <si>
    <t>무지개 상자</t>
  </si>
  <si>
    <t>레이드 로비 화면에 무지개 상자 지급 이벤트 UI가 표시되지 않는다.</t>
  </si>
  <si>
    <t>닫기</t>
  </si>
  <si>
    <t>닫기 버튼</t>
  </si>
  <si>
    <t>화면 이탈</t>
  </si>
  <si>
    <t>레이드 로비 우측 상단 닫기(X) 버튼 터치 시, 로비를 이탈하고 상위 화면으로 복귀된다.</t>
  </si>
  <si>
    <t>참고 화면: 레이드 로비 - 화면 구성 요소</t>
  </si>
  <si>
    <t>레이드 클리어 결과창</t>
  </si>
  <si>
    <t>보스 처치 드랍 연출</t>
  </si>
  <si>
    <t>필드 드랍</t>
  </si>
  <si>
    <t>드랍 연출 재생</t>
  </si>
  <si>
    <t>보스 처치 시, 보스 자리에 약 3초간 보상이 필드에 드랍되는 연출이 재생된다.</t>
  </si>
  <si>
    <t>참고 화면: 4. 보스 처치 시 보상 드랍 연출</t>
  </si>
  <si>
    <t>등급별 드랍 연출</t>
  </si>
  <si>
    <t>드랍되는 아이템 등급(커먼/레어/에픽/슈퍼에픽/유니크)에 맞는 드랍 연출이 재생된다.</t>
  </si>
  <si>
    <t>신규 아이템 드랍 연출</t>
  </si>
  <si>
    <t>설계도/장비조각 아이템 드랍 시, 신규 제작된 드랍 연출이 재생된다.</t>
  </si>
  <si>
    <t>참고 화면: 4. 보스 처치 - 보상 드랍 규칙</t>
  </si>
  <si>
    <t>획득 안내 출력</t>
  </si>
  <si>
    <t>필드 아이템 획득 시, 화면 상단에 "OOO이 OOO을 획득했습니다" 형식의 안내 라벨이 출력된다.</t>
  </si>
  <si>
    <t>참고 화면: 4. 보스 처치 - 컷3</t>
  </si>
  <si>
    <t>결과창 메인</t>
  </si>
  <si>
    <t>CLEAR 타이틀</t>
  </si>
  <si>
    <t>타이틀 출력</t>
  </si>
  <si>
    <t>레이드 클리어 시, 결과창 중앙에 "CLEAR" 골드 타이틀이 출력된다.</t>
  </si>
  <si>
    <t>참고 화면: 5-1 변경 결과창</t>
  </si>
  <si>
    <t>캐릭터 일러스트 출력</t>
  </si>
  <si>
    <t>결과창에 클리어 캐릭터의 승리 포즈 일러스트가 출력된다.</t>
  </si>
  <si>
    <t>플레이타임 표시</t>
  </si>
  <si>
    <t>결과창에 해당 레이드의 플레이타임이 표시된다.</t>
  </si>
  <si>
    <t>획득 아이템 패널</t>
  </si>
  <si>
    <t>아이템 표시</t>
  </si>
  <si>
    <t>획득 아이템 출력</t>
  </si>
  <si>
    <t>결과창 우측 획득 아이템 패널에 보스 처치 후 획득한 아이템 목록이 출력된다.</t>
  </si>
  <si>
    <t>참고 화면: 결과창 01. 획득 아이템 정보 표시</t>
  </si>
  <si>
    <t>12종 표시</t>
  </si>
  <si>
    <t>획득 아이템이 12종 이내일 시, 12종 슬롯에 모두 표시된다.</t>
  </si>
  <si>
    <t>12종 초과 시 스크롤</t>
  </si>
  <si>
    <t>획득 아이템이 12종을 초과할 시, 리스트가 스크롤 가능한 형태로 출력된다.</t>
  </si>
  <si>
    <t>툴팁 출력</t>
  </si>
  <si>
    <t>획득 아이템 슬롯 터치 시, 해당 아이템의 상세 정보를 표시하는 툴팁이 출력된다.</t>
  </si>
  <si>
    <t>드랍 아이템 종류</t>
  </si>
  <si>
    <t>장비 등급 구분 표시</t>
  </si>
  <si>
    <t>장비 아이템 드랍 시, 등급별로 구분되어 패널에 표시된다.</t>
  </si>
  <si>
    <t>잠재력 항아리 표시</t>
  </si>
  <si>
    <t>잠재력 항아리 드랍 시, id별로 구분되어 패널에 표시된다.</t>
  </si>
  <si>
    <t>설계도 표시</t>
  </si>
  <si>
    <t>설계도 드랍 시, id별로 구분되어 패널에 표시된다.</t>
  </si>
  <si>
    <t>조각 표시</t>
  </si>
  <si>
    <t>장비 조각 드랍 시, id별로 구분되어 패널에 표시된다.</t>
  </si>
  <si>
    <t>연금 항아리 표시</t>
  </si>
  <si>
    <t>연금 항아리 드랍 시, id별로 구분되어 패널에 표시된다.</t>
  </si>
  <si>
    <t>결과창 액션 버튼</t>
  </si>
  <si>
    <t>나가기 버튼</t>
  </si>
  <si>
    <t>화면 전환</t>
  </si>
  <si>
    <t>결과창 하단의 나가기 버튼 터치 시, 레이드 로비 화면으로 이동된다.</t>
  </si>
  <si>
    <t>다시하기 버튼</t>
  </si>
  <si>
    <t>레이드 클리어 결과창 하단에 다시하기 버튼이 표시되지 않는다.</t>
  </si>
  <si>
    <t>참고 화면: 결과창 01. 획득 아이템 정보 표시 (티켓 배율 적용)</t>
  </si>
  <si>
    <t>트로피 포인트</t>
  </si>
  <si>
    <t>레이드 클리어 결과창에 트로피 포인트 영역 및 트로피 4종 정보가 표시되지 않는다.</t>
  </si>
  <si>
    <t>참고 화면: 5-2 결과창 변경 사항</t>
  </si>
  <si>
    <t>레이드 클리어 결과창에 코코방울의 축복 기능/연출이 표시되지 않는다.</t>
  </si>
  <si>
    <t>참고 화면: 인게임 드랍 연출 변경</t>
  </si>
  <si>
    <t>랭킹 진입 버튼</t>
  </si>
  <si>
    <t>레이드 클리어 결과창에 일반 레이드 랭킹 진입 버튼이 표시되지 않는다.</t>
  </si>
  <si>
    <t>참고 화면: 일반 레이드 랭킹 진입 버튼 제거</t>
  </si>
  <si>
    <t>코코 상자 연출</t>
  </si>
  <si>
    <t>보스 처치 시, 코코 상자 연출이 재생되지 않고 어비스 던전 방식의 드랍 연출로 변경되어 재생된다.</t>
  </si>
  <si>
    <t>제작소</t>
  </si>
  <si>
    <t>제작소 진입 화면</t>
  </si>
  <si>
    <t>헤더/UI</t>
  </si>
  <si>
    <t>헤더 표시</t>
  </si>
  <si>
    <t>제작소 화면 진입 시, 좌측 상단에 "제작소" 헤더와 뒤로가기 버튼이 표시된다.</t>
  </si>
  <si>
    <t>참고 화면: 6-2 제작소 진입 화면</t>
  </si>
  <si>
    <t>NPC 일러스트 출력</t>
  </si>
  <si>
    <t>제작소 화면 중앙에 제작소장 NPC 캐릭터 일러스트가 출력된다.</t>
  </si>
  <si>
    <t>카드 정렬</t>
  </si>
  <si>
    <t>정렬 순서 표시</t>
  </si>
  <si>
    <t>제작소 카드가 장비 제작 → 장비 연금 → 아티팩트 제작 → 아이템 제작 순서로 정렬되어 표시된다.</t>
  </si>
  <si>
    <t>참고 화면: 제작소 01. 장비 연금 진입 버튼</t>
  </si>
  <si>
    <t>장비 연금 N 표시</t>
  </si>
  <si>
    <t>장비 연금 카드에 신규 기능을 의미하는 N 아이콘이 표시된다.</t>
  </si>
  <si>
    <t>잔여 시간 표시</t>
  </si>
  <si>
    <t>이벤트 제작 카드에 잔여 시간(15일 15시간)이 표시된다.</t>
  </si>
  <si>
    <t>장비 연금</t>
  </si>
  <si>
    <t>진입 화면</t>
  </si>
  <si>
    <t>장비 연금 화면 진입</t>
  </si>
  <si>
    <t>제작소 화면의 장비 연금 카드 터치 시, 장비 연금 화면으로 이동된다.</t>
  </si>
  <si>
    <t>장비 연금 화면 진입 시, 좌측 상단에 "장비 연금" 헤더와 뒤로가기 버튼이 표시된다.</t>
  </si>
  <si>
    <t>참고 화면: 장비 연금 진입 후 화면</t>
  </si>
  <si>
    <t>재화 정보 표시</t>
  </si>
  <si>
    <t>장비 연금 화면 우측 상단에 다이아/골드/럭키 등 재화 정보가 표시된다.</t>
  </si>
  <si>
    <t>추가 슬롯 출력</t>
  </si>
  <si>
    <t>장비 연금 화면 중앙에 "+" 추가 버튼 형태의 슬롯이 출력된다.</t>
  </si>
  <si>
    <t>안내 문구 출력</t>
  </si>
  <si>
    <t>장비 연금 화면에 "연금술 아이템을 선택해주세요" 안내 문구가 출력된다.</t>
  </si>
  <si>
    <t>연금술 아이템 선택</t>
  </si>
  <si>
    <t>선택 팝업</t>
  </si>
  <si>
    <t>장비 연금 화면의 "+" 슬롯 터치 시, 연금술 아이템 선택 팝업이 출력된다.</t>
  </si>
  <si>
    <t>참고 화면: 6-5 연금술 아이템 선택 팝업</t>
  </si>
  <si>
    <t>카테고리 필터</t>
  </si>
  <si>
    <t>선택 팝업 좌측에 장비 종류별 5종 카테고리 탭이 표시되며, 탭 선택 시 해당 종류의 아이템만 그리드에 출력된다.</t>
  </si>
  <si>
    <t>아이템 그리드 표시</t>
  </si>
  <si>
    <t>선택 팝업 중앙에 5x4 그리드 형태로 아이템 슬롯이 출력된다.</t>
  </si>
  <si>
    <t>레전드 스킬 정보 출력</t>
  </si>
  <si>
    <t>선택 팝업 우측 패널에 "레전드 아이템 스킬 발동" 라벨과 기본 옵션, 고유 능력 정보가 표시된다.</t>
  </si>
  <si>
    <t>자원 코스트 표시</t>
  </si>
  <si>
    <t>선택 팝업 우측 패널에 해당 아이템 제작에 필요한 자원 코스트가 표시된다.</t>
  </si>
  <si>
    <t>선택 버튼 동작</t>
  </si>
  <si>
    <t>아이템 선택 후 하단 "선택" 버튼 터치 시, 팝업이 닫히고 선택한 아이템이 장비 연금 슬롯에 등록된다.</t>
  </si>
  <si>
    <t>제작 진행</t>
  </si>
  <si>
    <t>제작 화면</t>
  </si>
  <si>
    <t>선택 아이템 표시</t>
  </si>
  <si>
    <t>제작 진행 화면 좌측 슬롯에 선택한 아이템 정보가 표시된다.</t>
  </si>
  <si>
    <t>참고 화면: 6-6 제작 진행 화면</t>
  </si>
  <si>
    <t>투입 재화 표시</t>
  </si>
  <si>
    <t>제작 진행 화면 우측 슬롯에 투입되는 재화 정보가 표시된다.</t>
  </si>
  <si>
    <t>제작 버튼 활성화</t>
  </si>
  <si>
    <t>선택 아이템과 재화 조건이 충족된 경우, 하단 "제작" 버튼이 활성화 상태로 표시된다.</t>
  </si>
  <si>
    <t>재화 부족 시 비활성화</t>
  </si>
  <si>
    <t>투입 재화가 부족한 경우, 하단 "제작" 버튼이 비활성화 상태로 표시된다.</t>
  </si>
  <si>
    <t>제작 안내 팝업</t>
  </si>
  <si>
    <t>환불 불가 안내</t>
  </si>
  <si>
    <t>안내 팝업 출력</t>
  </si>
  <si>
    <t>제작 화면의 활성화된 "제작" 버튼 터치 시, "제작에 사용된 항아리는 환불받을 수 없으며, 진행한 옵션·레벨이 모두 사라집니다." 안내 팝업이 출력된다.</t>
  </si>
  <si>
    <t>참고 화면: 6-7 제작 안내 팝업</t>
  </si>
  <si>
    <t>취소 분기</t>
  </si>
  <si>
    <t>제작 안내 팝업의 좌측 "취소" 버튼 터치 시, 제작이 진행되지 않고 팝업이 닫힌다.</t>
  </si>
  <si>
    <t>제작 분기</t>
  </si>
  <si>
    <t>제작 안내 팝업의 우측 "제작" 버튼 터치 시, 재화가 차감되고 제작이 진행된다.</t>
  </si>
  <si>
    <t>제작 완료</t>
  </si>
  <si>
    <t>결과 화면</t>
  </si>
  <si>
    <t>결과 아이템 지급</t>
  </si>
  <si>
    <t>제작 완료 시, 제작 결과 아이템이 인벤토리에 지급되고 결과 화면에 표시된다.</t>
  </si>
  <si>
    <t>참고 화면: 6-8 제작 완료 화면</t>
  </si>
  <si>
    <t>제작 완료 라벨</t>
  </si>
  <si>
    <t>제작 완료 화면 중앙에 "제작 완료!" 라벨이 출력된다.</t>
  </si>
  <si>
    <t>잔여 카운터 표시</t>
  </si>
  <si>
    <t>제작 완료 화면에 잔여 시간 카운터가 표시된다.</t>
  </si>
  <si>
    <t>뒤로가기</t>
  </si>
  <si>
    <t>뒤로가기 버튼</t>
  </si>
  <si>
    <t>장비 연금 화면 좌측 상단의 뒤로가기 버튼 터치 시, 제작소 화면으로 복귀된다.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</si>
</sst>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COUNTIF(I10:I120,"Pass")</f>
      </c>
      <c r="K3" t="s">
        <v>4</v>
      </c>
      <c r="L3">
        <f>COUNTIF(I10:I120,"")</f>
      </c>
      <c r="M3" s="3" t="s">
        <v>3</v>
      </c>
      <c r="N3">
        <f>COUNTIF(J10:J120,"Pass")</f>
      </c>
    </row>
    <row r="4" spans="9:14" x14ac:dyDescent="0.25">
      <c r="I4" s="4" t="s">
        <v>5</v>
      </c>
      <c r="J4">
        <f>COUNTIF(I10:I120,"N/T")</f>
      </c>
      <c r="K4" t="s">
        <v>6</v>
      </c>
      <c r="L4">
        <f>COUNTA(I10:I120)-COUNTIF(I10:I120,"")</f>
      </c>
      <c r="M4" s="4" t="s">
        <v>5</v>
      </c>
      <c r="N4">
        <f>COUNTIF(J10:J120,"N/T")</f>
      </c>
    </row>
    <row r="5" spans="9:14" x14ac:dyDescent="0.25">
      <c r="I5" s="5" t="s">
        <v>7</v>
      </c>
      <c r="J5">
        <f>COUNTIF(I10:I120,"Fail")</f>
      </c>
      <c r="K5" t="s">
        <v>8</v>
      </c>
      <c r="L5">
        <v>111</v>
      </c>
      <c r="M5" s="5" t="s">
        <v>7</v>
      </c>
      <c r="N5">
        <f>COUNTIF(J10:J120,"Fail")</f>
      </c>
    </row>
    <row r="6" spans="9:14" x14ac:dyDescent="0.25">
      <c r="I6" s="6" t="s">
        <v>9</v>
      </c>
      <c r="J6">
        <f>COUNTIF(I10:I120,"Block")</f>
      </c>
      <c r="K6" t="s">
        <v>10</v>
      </c>
      <c r="L6" s="7">
        <f>IF(L5=0,0,L4/L5)</f>
      </c>
      <c r="M6" s="6" t="s">
        <v>9</v>
      </c>
      <c r="N6">
        <f>COUNTIF(J10:J120,"Block")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 t="s">
        <v>31</v>
      </c>
      <c r="F12" s="11" t="s">
        <v>32</v>
      </c>
      <c r="G12" s="12" t="s">
        <v>33</v>
      </c>
      <c r="H12" s="13" t="s">
        <v>34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5" t="s">
        <v>37</v>
      </c>
      <c r="D14" s="11"/>
      <c r="E14" s="11"/>
      <c r="F14" s="11"/>
      <c r="G14" s="12" t="s">
        <v>38</v>
      </c>
      <c r="H14" s="13" t="s">
        <v>39</v>
      </c>
      <c r="I14" s="12"/>
      <c r="J14" s="12"/>
      <c r="K14" s="12"/>
      <c r="L14" s="12"/>
      <c r="M14" s="12"/>
      <c r="N14" s="14" t="s">
        <v>40</v>
      </c>
    </row>
    <row r="15" spans="2:14" x14ac:dyDescent="0.25">
      <c r="B15" s="9">
        <v>6</v>
      </c>
      <c r="C15" s="10" t="s">
        <v>22</v>
      </c>
      <c r="D15" s="11"/>
      <c r="E15" s="11" t="s">
        <v>41</v>
      </c>
      <c r="F15" s="11" t="s">
        <v>42</v>
      </c>
      <c r="G15" s="12" t="s">
        <v>43</v>
      </c>
      <c r="H15" s="13" t="s">
        <v>44</v>
      </c>
      <c r="I15" s="12"/>
      <c r="J15" s="12"/>
      <c r="K15" s="12"/>
      <c r="L15" s="12"/>
      <c r="M15" s="12"/>
      <c r="N15" s="14" t="s">
        <v>45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45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45</v>
      </c>
    </row>
    <row r="18" spans="2:14" x14ac:dyDescent="0.25">
      <c r="B18" s="9">
        <v>9</v>
      </c>
      <c r="C18" s="15" t="s">
        <v>37</v>
      </c>
      <c r="D18" s="11"/>
      <c r="E18" s="11"/>
      <c r="F18" s="11"/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45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52</v>
      </c>
      <c r="H19" s="13" t="s">
        <v>53</v>
      </c>
      <c r="I19" s="12"/>
      <c r="J19" s="12"/>
      <c r="K19" s="12"/>
      <c r="L19" s="12"/>
      <c r="M19" s="12"/>
      <c r="N19" s="14" t="s">
        <v>28</v>
      </c>
    </row>
    <row r="20" spans="2:14" x14ac:dyDescent="0.25">
      <c r="B20" s="9">
        <v>11</v>
      </c>
      <c r="C20" s="16" t="s">
        <v>54</v>
      </c>
      <c r="D20" s="11"/>
      <c r="E20" s="11"/>
      <c r="F20" s="11" t="s">
        <v>55</v>
      </c>
      <c r="G20" s="12" t="s">
        <v>56</v>
      </c>
      <c r="H20" s="13" t="s">
        <v>57</v>
      </c>
      <c r="I20" s="12"/>
      <c r="J20" s="12"/>
      <c r="K20" s="12"/>
      <c r="L20" s="12"/>
      <c r="M20" s="12"/>
      <c r="N20" s="14" t="s">
        <v>45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58</v>
      </c>
      <c r="H21" s="13" t="s">
        <v>59</v>
      </c>
      <c r="I21" s="12"/>
      <c r="J21" s="12"/>
      <c r="K21" s="12"/>
      <c r="L21" s="12"/>
      <c r="M21" s="12"/>
      <c r="N21" s="14" t="s">
        <v>45</v>
      </c>
    </row>
    <row r="22" spans="2:14" x14ac:dyDescent="0.25">
      <c r="B22" s="9">
        <v>13</v>
      </c>
      <c r="C22" s="10" t="s">
        <v>22</v>
      </c>
      <c r="D22" s="11" t="s">
        <v>60</v>
      </c>
      <c r="E22" s="11" t="s">
        <v>61</v>
      </c>
      <c r="F22" s="11" t="s">
        <v>62</v>
      </c>
      <c r="G22" s="12" t="s">
        <v>63</v>
      </c>
      <c r="H22" s="13" t="s">
        <v>64</v>
      </c>
      <c r="I22" s="12"/>
      <c r="J22" s="12"/>
      <c r="K22" s="12"/>
      <c r="L22" s="12"/>
      <c r="M22" s="12"/>
      <c r="N22" s="14" t="s">
        <v>65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66</v>
      </c>
      <c r="H23" s="13" t="s">
        <v>67</v>
      </c>
      <c r="I23" s="12"/>
      <c r="J23" s="12"/>
      <c r="K23" s="12"/>
      <c r="L23" s="12"/>
      <c r="M23" s="12"/>
      <c r="N23" s="14" t="s">
        <v>65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68</v>
      </c>
      <c r="H24" s="13" t="s">
        <v>69</v>
      </c>
      <c r="I24" s="12"/>
      <c r="J24" s="12"/>
      <c r="K24" s="12"/>
      <c r="L24" s="12"/>
      <c r="M24" s="12"/>
      <c r="N24" s="14" t="s">
        <v>65</v>
      </c>
    </row>
    <row r="25" spans="2:14" x14ac:dyDescent="0.25">
      <c r="B25" s="9">
        <v>16</v>
      </c>
      <c r="C25" s="10" t="s">
        <v>22</v>
      </c>
      <c r="D25" s="11"/>
      <c r="E25" s="11"/>
      <c r="F25" s="12" t="s">
        <v>70</v>
      </c>
      <c r="G25" s="12" t="s">
        <v>71</v>
      </c>
      <c r="H25" s="13" t="s">
        <v>72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0" t="s">
        <v>22</v>
      </c>
      <c r="D26" s="11"/>
      <c r="E26" s="11" t="s">
        <v>74</v>
      </c>
      <c r="F26" s="11" t="s">
        <v>75</v>
      </c>
      <c r="G26" s="12" t="s">
        <v>76</v>
      </c>
      <c r="H26" s="13" t="s">
        <v>77</v>
      </c>
      <c r="I26" s="12"/>
      <c r="J26" s="12"/>
      <c r="K26" s="12"/>
      <c r="L26" s="12"/>
      <c r="M26" s="12"/>
      <c r="N26" s="14" t="s">
        <v>78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81</v>
      </c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82</v>
      </c>
      <c r="H28" s="13" t="s">
        <v>83</v>
      </c>
      <c r="I28" s="12"/>
      <c r="J28" s="12"/>
      <c r="K28" s="12"/>
      <c r="L28" s="12"/>
      <c r="M28" s="12"/>
      <c r="N28" s="14" t="s">
        <v>78</v>
      </c>
    </row>
    <row r="29" spans="2:14" x14ac:dyDescent="0.25">
      <c r="B29" s="9">
        <v>20</v>
      </c>
      <c r="C29" s="15" t="s">
        <v>37</v>
      </c>
      <c r="D29" s="11"/>
      <c r="E29" s="11"/>
      <c r="F29" s="11"/>
      <c r="G29" s="12" t="s">
        <v>84</v>
      </c>
      <c r="H29" s="13" t="s">
        <v>85</v>
      </c>
      <c r="I29" s="12"/>
      <c r="J29" s="12"/>
      <c r="K29" s="12"/>
      <c r="L29" s="12"/>
      <c r="M29" s="12"/>
      <c r="N29" s="14" t="s">
        <v>81</v>
      </c>
    </row>
    <row r="30" spans="2:14" x14ac:dyDescent="0.25">
      <c r="B30" s="9">
        <v>21</v>
      </c>
      <c r="C30" s="10" t="s">
        <v>22</v>
      </c>
      <c r="D30" s="11"/>
      <c r="E30" s="11" t="s">
        <v>86</v>
      </c>
      <c r="F30" s="11" t="s">
        <v>87</v>
      </c>
      <c r="G30" s="12" t="s">
        <v>88</v>
      </c>
      <c r="H30" s="13" t="s">
        <v>89</v>
      </c>
      <c r="I30" s="12"/>
      <c r="J30" s="12"/>
      <c r="K30" s="12"/>
      <c r="L30" s="12"/>
      <c r="M30" s="12"/>
      <c r="N30" s="14" t="s">
        <v>81</v>
      </c>
    </row>
    <row r="31" spans="2:14" x14ac:dyDescent="0.25">
      <c r="B31" s="9">
        <v>22</v>
      </c>
      <c r="C31" s="15" t="s">
        <v>37</v>
      </c>
      <c r="D31" s="11"/>
      <c r="E31" s="11"/>
      <c r="F31" s="11"/>
      <c r="G31" s="12" t="s">
        <v>90</v>
      </c>
      <c r="H31" s="13" t="s">
        <v>91</v>
      </c>
      <c r="I31" s="12"/>
      <c r="J31" s="12"/>
      <c r="K31" s="12"/>
      <c r="L31" s="12"/>
      <c r="M31" s="12"/>
      <c r="N31" s="14" t="s">
        <v>81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92</v>
      </c>
      <c r="H32" s="13" t="s">
        <v>93</v>
      </c>
      <c r="I32" s="12"/>
      <c r="J32" s="12"/>
      <c r="K32" s="12"/>
      <c r="L32" s="12"/>
      <c r="M32" s="12"/>
      <c r="N32" s="14" t="s">
        <v>94</v>
      </c>
    </row>
    <row r="33" spans="2:14" x14ac:dyDescent="0.25">
      <c r="B33" s="9">
        <v>24</v>
      </c>
      <c r="C33" s="10" t="s">
        <v>22</v>
      </c>
      <c r="D33" s="11"/>
      <c r="E33" s="11" t="s">
        <v>95</v>
      </c>
      <c r="F33" s="11" t="s">
        <v>96</v>
      </c>
      <c r="G33" s="12" t="s">
        <v>97</v>
      </c>
      <c r="H33" s="13" t="s">
        <v>98</v>
      </c>
      <c r="I33" s="12"/>
      <c r="J33" s="12"/>
      <c r="K33" s="12"/>
      <c r="L33" s="12"/>
      <c r="M33" s="12"/>
      <c r="N33" s="14" t="s">
        <v>99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100</v>
      </c>
      <c r="H34" s="13" t="s">
        <v>101</v>
      </c>
      <c r="I34" s="12"/>
      <c r="J34" s="12"/>
      <c r="K34" s="12"/>
      <c r="L34" s="12"/>
      <c r="M34" s="12"/>
      <c r="N34" s="14" t="s">
        <v>102</v>
      </c>
    </row>
    <row r="35" spans="2:14" x14ac:dyDescent="0.25">
      <c r="B35" s="9">
        <v>26</v>
      </c>
      <c r="C35" s="10" t="s">
        <v>22</v>
      </c>
      <c r="D35" s="11"/>
      <c r="E35" s="11"/>
      <c r="F35" s="11" t="s">
        <v>103</v>
      </c>
      <c r="G35" s="12" t="s">
        <v>104</v>
      </c>
      <c r="H35" s="13" t="s">
        <v>105</v>
      </c>
      <c r="I35" s="12"/>
      <c r="J35" s="12"/>
      <c r="K35" s="12"/>
      <c r="L35" s="12"/>
      <c r="M35" s="12"/>
      <c r="N35" s="14" t="s">
        <v>102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106</v>
      </c>
      <c r="H36" s="13" t="s">
        <v>107</v>
      </c>
      <c r="I36" s="12"/>
      <c r="J36" s="12"/>
      <c r="K36" s="12"/>
      <c r="L36" s="12"/>
      <c r="M36" s="12"/>
      <c r="N36" s="14" t="s">
        <v>102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108</v>
      </c>
      <c r="H37" s="13" t="s">
        <v>109</v>
      </c>
      <c r="I37" s="12"/>
      <c r="J37" s="12"/>
      <c r="K37" s="12"/>
      <c r="L37" s="12"/>
      <c r="M37" s="12"/>
      <c r="N37" s="14" t="s">
        <v>102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110</v>
      </c>
      <c r="H38" s="13" t="s">
        <v>111</v>
      </c>
      <c r="I38" s="12"/>
      <c r="J38" s="12"/>
      <c r="K38" s="12"/>
      <c r="L38" s="12"/>
      <c r="M38" s="12"/>
      <c r="N38" s="14" t="s">
        <v>112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113</v>
      </c>
      <c r="H39" s="13" t="s">
        <v>114</v>
      </c>
      <c r="I39" s="12"/>
      <c r="J39" s="12"/>
      <c r="K39" s="12"/>
      <c r="L39" s="12"/>
      <c r="M39" s="12"/>
      <c r="N39" s="14" t="s">
        <v>112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115</v>
      </c>
      <c r="H40" s="13" t="s">
        <v>116</v>
      </c>
      <c r="I40" s="12"/>
      <c r="J40" s="12"/>
      <c r="K40" s="12"/>
      <c r="L40" s="12"/>
      <c r="M40" s="12"/>
      <c r="N40" s="14" t="s">
        <v>102</v>
      </c>
    </row>
    <row r="41" spans="2:14" x14ac:dyDescent="0.25">
      <c r="B41" s="9">
        <v>32</v>
      </c>
      <c r="C41" s="10" t="s">
        <v>22</v>
      </c>
      <c r="D41" s="11"/>
      <c r="E41" s="11" t="s">
        <v>117</v>
      </c>
      <c r="F41" s="11" t="s">
        <v>118</v>
      </c>
      <c r="G41" s="12" t="s">
        <v>119</v>
      </c>
      <c r="H41" s="13" t="s">
        <v>120</v>
      </c>
      <c r="I41" s="12"/>
      <c r="J41" s="12"/>
      <c r="K41" s="12"/>
      <c r="L41" s="12"/>
      <c r="M41" s="12"/>
      <c r="N41" s="14" t="s">
        <v>121</v>
      </c>
    </row>
    <row r="42" spans="2:14" x14ac:dyDescent="0.25">
      <c r="B42" s="9">
        <v>33</v>
      </c>
      <c r="C42" s="10" t="s">
        <v>22</v>
      </c>
      <c r="D42" s="11"/>
      <c r="E42" s="11"/>
      <c r="F42" s="11"/>
      <c r="G42" s="12" t="s">
        <v>122</v>
      </c>
      <c r="H42" s="13" t="s">
        <v>123</v>
      </c>
      <c r="I42" s="12"/>
      <c r="J42" s="12"/>
      <c r="K42" s="12"/>
      <c r="L42" s="12"/>
      <c r="M42" s="12"/>
      <c r="N42" s="14" t="s">
        <v>121</v>
      </c>
    </row>
    <row r="43" spans="2:14" x14ac:dyDescent="0.25">
      <c r="B43" s="9">
        <v>34</v>
      </c>
      <c r="C43" s="10" t="s">
        <v>22</v>
      </c>
      <c r="D43" s="11"/>
      <c r="E43" s="11"/>
      <c r="F43" s="11" t="s">
        <v>124</v>
      </c>
      <c r="G43" s="12" t="s">
        <v>125</v>
      </c>
      <c r="H43" s="13" t="s">
        <v>126</v>
      </c>
      <c r="I43" s="12"/>
      <c r="J43" s="12"/>
      <c r="K43" s="12"/>
      <c r="L43" s="12"/>
      <c r="M43" s="12"/>
      <c r="N43" s="14" t="s">
        <v>127</v>
      </c>
    </row>
    <row r="44" spans="2:14" x14ac:dyDescent="0.25">
      <c r="B44" s="9">
        <v>35</v>
      </c>
      <c r="C44" s="10" t="s">
        <v>22</v>
      </c>
      <c r="D44" s="11"/>
      <c r="E44" s="11"/>
      <c r="F44" s="11"/>
      <c r="G44" s="12" t="s">
        <v>128</v>
      </c>
      <c r="H44" s="13" t="s">
        <v>129</v>
      </c>
      <c r="I44" s="12"/>
      <c r="J44" s="12"/>
      <c r="K44" s="12"/>
      <c r="L44" s="12"/>
      <c r="M44" s="12"/>
      <c r="N44" s="14" t="s">
        <v>130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131</v>
      </c>
      <c r="H45" s="13" t="s">
        <v>132</v>
      </c>
      <c r="I45" s="12"/>
      <c r="J45" s="12"/>
      <c r="K45" s="12"/>
      <c r="L45" s="12"/>
      <c r="M45" s="12"/>
      <c r="N45" s="14" t="s">
        <v>133</v>
      </c>
    </row>
    <row r="46" spans="2:14" x14ac:dyDescent="0.25">
      <c r="B46" s="9">
        <v>37</v>
      </c>
      <c r="C46" s="10" t="s">
        <v>22</v>
      </c>
      <c r="D46" s="11"/>
      <c r="E46" s="11"/>
      <c r="F46" s="11" t="s">
        <v>134</v>
      </c>
      <c r="G46" s="12" t="s">
        <v>38</v>
      </c>
      <c r="H46" s="13" t="s">
        <v>135</v>
      </c>
      <c r="I46" s="12"/>
      <c r="J46" s="12"/>
      <c r="K46" s="12"/>
      <c r="L46" s="12"/>
      <c r="M46" s="12"/>
      <c r="N46" s="14" t="s">
        <v>136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137</v>
      </c>
      <c r="H47" s="13" t="s">
        <v>138</v>
      </c>
      <c r="I47" s="12"/>
      <c r="J47" s="12"/>
      <c r="K47" s="12"/>
      <c r="L47" s="12"/>
      <c r="M47" s="12"/>
      <c r="N47" s="14" t="s">
        <v>139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140</v>
      </c>
      <c r="H48" s="13" t="s">
        <v>141</v>
      </c>
      <c r="I48" s="12"/>
      <c r="J48" s="12"/>
      <c r="K48" s="12"/>
      <c r="L48" s="12"/>
      <c r="M48" s="12"/>
      <c r="N48" s="14" t="s">
        <v>139</v>
      </c>
    </row>
    <row r="49" spans="2:14" x14ac:dyDescent="0.25">
      <c r="B49" s="9">
        <v>40</v>
      </c>
      <c r="C49" s="15" t="s">
        <v>37</v>
      </c>
      <c r="D49" s="11"/>
      <c r="E49" s="11" t="s">
        <v>142</v>
      </c>
      <c r="F49" s="11" t="s">
        <v>143</v>
      </c>
      <c r="G49" s="12" t="s">
        <v>144</v>
      </c>
      <c r="H49" s="13" t="s">
        <v>145</v>
      </c>
      <c r="I49" s="12"/>
      <c r="J49" s="12"/>
      <c r="K49" s="12"/>
      <c r="L49" s="12"/>
      <c r="M49" s="12"/>
      <c r="N49" s="14" t="s">
        <v>146</v>
      </c>
    </row>
    <row r="50" spans="2:14" x14ac:dyDescent="0.25">
      <c r="B50" s="9">
        <v>41</v>
      </c>
      <c r="C50" s="15" t="s">
        <v>37</v>
      </c>
      <c r="D50" s="11"/>
      <c r="E50" s="11"/>
      <c r="F50" s="11"/>
      <c r="G50" s="12" t="s">
        <v>147</v>
      </c>
      <c r="H50" s="13" t="s">
        <v>148</v>
      </c>
      <c r="I50" s="12"/>
      <c r="J50" s="12"/>
      <c r="K50" s="12"/>
      <c r="L50" s="12"/>
      <c r="M50" s="12"/>
      <c r="N50" s="14" t="s">
        <v>146</v>
      </c>
    </row>
    <row r="51" spans="2:14" x14ac:dyDescent="0.25">
      <c r="B51" s="9">
        <v>42</v>
      </c>
      <c r="C51" s="10" t="s">
        <v>22</v>
      </c>
      <c r="D51" s="11"/>
      <c r="E51" s="11" t="s">
        <v>149</v>
      </c>
      <c r="F51" s="12" t="s">
        <v>150</v>
      </c>
      <c r="G51" s="12" t="s">
        <v>151</v>
      </c>
      <c r="H51" s="13" t="s">
        <v>152</v>
      </c>
      <c r="I51" s="12"/>
      <c r="J51" s="12"/>
      <c r="K51" s="12"/>
      <c r="L51" s="12"/>
      <c r="M51" s="12"/>
      <c r="N51" s="14" t="s">
        <v>153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154</v>
      </c>
      <c r="G52" s="12" t="s">
        <v>155</v>
      </c>
      <c r="H52" s="13" t="s">
        <v>156</v>
      </c>
      <c r="I52" s="12"/>
      <c r="J52" s="12"/>
      <c r="K52" s="12"/>
      <c r="L52" s="12"/>
      <c r="M52" s="12"/>
      <c r="N52" s="14" t="s">
        <v>157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158</v>
      </c>
      <c r="H53" s="13" t="s">
        <v>159</v>
      </c>
      <c r="I53" s="12"/>
      <c r="J53" s="12"/>
      <c r="K53" s="12"/>
      <c r="L53" s="12"/>
      <c r="M53" s="12"/>
      <c r="N53" s="14" t="s">
        <v>157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160</v>
      </c>
      <c r="H54" s="13" t="s">
        <v>161</v>
      </c>
      <c r="I54" s="12"/>
      <c r="J54" s="12"/>
      <c r="K54" s="12"/>
      <c r="L54" s="12"/>
      <c r="M54" s="12"/>
      <c r="N54" s="14" t="s">
        <v>157</v>
      </c>
    </row>
    <row r="55" spans="2:14" x14ac:dyDescent="0.25">
      <c r="B55" s="9">
        <v>46</v>
      </c>
      <c r="C55" s="15" t="s">
        <v>37</v>
      </c>
      <c r="D55" s="11"/>
      <c r="E55" s="11"/>
      <c r="F55" s="11"/>
      <c r="G55" s="12" t="s">
        <v>162</v>
      </c>
      <c r="H55" s="13" t="s">
        <v>163</v>
      </c>
      <c r="I55" s="12"/>
      <c r="J55" s="12"/>
      <c r="K55" s="12"/>
      <c r="L55" s="12"/>
      <c r="M55" s="12"/>
      <c r="N55" s="14" t="s">
        <v>157</v>
      </c>
    </row>
    <row r="56" spans="2:14" x14ac:dyDescent="0.25">
      <c r="B56" s="9">
        <v>47</v>
      </c>
      <c r="C56" s="15" t="s">
        <v>37</v>
      </c>
      <c r="D56" s="11"/>
      <c r="E56" s="11"/>
      <c r="F56" s="11"/>
      <c r="G56" s="12" t="s">
        <v>164</v>
      </c>
      <c r="H56" s="13" t="s">
        <v>165</v>
      </c>
      <c r="I56" s="12"/>
      <c r="J56" s="12"/>
      <c r="K56" s="12"/>
      <c r="L56" s="12"/>
      <c r="M56" s="12"/>
      <c r="N56" s="14" t="s">
        <v>157</v>
      </c>
    </row>
    <row r="57" spans="2:14" x14ac:dyDescent="0.25">
      <c r="B57" s="9">
        <v>48</v>
      </c>
      <c r="C57" s="15" t="s">
        <v>37</v>
      </c>
      <c r="D57" s="11"/>
      <c r="E57" s="11"/>
      <c r="F57" s="11"/>
      <c r="G57" s="12" t="s">
        <v>166</v>
      </c>
      <c r="H57" s="13" t="s">
        <v>167</v>
      </c>
      <c r="I57" s="12"/>
      <c r="J57" s="12"/>
      <c r="K57" s="12"/>
      <c r="L57" s="12"/>
      <c r="M57" s="12"/>
      <c r="N57" s="14" t="s">
        <v>157</v>
      </c>
    </row>
    <row r="58" spans="2:14" x14ac:dyDescent="0.25">
      <c r="B58" s="9">
        <v>49</v>
      </c>
      <c r="C58" s="16" t="s">
        <v>54</v>
      </c>
      <c r="D58" s="11"/>
      <c r="E58" s="11" t="s">
        <v>168</v>
      </c>
      <c r="F58" s="11" t="s">
        <v>169</v>
      </c>
      <c r="G58" s="12" t="s">
        <v>170</v>
      </c>
      <c r="H58" s="13" t="s">
        <v>171</v>
      </c>
      <c r="I58" s="12"/>
      <c r="J58" s="12"/>
      <c r="K58" s="12"/>
      <c r="L58" s="12"/>
      <c r="M58" s="12"/>
      <c r="N58" s="14" t="s">
        <v>172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173</v>
      </c>
      <c r="H59" s="13" t="s">
        <v>174</v>
      </c>
      <c r="I59" s="12"/>
      <c r="J59" s="12"/>
      <c r="K59" s="12"/>
      <c r="L59" s="12"/>
      <c r="M59" s="12"/>
      <c r="N59" s="14" t="s">
        <v>175</v>
      </c>
    </row>
    <row r="60" spans="2:14" x14ac:dyDescent="0.25">
      <c r="B60" s="9">
        <v>51</v>
      </c>
      <c r="C60" s="10" t="s">
        <v>22</v>
      </c>
      <c r="D60" s="11"/>
      <c r="E60" s="11"/>
      <c r="F60" s="11"/>
      <c r="G60" s="12" t="s">
        <v>176</v>
      </c>
      <c r="H60" s="13" t="s">
        <v>177</v>
      </c>
      <c r="I60" s="12"/>
      <c r="J60" s="12"/>
      <c r="K60" s="12"/>
      <c r="L60" s="12"/>
      <c r="M60" s="12"/>
      <c r="N60" s="14" t="s">
        <v>178</v>
      </c>
    </row>
    <row r="61" spans="2:14" x14ac:dyDescent="0.25">
      <c r="B61" s="9">
        <v>52</v>
      </c>
      <c r="C61" s="10" t="s">
        <v>22</v>
      </c>
      <c r="D61" s="11"/>
      <c r="E61" s="11" t="s">
        <v>179</v>
      </c>
      <c r="F61" s="11" t="s">
        <v>180</v>
      </c>
      <c r="G61" s="12" t="s">
        <v>181</v>
      </c>
      <c r="H61" s="13" t="s">
        <v>182</v>
      </c>
      <c r="I61" s="12"/>
      <c r="J61" s="12"/>
      <c r="K61" s="12"/>
      <c r="L61" s="12"/>
      <c r="M61" s="12"/>
      <c r="N61" s="14" t="s">
        <v>183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184</v>
      </c>
      <c r="H62" s="13" t="s">
        <v>185</v>
      </c>
      <c r="I62" s="12"/>
      <c r="J62" s="12"/>
      <c r="K62" s="12"/>
      <c r="L62" s="12"/>
      <c r="M62" s="12"/>
      <c r="N62" s="14" t="s">
        <v>183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186</v>
      </c>
      <c r="H63" s="13" t="s">
        <v>187</v>
      </c>
      <c r="I63" s="12"/>
      <c r="J63" s="12"/>
      <c r="K63" s="12"/>
      <c r="L63" s="12"/>
      <c r="M63" s="12"/>
      <c r="N63" s="14" t="s">
        <v>183</v>
      </c>
    </row>
    <row r="64" spans="2:14" x14ac:dyDescent="0.25">
      <c r="B64" s="9">
        <v>55</v>
      </c>
      <c r="C64" s="15" t="s">
        <v>37</v>
      </c>
      <c r="D64" s="11"/>
      <c r="E64" s="11"/>
      <c r="F64" s="11"/>
      <c r="G64" s="12" t="s">
        <v>188</v>
      </c>
      <c r="H64" s="13" t="s">
        <v>189</v>
      </c>
      <c r="I64" s="12"/>
      <c r="J64" s="12"/>
      <c r="K64" s="12"/>
      <c r="L64" s="12"/>
      <c r="M64" s="12"/>
      <c r="N64" s="14" t="s">
        <v>183</v>
      </c>
    </row>
    <row r="65" spans="2:14" x14ac:dyDescent="0.25">
      <c r="B65" s="9">
        <v>56</v>
      </c>
      <c r="C65" s="15" t="s">
        <v>37</v>
      </c>
      <c r="D65" s="11"/>
      <c r="E65" s="11"/>
      <c r="F65" s="11"/>
      <c r="G65" s="12" t="s">
        <v>190</v>
      </c>
      <c r="H65" s="13" t="s">
        <v>191</v>
      </c>
      <c r="I65" s="12"/>
      <c r="J65" s="12"/>
      <c r="K65" s="12"/>
      <c r="L65" s="12"/>
      <c r="M65" s="12"/>
      <c r="N65" s="14" t="s">
        <v>183</v>
      </c>
    </row>
    <row r="66" spans="2:14" x14ac:dyDescent="0.25">
      <c r="B66" s="9">
        <v>57</v>
      </c>
      <c r="C66" s="15" t="s">
        <v>37</v>
      </c>
      <c r="D66" s="11"/>
      <c r="E66" s="11"/>
      <c r="F66" s="11"/>
      <c r="G66" s="12" t="s">
        <v>192</v>
      </c>
      <c r="H66" s="13" t="s">
        <v>193</v>
      </c>
      <c r="I66" s="12"/>
      <c r="J66" s="12"/>
      <c r="K66" s="12"/>
      <c r="L66" s="12"/>
      <c r="M66" s="12"/>
      <c r="N66" s="14" t="s">
        <v>183</v>
      </c>
    </row>
    <row r="67" spans="2:14" x14ac:dyDescent="0.25">
      <c r="B67" s="9">
        <v>58</v>
      </c>
      <c r="C67" s="15" t="s">
        <v>37</v>
      </c>
      <c r="D67" s="11"/>
      <c r="E67" s="11"/>
      <c r="F67" s="11"/>
      <c r="G67" s="12" t="s">
        <v>166</v>
      </c>
      <c r="H67" s="13" t="s">
        <v>194</v>
      </c>
      <c r="I67" s="12"/>
      <c r="J67" s="12"/>
      <c r="K67" s="12"/>
      <c r="L67" s="12"/>
      <c r="M67" s="12"/>
      <c r="N67" s="14" t="s">
        <v>183</v>
      </c>
    </row>
    <row r="68" spans="2:14" x14ac:dyDescent="0.25">
      <c r="B68" s="9">
        <v>59</v>
      </c>
      <c r="C68" s="10" t="s">
        <v>22</v>
      </c>
      <c r="D68" s="11"/>
      <c r="E68" s="11" t="s">
        <v>195</v>
      </c>
      <c r="F68" s="12" t="s">
        <v>196</v>
      </c>
      <c r="G68" s="12" t="s">
        <v>197</v>
      </c>
      <c r="H68" s="13" t="s">
        <v>198</v>
      </c>
      <c r="I68" s="12"/>
      <c r="J68" s="12"/>
      <c r="K68" s="12"/>
      <c r="L68" s="12"/>
      <c r="M68" s="12"/>
      <c r="N68" s="14" t="s">
        <v>199</v>
      </c>
    </row>
    <row r="69" spans="2:14" x14ac:dyDescent="0.25">
      <c r="B69" s="9">
        <v>60</v>
      </c>
      <c r="C69" s="10" t="s">
        <v>22</v>
      </c>
      <c r="D69" s="11"/>
      <c r="E69" s="11"/>
      <c r="F69" s="12" t="s">
        <v>200</v>
      </c>
      <c r="G69" s="12" t="s">
        <v>197</v>
      </c>
      <c r="H69" s="13" t="s">
        <v>201</v>
      </c>
      <c r="I69" s="12"/>
      <c r="J69" s="12"/>
      <c r="K69" s="12"/>
      <c r="L69" s="12"/>
      <c r="M69" s="12"/>
      <c r="N69" s="14" t="s">
        <v>199</v>
      </c>
    </row>
    <row r="70" spans="2:14" x14ac:dyDescent="0.25">
      <c r="B70" s="9">
        <v>61</v>
      </c>
      <c r="C70" s="10" t="s">
        <v>22</v>
      </c>
      <c r="D70" s="11"/>
      <c r="E70" s="11"/>
      <c r="F70" s="12" t="s">
        <v>202</v>
      </c>
      <c r="G70" s="12" t="s">
        <v>197</v>
      </c>
      <c r="H70" s="13" t="s">
        <v>203</v>
      </c>
      <c r="I70" s="12"/>
      <c r="J70" s="12"/>
      <c r="K70" s="12"/>
      <c r="L70" s="12"/>
      <c r="M70" s="12"/>
      <c r="N70" s="14" t="s">
        <v>199</v>
      </c>
    </row>
    <row r="71" spans="2:14" x14ac:dyDescent="0.25">
      <c r="B71" s="9">
        <v>62</v>
      </c>
      <c r="C71" s="10" t="s">
        <v>22</v>
      </c>
      <c r="D71" s="11"/>
      <c r="E71" s="12" t="s">
        <v>204</v>
      </c>
      <c r="F71" s="12" t="s">
        <v>205</v>
      </c>
      <c r="G71" s="12" t="s">
        <v>206</v>
      </c>
      <c r="H71" s="13" t="s">
        <v>207</v>
      </c>
      <c r="I71" s="12"/>
      <c r="J71" s="12"/>
      <c r="K71" s="12"/>
      <c r="L71" s="12"/>
      <c r="M71" s="12"/>
      <c r="N71" s="14" t="s">
        <v>208</v>
      </c>
    </row>
    <row r="72" spans="2:14" x14ac:dyDescent="0.25">
      <c r="B72" s="9">
        <v>63</v>
      </c>
      <c r="C72" s="10" t="s">
        <v>22</v>
      </c>
      <c r="D72" s="11" t="s">
        <v>209</v>
      </c>
      <c r="E72" s="11" t="s">
        <v>210</v>
      </c>
      <c r="F72" s="11" t="s">
        <v>211</v>
      </c>
      <c r="G72" s="12" t="s">
        <v>212</v>
      </c>
      <c r="H72" s="13" t="s">
        <v>213</v>
      </c>
      <c r="I72" s="12"/>
      <c r="J72" s="12"/>
      <c r="K72" s="12"/>
      <c r="L72" s="12"/>
      <c r="M72" s="12"/>
      <c r="N72" s="14" t="s">
        <v>214</v>
      </c>
    </row>
    <row r="73" spans="2:14" x14ac:dyDescent="0.25">
      <c r="B73" s="9">
        <v>64</v>
      </c>
      <c r="C73" s="15" t="s">
        <v>37</v>
      </c>
      <c r="D73" s="11"/>
      <c r="E73" s="11"/>
      <c r="F73" s="11"/>
      <c r="G73" s="12" t="s">
        <v>215</v>
      </c>
      <c r="H73" s="13" t="s">
        <v>216</v>
      </c>
      <c r="I73" s="12"/>
      <c r="J73" s="12"/>
      <c r="K73" s="12"/>
      <c r="L73" s="12"/>
      <c r="M73" s="12"/>
      <c r="N73" s="14" t="s">
        <v>214</v>
      </c>
    </row>
    <row r="74" spans="2:14" x14ac:dyDescent="0.25">
      <c r="B74" s="9">
        <v>65</v>
      </c>
      <c r="C74" s="15" t="s">
        <v>37</v>
      </c>
      <c r="D74" s="11"/>
      <c r="E74" s="11"/>
      <c r="F74" s="11"/>
      <c r="G74" s="12" t="s">
        <v>217</v>
      </c>
      <c r="H74" s="13" t="s">
        <v>218</v>
      </c>
      <c r="I74" s="12"/>
      <c r="J74" s="12"/>
      <c r="K74" s="12"/>
      <c r="L74" s="12"/>
      <c r="M74" s="12"/>
      <c r="N74" s="14" t="s">
        <v>219</v>
      </c>
    </row>
    <row r="75" spans="2:14" x14ac:dyDescent="0.25">
      <c r="B75" s="9">
        <v>66</v>
      </c>
      <c r="C75" s="15" t="s">
        <v>37</v>
      </c>
      <c r="D75" s="11"/>
      <c r="E75" s="11"/>
      <c r="F75" s="11"/>
      <c r="G75" s="12" t="s">
        <v>220</v>
      </c>
      <c r="H75" s="13" t="s">
        <v>221</v>
      </c>
      <c r="I75" s="12"/>
      <c r="J75" s="12"/>
      <c r="K75" s="12"/>
      <c r="L75" s="12"/>
      <c r="M75" s="12"/>
      <c r="N75" s="14" t="s">
        <v>222</v>
      </c>
    </row>
    <row r="76" spans="2:14" x14ac:dyDescent="0.25">
      <c r="B76" s="9">
        <v>67</v>
      </c>
      <c r="C76" s="10" t="s">
        <v>22</v>
      </c>
      <c r="D76" s="11"/>
      <c r="E76" s="11" t="s">
        <v>223</v>
      </c>
      <c r="F76" s="11" t="s">
        <v>224</v>
      </c>
      <c r="G76" s="12" t="s">
        <v>225</v>
      </c>
      <c r="H76" s="13" t="s">
        <v>226</v>
      </c>
      <c r="I76" s="12"/>
      <c r="J76" s="12"/>
      <c r="K76" s="12"/>
      <c r="L76" s="12"/>
      <c r="M76" s="12"/>
      <c r="N76" s="14" t="s">
        <v>227</v>
      </c>
    </row>
    <row r="77" spans="2:14" x14ac:dyDescent="0.25">
      <c r="B77" s="9">
        <v>68</v>
      </c>
      <c r="C77" s="15" t="s">
        <v>37</v>
      </c>
      <c r="D77" s="11"/>
      <c r="E77" s="11"/>
      <c r="F77" s="11"/>
      <c r="G77" s="12" t="s">
        <v>228</v>
      </c>
      <c r="H77" s="13" t="s">
        <v>229</v>
      </c>
      <c r="I77" s="12"/>
      <c r="J77" s="12"/>
      <c r="K77" s="12"/>
      <c r="L77" s="12"/>
      <c r="M77" s="12"/>
      <c r="N77" s="14" t="s">
        <v>227</v>
      </c>
    </row>
    <row r="78" spans="2:14" x14ac:dyDescent="0.25">
      <c r="B78" s="9">
        <v>69</v>
      </c>
      <c r="C78" s="15" t="s">
        <v>37</v>
      </c>
      <c r="D78" s="11"/>
      <c r="E78" s="11"/>
      <c r="F78" s="11"/>
      <c r="G78" s="12" t="s">
        <v>230</v>
      </c>
      <c r="H78" s="13" t="s">
        <v>231</v>
      </c>
      <c r="I78" s="12"/>
      <c r="J78" s="12"/>
      <c r="K78" s="12"/>
      <c r="L78" s="12"/>
      <c r="M78" s="12"/>
      <c r="N78" s="14" t="s">
        <v>227</v>
      </c>
    </row>
    <row r="79" spans="2:14" x14ac:dyDescent="0.25">
      <c r="B79" s="9">
        <v>70</v>
      </c>
      <c r="C79" s="10" t="s">
        <v>22</v>
      </c>
      <c r="D79" s="11"/>
      <c r="E79" s="11" t="s">
        <v>232</v>
      </c>
      <c r="F79" s="11" t="s">
        <v>233</v>
      </c>
      <c r="G79" s="12" t="s">
        <v>234</v>
      </c>
      <c r="H79" s="13" t="s">
        <v>235</v>
      </c>
      <c r="I79" s="12"/>
      <c r="J79" s="12"/>
      <c r="K79" s="12"/>
      <c r="L79" s="12"/>
      <c r="M79" s="12"/>
      <c r="N79" s="14" t="s">
        <v>236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237</v>
      </c>
      <c r="H80" s="13" t="s">
        <v>238</v>
      </c>
      <c r="I80" s="12"/>
      <c r="J80" s="12"/>
      <c r="K80" s="12"/>
      <c r="L80" s="12"/>
      <c r="M80" s="12"/>
      <c r="N80" s="14" t="s">
        <v>236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239</v>
      </c>
      <c r="H81" s="13" t="s">
        <v>240</v>
      </c>
      <c r="I81" s="12"/>
      <c r="J81" s="12"/>
      <c r="K81" s="12"/>
      <c r="L81" s="12"/>
      <c r="M81" s="12"/>
      <c r="N81" s="14" t="s">
        <v>236</v>
      </c>
    </row>
    <row r="82" spans="2:14" x14ac:dyDescent="0.25">
      <c r="B82" s="9">
        <v>73</v>
      </c>
      <c r="C82" s="15" t="s">
        <v>37</v>
      </c>
      <c r="D82" s="11"/>
      <c r="E82" s="11"/>
      <c r="F82" s="11"/>
      <c r="G82" s="12" t="s">
        <v>241</v>
      </c>
      <c r="H82" s="13" t="s">
        <v>242</v>
      </c>
      <c r="I82" s="12"/>
      <c r="J82" s="12"/>
      <c r="K82" s="12"/>
      <c r="L82" s="12"/>
      <c r="M82" s="12"/>
      <c r="N82" s="14" t="s">
        <v>236</v>
      </c>
    </row>
    <row r="83" spans="2:14" x14ac:dyDescent="0.25">
      <c r="B83" s="9">
        <v>74</v>
      </c>
      <c r="C83" s="10" t="s">
        <v>22</v>
      </c>
      <c r="D83" s="11"/>
      <c r="E83" s="11"/>
      <c r="F83" s="11" t="s">
        <v>243</v>
      </c>
      <c r="G83" s="12" t="s">
        <v>244</v>
      </c>
      <c r="H83" s="13" t="s">
        <v>245</v>
      </c>
      <c r="I83" s="12"/>
      <c r="J83" s="12"/>
      <c r="K83" s="12"/>
      <c r="L83" s="12"/>
      <c r="M83" s="12"/>
      <c r="N83" s="14" t="s">
        <v>236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246</v>
      </c>
      <c r="H84" s="13" t="s">
        <v>247</v>
      </c>
      <c r="I84" s="12"/>
      <c r="J84" s="12"/>
      <c r="K84" s="12"/>
      <c r="L84" s="12"/>
      <c r="M84" s="12"/>
      <c r="N84" s="14" t="s">
        <v>236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248</v>
      </c>
      <c r="H85" s="13" t="s">
        <v>249</v>
      </c>
      <c r="I85" s="12"/>
      <c r="J85" s="12"/>
      <c r="K85" s="12"/>
      <c r="L85" s="12"/>
      <c r="M85" s="12"/>
      <c r="N85" s="14" t="s">
        <v>236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250</v>
      </c>
      <c r="H86" s="13" t="s">
        <v>251</v>
      </c>
      <c r="I86" s="12"/>
      <c r="J86" s="12"/>
      <c r="K86" s="12"/>
      <c r="L86" s="12"/>
      <c r="M86" s="12"/>
      <c r="N86" s="14" t="s">
        <v>236</v>
      </c>
    </row>
    <row r="87" spans="2:14" x14ac:dyDescent="0.25">
      <c r="B87" s="9">
        <v>78</v>
      </c>
      <c r="C87" s="10" t="s">
        <v>22</v>
      </c>
      <c r="D87" s="11"/>
      <c r="E87" s="11"/>
      <c r="F87" s="11"/>
      <c r="G87" s="12" t="s">
        <v>252</v>
      </c>
      <c r="H87" s="13" t="s">
        <v>253</v>
      </c>
      <c r="I87" s="12"/>
      <c r="J87" s="12"/>
      <c r="K87" s="12"/>
      <c r="L87" s="12"/>
      <c r="M87" s="12"/>
      <c r="N87" s="14" t="s">
        <v>236</v>
      </c>
    </row>
    <row r="88" spans="2:14" x14ac:dyDescent="0.25">
      <c r="B88" s="9">
        <v>79</v>
      </c>
      <c r="C88" s="16" t="s">
        <v>54</v>
      </c>
      <c r="D88" s="11"/>
      <c r="E88" s="12" t="s">
        <v>254</v>
      </c>
      <c r="F88" s="12" t="s">
        <v>255</v>
      </c>
      <c r="G88" s="12" t="s">
        <v>256</v>
      </c>
      <c r="H88" s="13" t="s">
        <v>257</v>
      </c>
      <c r="I88" s="12"/>
      <c r="J88" s="12"/>
      <c r="K88" s="12"/>
      <c r="L88" s="12"/>
      <c r="M88" s="12"/>
      <c r="N88" s="14" t="s">
        <v>227</v>
      </c>
    </row>
    <row r="89" spans="2:14" x14ac:dyDescent="0.25">
      <c r="B89" s="9">
        <v>80</v>
      </c>
      <c r="C89" s="10" t="s">
        <v>22</v>
      </c>
      <c r="D89" s="11"/>
      <c r="E89" s="11" t="s">
        <v>195</v>
      </c>
      <c r="F89" s="12" t="s">
        <v>258</v>
      </c>
      <c r="G89" s="12" t="s">
        <v>197</v>
      </c>
      <c r="H89" s="13" t="s">
        <v>259</v>
      </c>
      <c r="I89" s="12"/>
      <c r="J89" s="12"/>
      <c r="K89" s="12"/>
      <c r="L89" s="12"/>
      <c r="M89" s="12"/>
      <c r="N89" s="14" t="s">
        <v>260</v>
      </c>
    </row>
    <row r="90" spans="2:14" x14ac:dyDescent="0.25">
      <c r="B90" s="9">
        <v>81</v>
      </c>
      <c r="C90" s="10" t="s">
        <v>22</v>
      </c>
      <c r="D90" s="11"/>
      <c r="E90" s="11"/>
      <c r="F90" s="12" t="s">
        <v>261</v>
      </c>
      <c r="G90" s="12" t="s">
        <v>197</v>
      </c>
      <c r="H90" s="13" t="s">
        <v>262</v>
      </c>
      <c r="I90" s="12"/>
      <c r="J90" s="12"/>
      <c r="K90" s="12"/>
      <c r="L90" s="12"/>
      <c r="M90" s="12"/>
      <c r="N90" s="14" t="s">
        <v>263</v>
      </c>
    </row>
    <row r="91" spans="2:14" x14ac:dyDescent="0.25">
      <c r="B91" s="9">
        <v>82</v>
      </c>
      <c r="C91" s="10" t="s">
        <v>22</v>
      </c>
      <c r="D91" s="11"/>
      <c r="E91" s="11"/>
      <c r="F91" s="12" t="s">
        <v>196</v>
      </c>
      <c r="G91" s="12" t="s">
        <v>197</v>
      </c>
      <c r="H91" s="13" t="s">
        <v>264</v>
      </c>
      <c r="I91" s="12"/>
      <c r="J91" s="12"/>
      <c r="K91" s="12"/>
      <c r="L91" s="12"/>
      <c r="M91" s="12"/>
      <c r="N91" s="14" t="s">
        <v>265</v>
      </c>
    </row>
    <row r="92" spans="2:14" x14ac:dyDescent="0.25">
      <c r="B92" s="9">
        <v>83</v>
      </c>
      <c r="C92" s="10" t="s">
        <v>22</v>
      </c>
      <c r="D92" s="11"/>
      <c r="E92" s="11"/>
      <c r="F92" s="12" t="s">
        <v>266</v>
      </c>
      <c r="G92" s="12" t="s">
        <v>197</v>
      </c>
      <c r="H92" s="13" t="s">
        <v>267</v>
      </c>
      <c r="I92" s="12"/>
      <c r="J92" s="12"/>
      <c r="K92" s="12"/>
      <c r="L92" s="12"/>
      <c r="M92" s="12"/>
      <c r="N92" s="14" t="s">
        <v>268</v>
      </c>
    </row>
    <row r="93" spans="2:14" x14ac:dyDescent="0.25">
      <c r="B93" s="9">
        <v>84</v>
      </c>
      <c r="C93" s="10" t="s">
        <v>22</v>
      </c>
      <c r="D93" s="11"/>
      <c r="E93" s="11"/>
      <c r="F93" s="12" t="s">
        <v>269</v>
      </c>
      <c r="G93" s="12" t="s">
        <v>197</v>
      </c>
      <c r="H93" s="13" t="s">
        <v>270</v>
      </c>
      <c r="I93" s="12"/>
      <c r="J93" s="12"/>
      <c r="K93" s="12"/>
      <c r="L93" s="12"/>
      <c r="M93" s="12"/>
      <c r="N93" s="14" t="s">
        <v>265</v>
      </c>
    </row>
    <row r="94" spans="2:14" x14ac:dyDescent="0.25">
      <c r="B94" s="9">
        <v>85</v>
      </c>
      <c r="C94" s="10" t="s">
        <v>22</v>
      </c>
      <c r="D94" s="11" t="s">
        <v>271</v>
      </c>
      <c r="E94" s="11" t="s">
        <v>272</v>
      </c>
      <c r="F94" s="11" t="s">
        <v>273</v>
      </c>
      <c r="G94" s="12" t="s">
        <v>274</v>
      </c>
      <c r="H94" s="13" t="s">
        <v>275</v>
      </c>
      <c r="I94" s="12"/>
      <c r="J94" s="12"/>
      <c r="K94" s="12"/>
      <c r="L94" s="12"/>
      <c r="M94" s="12"/>
      <c r="N94" s="14" t="s">
        <v>276</v>
      </c>
    </row>
    <row r="95" spans="2:14" x14ac:dyDescent="0.25">
      <c r="B95" s="9">
        <v>86</v>
      </c>
      <c r="C95" s="15" t="s">
        <v>37</v>
      </c>
      <c r="D95" s="11"/>
      <c r="E95" s="11"/>
      <c r="F95" s="11"/>
      <c r="G95" s="12" t="s">
        <v>277</v>
      </c>
      <c r="H95" s="13" t="s">
        <v>278</v>
      </c>
      <c r="I95" s="12"/>
      <c r="J95" s="12"/>
      <c r="K95" s="12"/>
      <c r="L95" s="12"/>
      <c r="M95" s="12"/>
      <c r="N95" s="14" t="s">
        <v>276</v>
      </c>
    </row>
    <row r="96" spans="2:14" x14ac:dyDescent="0.25">
      <c r="B96" s="9">
        <v>87</v>
      </c>
      <c r="C96" s="10" t="s">
        <v>22</v>
      </c>
      <c r="D96" s="11"/>
      <c r="E96" s="11"/>
      <c r="F96" s="11" t="s">
        <v>279</v>
      </c>
      <c r="G96" s="12" t="s">
        <v>280</v>
      </c>
      <c r="H96" s="13" t="s">
        <v>281</v>
      </c>
      <c r="I96" s="12"/>
      <c r="J96" s="12"/>
      <c r="K96" s="12"/>
      <c r="L96" s="12"/>
      <c r="M96" s="12"/>
      <c r="N96" s="14" t="s">
        <v>282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283</v>
      </c>
      <c r="H97" s="13" t="s">
        <v>284</v>
      </c>
      <c r="I97" s="12"/>
      <c r="J97" s="12"/>
      <c r="K97" s="12"/>
      <c r="L97" s="12"/>
      <c r="M97" s="12"/>
      <c r="N97" s="14" t="s">
        <v>282</v>
      </c>
    </row>
    <row r="98" spans="2:14" x14ac:dyDescent="0.25">
      <c r="B98" s="9">
        <v>89</v>
      </c>
      <c r="C98" s="15" t="s">
        <v>37</v>
      </c>
      <c r="D98" s="11"/>
      <c r="E98" s="11"/>
      <c r="F98" s="11"/>
      <c r="G98" s="12" t="s">
        <v>285</v>
      </c>
      <c r="H98" s="13" t="s">
        <v>286</v>
      </c>
      <c r="I98" s="12"/>
      <c r="J98" s="12"/>
      <c r="K98" s="12"/>
      <c r="L98" s="12"/>
      <c r="M98" s="12"/>
      <c r="N98" s="14" t="s">
        <v>276</v>
      </c>
    </row>
    <row r="99" spans="2:14" x14ac:dyDescent="0.25">
      <c r="B99" s="9">
        <v>90</v>
      </c>
      <c r="C99" s="16" t="s">
        <v>54</v>
      </c>
      <c r="D99" s="11"/>
      <c r="E99" s="11" t="s">
        <v>287</v>
      </c>
      <c r="F99" s="11" t="s">
        <v>288</v>
      </c>
      <c r="G99" s="12" t="s">
        <v>289</v>
      </c>
      <c r="H99" s="13" t="s">
        <v>290</v>
      </c>
      <c r="I99" s="12"/>
      <c r="J99" s="12"/>
      <c r="K99" s="12"/>
      <c r="L99" s="12"/>
      <c r="M99" s="12"/>
      <c r="N99" s="14" t="s">
        <v>282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274</v>
      </c>
      <c r="H100" s="13" t="s">
        <v>291</v>
      </c>
      <c r="I100" s="12"/>
      <c r="J100" s="12"/>
      <c r="K100" s="12"/>
      <c r="L100" s="12"/>
      <c r="M100" s="12"/>
      <c r="N100" s="14" t="s">
        <v>292</v>
      </c>
    </row>
    <row r="101" spans="2:14" x14ac:dyDescent="0.25">
      <c r="B101" s="9">
        <v>92</v>
      </c>
      <c r="C101" s="10" t="s">
        <v>22</v>
      </c>
      <c r="D101" s="11"/>
      <c r="E101" s="11"/>
      <c r="F101" s="11"/>
      <c r="G101" s="12" t="s">
        <v>293</v>
      </c>
      <c r="H101" s="13" t="s">
        <v>294</v>
      </c>
      <c r="I101" s="12"/>
      <c r="J101" s="12"/>
      <c r="K101" s="12"/>
      <c r="L101" s="12"/>
      <c r="M101" s="12"/>
      <c r="N101" s="14" t="s">
        <v>292</v>
      </c>
    </row>
    <row r="102" spans="2:14" x14ac:dyDescent="0.25">
      <c r="B102" s="9">
        <v>93</v>
      </c>
      <c r="C102" s="10" t="s">
        <v>22</v>
      </c>
      <c r="D102" s="11"/>
      <c r="E102" s="11"/>
      <c r="F102" s="11"/>
      <c r="G102" s="12" t="s">
        <v>295</v>
      </c>
      <c r="H102" s="13" t="s">
        <v>296</v>
      </c>
      <c r="I102" s="12"/>
      <c r="J102" s="12"/>
      <c r="K102" s="12"/>
      <c r="L102" s="12"/>
      <c r="M102" s="12"/>
      <c r="N102" s="14" t="s">
        <v>292</v>
      </c>
    </row>
    <row r="103" spans="2:14" x14ac:dyDescent="0.25">
      <c r="B103" s="9">
        <v>94</v>
      </c>
      <c r="C103" s="15" t="s">
        <v>37</v>
      </c>
      <c r="D103" s="11"/>
      <c r="E103" s="11"/>
      <c r="F103" s="11"/>
      <c r="G103" s="12" t="s">
        <v>297</v>
      </c>
      <c r="H103" s="13" t="s">
        <v>298</v>
      </c>
      <c r="I103" s="12"/>
      <c r="J103" s="12"/>
      <c r="K103" s="12"/>
      <c r="L103" s="12"/>
      <c r="M103" s="12"/>
      <c r="N103" s="14" t="s">
        <v>292</v>
      </c>
    </row>
    <row r="104" spans="2:14" x14ac:dyDescent="0.25">
      <c r="B104" s="9">
        <v>95</v>
      </c>
      <c r="C104" s="10" t="s">
        <v>22</v>
      </c>
      <c r="D104" s="11"/>
      <c r="E104" s="11" t="s">
        <v>299</v>
      </c>
      <c r="F104" s="11" t="s">
        <v>300</v>
      </c>
      <c r="G104" s="12" t="s">
        <v>181</v>
      </c>
      <c r="H104" s="13" t="s">
        <v>301</v>
      </c>
      <c r="I104" s="12"/>
      <c r="J104" s="12"/>
      <c r="K104" s="12"/>
      <c r="L104" s="12"/>
      <c r="M104" s="12"/>
      <c r="N104" s="14" t="s">
        <v>302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303</v>
      </c>
      <c r="H105" s="13" t="s">
        <v>304</v>
      </c>
      <c r="I105" s="12"/>
      <c r="J105" s="12"/>
      <c r="K105" s="12"/>
      <c r="L105" s="12"/>
      <c r="M105" s="12"/>
      <c r="N105" s="14" t="s">
        <v>302</v>
      </c>
    </row>
    <row r="106" spans="2:14" x14ac:dyDescent="0.25">
      <c r="B106" s="9">
        <v>97</v>
      </c>
      <c r="C106" s="10" t="s">
        <v>22</v>
      </c>
      <c r="D106" s="11"/>
      <c r="E106" s="11"/>
      <c r="F106" s="11"/>
      <c r="G106" s="12" t="s">
        <v>305</v>
      </c>
      <c r="H106" s="13" t="s">
        <v>306</v>
      </c>
      <c r="I106" s="12"/>
      <c r="J106" s="12"/>
      <c r="K106" s="12"/>
      <c r="L106" s="12"/>
      <c r="M106" s="12"/>
      <c r="N106" s="14" t="s">
        <v>302</v>
      </c>
    </row>
    <row r="107" spans="2:14" x14ac:dyDescent="0.25">
      <c r="B107" s="9">
        <v>98</v>
      </c>
      <c r="C107" s="15" t="s">
        <v>37</v>
      </c>
      <c r="D107" s="11"/>
      <c r="E107" s="11"/>
      <c r="F107" s="11"/>
      <c r="G107" s="12" t="s">
        <v>307</v>
      </c>
      <c r="H107" s="13" t="s">
        <v>308</v>
      </c>
      <c r="I107" s="12"/>
      <c r="J107" s="12"/>
      <c r="K107" s="12"/>
      <c r="L107" s="12"/>
      <c r="M107" s="12"/>
      <c r="N107" s="14" t="s">
        <v>302</v>
      </c>
    </row>
    <row r="108" spans="2:14" x14ac:dyDescent="0.25">
      <c r="B108" s="9">
        <v>99</v>
      </c>
      <c r="C108" s="15" t="s">
        <v>37</v>
      </c>
      <c r="D108" s="11"/>
      <c r="E108" s="11"/>
      <c r="F108" s="11"/>
      <c r="G108" s="12" t="s">
        <v>309</v>
      </c>
      <c r="H108" s="13" t="s">
        <v>310</v>
      </c>
      <c r="I108" s="12"/>
      <c r="J108" s="12"/>
      <c r="K108" s="12"/>
      <c r="L108" s="12"/>
      <c r="M108" s="12"/>
      <c r="N108" s="14" t="s">
        <v>302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311</v>
      </c>
      <c r="H109" s="13" t="s">
        <v>312</v>
      </c>
      <c r="I109" s="12"/>
      <c r="J109" s="12"/>
      <c r="K109" s="12"/>
      <c r="L109" s="12"/>
      <c r="M109" s="12"/>
      <c r="N109" s="14" t="s">
        <v>302</v>
      </c>
    </row>
    <row r="110" spans="2:14" x14ac:dyDescent="0.25">
      <c r="B110" s="9">
        <v>101</v>
      </c>
      <c r="C110" s="10" t="s">
        <v>22</v>
      </c>
      <c r="D110" s="11"/>
      <c r="E110" s="11" t="s">
        <v>313</v>
      </c>
      <c r="F110" s="11" t="s">
        <v>314</v>
      </c>
      <c r="G110" s="12" t="s">
        <v>315</v>
      </c>
      <c r="H110" s="13" t="s">
        <v>316</v>
      </c>
      <c r="I110" s="12"/>
      <c r="J110" s="12"/>
      <c r="K110" s="12"/>
      <c r="L110" s="12"/>
      <c r="M110" s="12"/>
      <c r="N110" s="14" t="s">
        <v>317</v>
      </c>
    </row>
    <row r="111" spans="2:14" x14ac:dyDescent="0.25">
      <c r="B111" s="9">
        <v>102</v>
      </c>
      <c r="C111" s="10" t="s">
        <v>22</v>
      </c>
      <c r="D111" s="11"/>
      <c r="E111" s="11"/>
      <c r="F111" s="11"/>
      <c r="G111" s="12" t="s">
        <v>318</v>
      </c>
      <c r="H111" s="13" t="s">
        <v>319</v>
      </c>
      <c r="I111" s="12"/>
      <c r="J111" s="12"/>
      <c r="K111" s="12"/>
      <c r="L111" s="12"/>
      <c r="M111" s="12"/>
      <c r="N111" s="14" t="s">
        <v>317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320</v>
      </c>
      <c r="H112" s="13" t="s">
        <v>321</v>
      </c>
      <c r="I112" s="12"/>
      <c r="J112" s="12"/>
      <c r="K112" s="12"/>
      <c r="L112" s="12"/>
      <c r="M112" s="12"/>
      <c r="N112" s="14" t="s">
        <v>317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322</v>
      </c>
      <c r="H113" s="13" t="s">
        <v>323</v>
      </c>
      <c r="I113" s="12"/>
      <c r="J113" s="12"/>
      <c r="K113" s="12"/>
      <c r="L113" s="12"/>
      <c r="M113" s="12"/>
      <c r="N113" s="14" t="s">
        <v>317</v>
      </c>
    </row>
    <row r="114" spans="2:14" x14ac:dyDescent="0.25">
      <c r="B114" s="9">
        <v>105</v>
      </c>
      <c r="C114" s="10" t="s">
        <v>22</v>
      </c>
      <c r="D114" s="11"/>
      <c r="E114" s="11" t="s">
        <v>324</v>
      </c>
      <c r="F114" s="11" t="s">
        <v>325</v>
      </c>
      <c r="G114" s="12" t="s">
        <v>326</v>
      </c>
      <c r="H114" s="13" t="s">
        <v>327</v>
      </c>
      <c r="I114" s="12"/>
      <c r="J114" s="12"/>
      <c r="K114" s="12"/>
      <c r="L114" s="12"/>
      <c r="M114" s="12"/>
      <c r="N114" s="14" t="s">
        <v>328</v>
      </c>
    </row>
    <row r="115" spans="2:14" x14ac:dyDescent="0.25">
      <c r="B115" s="9">
        <v>106</v>
      </c>
      <c r="C115" s="10" t="s">
        <v>22</v>
      </c>
      <c r="D115" s="11"/>
      <c r="E115" s="11"/>
      <c r="F115" s="11"/>
      <c r="G115" s="12" t="s">
        <v>329</v>
      </c>
      <c r="H115" s="13" t="s">
        <v>330</v>
      </c>
      <c r="I115" s="12"/>
      <c r="J115" s="12"/>
      <c r="K115" s="12"/>
      <c r="L115" s="12"/>
      <c r="M115" s="12"/>
      <c r="N115" s="14" t="s">
        <v>328</v>
      </c>
    </row>
    <row r="116" spans="2:14" x14ac:dyDescent="0.25">
      <c r="B116" s="9">
        <v>107</v>
      </c>
      <c r="C116" s="16" t="s">
        <v>54</v>
      </c>
      <c r="D116" s="11"/>
      <c r="E116" s="11"/>
      <c r="F116" s="11"/>
      <c r="G116" s="12" t="s">
        <v>331</v>
      </c>
      <c r="H116" s="13" t="s">
        <v>332</v>
      </c>
      <c r="I116" s="12"/>
      <c r="J116" s="12"/>
      <c r="K116" s="12"/>
      <c r="L116" s="12"/>
      <c r="M116" s="12"/>
      <c r="N116" s="14" t="s">
        <v>328</v>
      </c>
    </row>
    <row r="117" spans="2:14" x14ac:dyDescent="0.25">
      <c r="B117" s="9">
        <v>108</v>
      </c>
      <c r="C117" s="16" t="s">
        <v>54</v>
      </c>
      <c r="D117" s="11"/>
      <c r="E117" s="11" t="s">
        <v>333</v>
      </c>
      <c r="F117" s="11" t="s">
        <v>334</v>
      </c>
      <c r="G117" s="12" t="s">
        <v>335</v>
      </c>
      <c r="H117" s="13" t="s">
        <v>336</v>
      </c>
      <c r="I117" s="12"/>
      <c r="J117" s="12"/>
      <c r="K117" s="12"/>
      <c r="L117" s="12"/>
      <c r="M117" s="12"/>
      <c r="N117" s="14" t="s">
        <v>337</v>
      </c>
    </row>
    <row r="118" spans="2:14" x14ac:dyDescent="0.25">
      <c r="B118" s="9">
        <v>109</v>
      </c>
      <c r="C118" s="10" t="s">
        <v>22</v>
      </c>
      <c r="D118" s="11"/>
      <c r="E118" s="11"/>
      <c r="F118" s="11"/>
      <c r="G118" s="12" t="s">
        <v>338</v>
      </c>
      <c r="H118" s="13" t="s">
        <v>339</v>
      </c>
      <c r="I118" s="12"/>
      <c r="J118" s="12"/>
      <c r="K118" s="12"/>
      <c r="L118" s="12"/>
      <c r="M118" s="12"/>
      <c r="N118" s="14" t="s">
        <v>337</v>
      </c>
    </row>
    <row r="119" spans="2:14" x14ac:dyDescent="0.25">
      <c r="B119" s="9">
        <v>110</v>
      </c>
      <c r="C119" s="15" t="s">
        <v>37</v>
      </c>
      <c r="D119" s="11"/>
      <c r="E119" s="11"/>
      <c r="F119" s="11"/>
      <c r="G119" s="12" t="s">
        <v>340</v>
      </c>
      <c r="H119" s="13" t="s">
        <v>341</v>
      </c>
      <c r="I119" s="12"/>
      <c r="J119" s="12"/>
      <c r="K119" s="12"/>
      <c r="L119" s="12"/>
      <c r="M119" s="12"/>
      <c r="N119" s="14" t="s">
        <v>337</v>
      </c>
    </row>
    <row r="120" spans="2:14" x14ac:dyDescent="0.25">
      <c r="B120" s="9">
        <v>111</v>
      </c>
      <c r="C120" s="10" t="s">
        <v>22</v>
      </c>
      <c r="D120" s="11"/>
      <c r="E120" s="12" t="s">
        <v>342</v>
      </c>
      <c r="F120" s="12" t="s">
        <v>343</v>
      </c>
      <c r="G120" s="12" t="s">
        <v>206</v>
      </c>
      <c r="H120" s="13" t="s">
        <v>344</v>
      </c>
      <c r="I120" s="12"/>
      <c r="J120" s="12"/>
      <c r="K120" s="12"/>
      <c r="L120" s="12"/>
      <c r="M120" s="12"/>
      <c r="N120" s="14" t="s">
        <v>292</v>
      </c>
    </row>
  </sheetData>
  <mergeCells count="54">
    <mergeCell ref="D10:D21"/>
    <mergeCell ref="E10:E11"/>
    <mergeCell ref="F10:F11"/>
    <mergeCell ref="E12:E14"/>
    <mergeCell ref="F12:F14"/>
    <mergeCell ref="E15:E21"/>
    <mergeCell ref="F15:F19"/>
    <mergeCell ref="F20:F21"/>
    <mergeCell ref="D22:D71"/>
    <mergeCell ref="E22:E25"/>
    <mergeCell ref="F22:F24"/>
    <mergeCell ref="E26:E29"/>
    <mergeCell ref="F26:F29"/>
    <mergeCell ref="E30:E32"/>
    <mergeCell ref="F30:F32"/>
    <mergeCell ref="E33:E40"/>
    <mergeCell ref="F33:F34"/>
    <mergeCell ref="F35:F40"/>
    <mergeCell ref="E41:E48"/>
    <mergeCell ref="F41:F42"/>
    <mergeCell ref="F43:F45"/>
    <mergeCell ref="F46:F48"/>
    <mergeCell ref="E49:E50"/>
    <mergeCell ref="F49:F50"/>
    <mergeCell ref="E51:E57"/>
    <mergeCell ref="F52:F57"/>
    <mergeCell ref="E58:E60"/>
    <mergeCell ref="F58:F60"/>
    <mergeCell ref="E61:E67"/>
    <mergeCell ref="F61:F67"/>
    <mergeCell ref="E68:E70"/>
    <mergeCell ref="D72:D93"/>
    <mergeCell ref="E72:E75"/>
    <mergeCell ref="F72:F75"/>
    <mergeCell ref="E76:E78"/>
    <mergeCell ref="F76:F78"/>
    <mergeCell ref="E79:E87"/>
    <mergeCell ref="F79:F82"/>
    <mergeCell ref="F83:F87"/>
    <mergeCell ref="E89:E93"/>
    <mergeCell ref="D94:D120"/>
    <mergeCell ref="E94:E98"/>
    <mergeCell ref="F94:F95"/>
    <mergeCell ref="F96:F98"/>
    <mergeCell ref="E99:E103"/>
    <mergeCell ref="F99:F103"/>
    <mergeCell ref="E104:E109"/>
    <mergeCell ref="F104:F109"/>
    <mergeCell ref="E110:E113"/>
    <mergeCell ref="F110:F113"/>
    <mergeCell ref="E114:E116"/>
    <mergeCell ref="F114:F116"/>
    <mergeCell ref="E117:E119"/>
    <mergeCell ref="F117:F119"/>
  </mergeCells>
  <dataValidations count="1">
    <dataValidation type="list" allowBlank="1" showErrorMessage="1" errorTitle="잘못된 값" error="Pass, Fail, N/T, Block 중 하나를 선택하세요." sqref="I10:J12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레이드모드 개선(3차) - 프롬프트 카테고리 세분화 수정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2026-05-08T04:30:59Z</dcterms:created>
  <dcterms:modified xsi:type="dcterms:W3CDTF">2026-05-08T04:30:59Z</dcterms:modified>
</cp:coreProperties>
</file>