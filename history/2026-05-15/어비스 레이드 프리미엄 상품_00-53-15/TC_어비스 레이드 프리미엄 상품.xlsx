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어비스 레이드 프리미엄 상품" state="visible" r:id="rId4"/>
  </sheets>
  <calcPr calcId="171027"/>
</workbook>
</file>

<file path=xl/sharedStrings.xml><?xml version="1.0" encoding="utf-8"?>
<sst xmlns="http://schemas.openxmlformats.org/spreadsheetml/2006/main" count="203" uniqueCount="133">
  <si>
    <t>(C)어비스 레이드 프리미엄 상품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</si>
  <si>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</si>
  <si>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</si>
  <si>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</si>
  <si>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</si>
  <si>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</si>
  <si>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</si>
  <si>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</si>
  <si>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</si>
  <si>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</si>
  <si>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</si>
  <si>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</si>
  <si>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</si>
  <si>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</si>
  <si>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</si>
  <si>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</si>
  <si>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</si>
  <si>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</si>
  <si>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</si>
  <si>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</si>
  <si>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</si>
  <si>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</si>
  <si>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</si>
  <si>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도전 미션</t>
  </si>
  <si>
    <t>도전 미션 버튼</t>
  </si>
  <si>
    <t>버튼 표시</t>
  </si>
  <si>
    <t>버튼 출력</t>
  </si>
  <si>
    <t>어비스 레이드 로비 화면에 도전 미션 버튼이 출력된다.</t>
  </si>
  <si>
    <t>참고 화면: 어비스 레이드 로비 (①번 영역)</t>
  </si>
  <si>
    <t>노출 범위</t>
  </si>
  <si>
    <t>도전 미션 버튼은 어비스 레이드 로비에서만 표시되며, 다른 화면에서는 표시되지 않는다.</t>
  </si>
  <si>
    <t>참고 화면: 기획서 '1. 도전 미션 버튼' 섹션</t>
  </si>
  <si>
    <t>아이콘 출력</t>
  </si>
  <si>
    <t>도전 미션 버튼에 도전 미션 아이콘이 출력된다.</t>
  </si>
  <si>
    <t>버튼 동작</t>
  </si>
  <si>
    <t>팝업 진입</t>
  </si>
  <si>
    <t>도전 미션 버튼 터치 시, 도전 미션 팝업이 출력된다.</t>
  </si>
  <si>
    <t>참고 화면: 어비스 레이드 로비 → 미션 팝업 (②번 영역)</t>
  </si>
  <si>
    <t>Normal</t>
  </si>
  <si>
    <t>효과음</t>
  </si>
  <si>
    <t>도전 미션 버튼 터치 시, 효과음이 출력된다.</t>
  </si>
  <si>
    <t>도전 미션 팝업</t>
  </si>
  <si>
    <t>팝업 구성 요소</t>
  </si>
  <si>
    <t>타이틀 출력</t>
  </si>
  <si>
    <t>도전 미션 팝업 상단에 '미션' 타이틀이 출력된다.</t>
  </si>
  <si>
    <t>참고 화면: 미션 팝업 (②번 영역)</t>
  </si>
  <si>
    <t>닫기 버튼 출력</t>
  </si>
  <si>
    <t>도전 미션 팝업 우측 상단에 닫기(X) 버튼이 출력된다.</t>
  </si>
  <si>
    <t>팝업 출력 연출</t>
  </si>
  <si>
    <t>도전 미션 팝업이 출력될 때, 팝업 등장 연출이 재생된다.</t>
  </si>
  <si>
    <t>미션 리스트</t>
  </si>
  <si>
    <t>리스트 표시</t>
  </si>
  <si>
    <t>도전 미션 팝업에 현재 시즌에 해당하는 미션 리스트가 출력된다.</t>
  </si>
  <si>
    <t>참고 화면: 미션 팝업 (②번 영역), 기획서 '2. 도전 미션 팝업' 섹션</t>
  </si>
  <si>
    <t>미션 조건 텍스트 출력</t>
  </si>
  <si>
    <t>각 미션 항목에 미션 조건 텍스트가 출력된다.</t>
  </si>
  <si>
    <t>미션 조건 횟수 출력</t>
  </si>
  <si>
    <t>각 미션 항목에 수행 횟수 / 필요 횟수가 표시된다.</t>
  </si>
  <si>
    <t>참고 화면: 미션 팝업 (②번 영역) - 예: 0/500,000</t>
  </si>
  <si>
    <t>프로그레스 바 출력</t>
  </si>
  <si>
    <t>각 미션 항목에 수행 횟수 / 필요 횟수에 대한 프로그레스 바가 출력된다.</t>
  </si>
  <si>
    <t>프로그레스 바 수치 반영</t>
  </si>
  <si>
    <t>미션 조건 진행 시, 프로그레스 바와 수행 횟수 수치가 진행 상황에 맞게 반영된다.</t>
  </si>
  <si>
    <t>보상 아이콘 출력</t>
  </si>
  <si>
    <t>각 미션 항목에 획득 보상 아이콘이 출력된다.</t>
  </si>
  <si>
    <t>참고 화면: 미션 팝업 (②번 영역) - 보석 아이콘</t>
  </si>
  <si>
    <t>보상 개수 출력</t>
  </si>
  <si>
    <t>각 미션 항목에 획득 보상 개수가 출력된다.</t>
  </si>
  <si>
    <t>참고 화면: 미션 팝업 (②번 영역) - 예: 100</t>
  </si>
  <si>
    <t>리스트 정렬 - 획득 가능</t>
  </si>
  <si>
    <t>보상 획득 가능한 미션이 미션 리스트 최상단에 정렬된다.</t>
  </si>
  <si>
    <t>참고 화면: 기획서 '2. 도전 미션 팝업' 섹션</t>
  </si>
  <si>
    <t>리스트 정렬 - 획득 완료</t>
  </si>
  <si>
    <t>보상 획득 완료한 미션이 미션 리스트 최하단에 정렬된다.</t>
  </si>
  <si>
    <t>리스트 정렬 갱신</t>
  </si>
  <si>
    <t>미션 보상 획득 후, 해당 미션이 최하단으로 재정렬된다.</t>
  </si>
  <si>
    <t>리스트 스크롤</t>
  </si>
  <si>
    <t>미션 리스트가 화면에 모두 표시되지 않을 경우, 스크롤하여 나머지 미션을 확인할 수 있다.</t>
  </si>
  <si>
    <t>참고 화면: 미션 팝업 (②번 영역) - 4개 이상 미션 확인</t>
  </si>
  <si>
    <t>스크롤 바 출력</t>
  </si>
  <si>
    <t>미션 리스트 스크롤 시, 스크롤 바가 출력된다.</t>
  </si>
  <si>
    <t>획득 버튼</t>
  </si>
  <si>
    <t>비활성화 상태</t>
  </si>
  <si>
    <t>미션 조건 미달성 시, 획득 버튼이 딤드(비활성화) 처리되어 출력된다.</t>
  </si>
  <si>
    <t>참고 화면: 미션 팝업 (②번 영역), 기획서 '받기 버튼' 섹션</t>
  </si>
  <si>
    <t>비활성화 터치 불가</t>
  </si>
  <si>
    <t>딤드(비활성화) 상태의 획득 버튼 터치 시, 보상이 지급되지 않는다.</t>
  </si>
  <si>
    <t>참고 화면: 기획서 '받기 버튼' 섹션</t>
  </si>
  <si>
    <t>활성화 상태</t>
  </si>
  <si>
    <t>미션 조건 달성 시, 획득 버튼이 활성화 상태로 전환된다.</t>
  </si>
  <si>
    <t>Critical</t>
  </si>
  <si>
    <t>보상 획득</t>
  </si>
  <si>
    <t>활성화 상태의 획득 버튼 터치 시, 획득 가능한 모든 보상이 지급된다.</t>
  </si>
  <si>
    <t>재화 반영</t>
  </si>
  <si>
    <t>획득 버튼 터치 시, 지급된 보상이 보유 재화에 반영된다.</t>
  </si>
  <si>
    <t>참고 화면: 기획서 '보상 체계' 섹션</t>
  </si>
  <si>
    <t>보상 획득 연출</t>
  </si>
  <si>
    <t>획득 버튼 터치 시, 보상 획득 연출이 재생된다.</t>
  </si>
  <si>
    <t>획득 버튼 터치 시, 효과음이 출력된다.</t>
  </si>
  <si>
    <t>획득 완료 상태</t>
  </si>
  <si>
    <t>보상 획득 완료 후, 해당 미션의 획득 버튼이 획득 완료 상태로 변경된다.</t>
  </si>
  <si>
    <t>중복 획득 방지</t>
  </si>
  <si>
    <t>보상 획득 완료 상태의 미션에서 획득 버튼 터치 시, 보상이 중복 지급되지 않는다.</t>
  </si>
  <si>
    <t>닫기 동작</t>
  </si>
  <si>
    <t>닫기 버튼</t>
  </si>
  <si>
    <t>닫기(X) 버튼 터치 시, 도전 미션 팝업이 닫힌다.</t>
  </si>
  <si>
    <t>팝업 외부 터치</t>
  </si>
  <si>
    <t>도전 미션 팝업 외부 영역 터치 시, 팝업이 닫힌다.</t>
  </si>
  <si>
    <t>닫기 효과음</t>
  </si>
  <si>
    <t>도전 미션 팝업 닫기 시, 효과음이 출력된다.</t>
  </si>
  <si>
    <t>닫기 연출</t>
  </si>
  <si>
    <t>도전 미션 팝업 닫기 시, 팝업 닫힘 연출이 재생된다.</t>
  </si>
  <si>
    <t>로비 복귀</t>
  </si>
  <si>
    <t>도전 미션 팝업 닫기 시, 어비스 레이드 로비 화면으로 복귀된다.</t>
  </si>
  <si>
    <t>예외 처리</t>
  </si>
  <si>
    <t>시즌 종료</t>
  </si>
  <si>
    <t>시즌 변경 시, 도전 미션 팝업의 미션 리스트가 새로운 시즌에 해당하는 미션으로 갱신된다.</t>
  </si>
  <si>
    <t>보상 체계</t>
  </si>
  <si>
    <t>재화 지급</t>
  </si>
  <si>
    <t>즉시 지급</t>
  </si>
  <si>
    <t>도전 미션 하나 클리어 시, 즉시 유효 재화가 지급된다.</t>
  </si>
  <si>
    <t>참고 화면: 기획서 '규칙 2-A' 섹션</t>
  </si>
  <si>
    <t>개별 보상</t>
  </si>
  <si>
    <t>도전 미션의 보상은 마일스톤 없이 각 미션 개별 클리어 시 지급된다.</t>
  </si>
  <si>
    <t>마일스톤</t>
  </si>
  <si>
    <t>어비스 퀘스트 비공유</t>
  </si>
  <si>
    <t>도전 미션 보상 획득 시, 어비스 퀘스트의 마일스톤 진행도에 영향을 주지 않는다.</t>
  </si>
  <si>
    <t>참고 화면: 기획서 '규칙 2' 섹션</t>
  </si>
  <si>
    <t>퀘스트 독립 운영</t>
  </si>
  <si>
    <t>어비스 퀘스트의 마일스톤 보상 획득이 도전 미션의 진행도에 영향을 주지 않는다.</t>
  </si>
  <si>
    <t>보상 수량 일치</t>
  </si>
  <si>
    <t>도전 미션 보상 획득 시, 미션 리스트에 표시된 보상 아이콘 및 개수와 동일한 재화가 지급된다.</t>
  </si>
  <si>
    <t>참고 화면: 미션 팝업 (②번 영역) - 보석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</si>
</sst>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COUNTIF(I10:I49,"Pass")</f>
      </c>
      <c r="K3" t="s">
        <v>4</v>
      </c>
      <c r="L3">
        <f>COUNTIF(I10:I49,"")</f>
      </c>
      <c r="M3" s="3" t="s">
        <v>3</v>
      </c>
      <c r="N3">
        <f>COUNTIF(J10:J49,"Pass")</f>
      </c>
    </row>
    <row r="4" spans="9:14" x14ac:dyDescent="0.25">
      <c r="I4" s="4" t="s">
        <v>5</v>
      </c>
      <c r="J4">
        <f>COUNTIF(I10:I49,"N/T")</f>
      </c>
      <c r="K4" t="s">
        <v>6</v>
      </c>
      <c r="L4">
        <f>COUNTA(I10:I49)-COUNTIF(I10:I49,"")</f>
      </c>
      <c r="M4" s="4" t="s">
        <v>5</v>
      </c>
      <c r="N4">
        <f>COUNTIF(J10:J49,"N/T")</f>
      </c>
    </row>
    <row r="5" spans="9:14" x14ac:dyDescent="0.25">
      <c r="I5" s="5" t="s">
        <v>7</v>
      </c>
      <c r="J5">
        <f>COUNTIF(I10:I49,"Fail")</f>
      </c>
      <c r="K5" t="s">
        <v>8</v>
      </c>
      <c r="L5">
        <v>40</v>
      </c>
      <c r="M5" s="5" t="s">
        <v>7</v>
      </c>
      <c r="N5">
        <f>COUNTIF(J10:J49,"Fail")</f>
      </c>
    </row>
    <row r="6" spans="9:14" x14ac:dyDescent="0.25">
      <c r="I6" s="6" t="s">
        <v>9</v>
      </c>
      <c r="J6">
        <f>COUNTIF(I10:I49,"Block")</f>
      </c>
      <c r="K6" t="s">
        <v>10</v>
      </c>
      <c r="L6" s="7">
        <f>IF(L5=0,0,L4/L5)</f>
      </c>
      <c r="M6" s="6" t="s">
        <v>9</v>
      </c>
      <c r="N6">
        <f>COUNTIF(J10:J49,"Block")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31</v>
      </c>
    </row>
    <row r="12" spans="2:14" x14ac:dyDescent="0.25">
      <c r="B12" s="9">
        <v>3</v>
      </c>
      <c r="C12" s="10" t="s">
        <v>22</v>
      </c>
      <c r="D12" s="11"/>
      <c r="E12" s="11"/>
      <c r="F12" s="11"/>
      <c r="G12" s="12" t="s">
        <v>32</v>
      </c>
      <c r="H12" s="13" t="s">
        <v>33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0" t="s">
        <v>22</v>
      </c>
      <c r="D13" s="11"/>
      <c r="E13" s="11"/>
      <c r="F13" s="11" t="s">
        <v>34</v>
      </c>
      <c r="G13" s="12" t="s">
        <v>35</v>
      </c>
      <c r="H13" s="13" t="s">
        <v>36</v>
      </c>
      <c r="I13" s="12"/>
      <c r="J13" s="12"/>
      <c r="K13" s="12"/>
      <c r="L13" s="12"/>
      <c r="M13" s="12"/>
      <c r="N13" s="14" t="s">
        <v>37</v>
      </c>
    </row>
    <row r="14" spans="2:14" x14ac:dyDescent="0.25">
      <c r="B14" s="9">
        <v>5</v>
      </c>
      <c r="C14" s="15" t="s">
        <v>38</v>
      </c>
      <c r="D14" s="11"/>
      <c r="E14" s="11"/>
      <c r="F14" s="11"/>
      <c r="G14" s="12" t="s">
        <v>39</v>
      </c>
      <c r="H14" s="13" t="s">
        <v>40</v>
      </c>
      <c r="I14" s="12"/>
      <c r="J14" s="12"/>
      <c r="K14" s="12"/>
      <c r="L14" s="12"/>
      <c r="M14" s="12"/>
      <c r="N14" s="14" t="s">
        <v>28</v>
      </c>
    </row>
    <row r="15" spans="2:14" x14ac:dyDescent="0.25">
      <c r="B15" s="9">
        <v>6</v>
      </c>
      <c r="C15" s="15" t="s">
        <v>38</v>
      </c>
      <c r="D15" s="11"/>
      <c r="E15" s="11" t="s">
        <v>41</v>
      </c>
      <c r="F15" s="11" t="s">
        <v>42</v>
      </c>
      <c r="G15" s="12" t="s">
        <v>43</v>
      </c>
      <c r="H15" s="13" t="s">
        <v>44</v>
      </c>
      <c r="I15" s="12"/>
      <c r="J15" s="12"/>
      <c r="K15" s="12"/>
      <c r="L15" s="12"/>
      <c r="M15" s="12"/>
      <c r="N15" s="14" t="s">
        <v>45</v>
      </c>
    </row>
    <row r="16" spans="2:14" x14ac:dyDescent="0.25">
      <c r="B16" s="9">
        <v>7</v>
      </c>
      <c r="C16" s="10" t="s">
        <v>22</v>
      </c>
      <c r="D16" s="11"/>
      <c r="E16" s="11"/>
      <c r="F16" s="11"/>
      <c r="G16" s="12" t="s">
        <v>46</v>
      </c>
      <c r="H16" s="13" t="s">
        <v>47</v>
      </c>
      <c r="I16" s="12"/>
      <c r="J16" s="12"/>
      <c r="K16" s="12"/>
      <c r="L16" s="12"/>
      <c r="M16" s="12"/>
      <c r="N16" s="14" t="s">
        <v>45</v>
      </c>
    </row>
    <row r="17" spans="2:14" x14ac:dyDescent="0.25">
      <c r="B17" s="9">
        <v>8</v>
      </c>
      <c r="C17" s="15" t="s">
        <v>38</v>
      </c>
      <c r="D17" s="11"/>
      <c r="E17" s="11"/>
      <c r="F17" s="11"/>
      <c r="G17" s="12" t="s">
        <v>48</v>
      </c>
      <c r="H17" s="13" t="s">
        <v>49</v>
      </c>
      <c r="I17" s="12"/>
      <c r="J17" s="12"/>
      <c r="K17" s="12"/>
      <c r="L17" s="12"/>
      <c r="M17" s="12"/>
      <c r="N17" s="14" t="s">
        <v>45</v>
      </c>
    </row>
    <row r="18" spans="2:14" x14ac:dyDescent="0.25">
      <c r="B18" s="9">
        <v>9</v>
      </c>
      <c r="C18" s="10" t="s">
        <v>22</v>
      </c>
      <c r="D18" s="11"/>
      <c r="E18" s="11"/>
      <c r="F18" s="11" t="s">
        <v>50</v>
      </c>
      <c r="G18" s="12" t="s">
        <v>51</v>
      </c>
      <c r="H18" s="13" t="s">
        <v>52</v>
      </c>
      <c r="I18" s="12"/>
      <c r="J18" s="12"/>
      <c r="K18" s="12"/>
      <c r="L18" s="12"/>
      <c r="M18" s="12"/>
      <c r="N18" s="14" t="s">
        <v>53</v>
      </c>
    </row>
    <row r="19" spans="2:14" x14ac:dyDescent="0.25">
      <c r="B19" s="9">
        <v>10</v>
      </c>
      <c r="C19" s="10" t="s">
        <v>22</v>
      </c>
      <c r="D19" s="11"/>
      <c r="E19" s="11"/>
      <c r="F19" s="11"/>
      <c r="G19" s="12" t="s">
        <v>54</v>
      </c>
      <c r="H19" s="13" t="s">
        <v>55</v>
      </c>
      <c r="I19" s="12"/>
      <c r="J19" s="12"/>
      <c r="K19" s="12"/>
      <c r="L19" s="12"/>
      <c r="M19" s="12"/>
      <c r="N19" s="14" t="s">
        <v>45</v>
      </c>
    </row>
    <row r="20" spans="2:14" x14ac:dyDescent="0.25">
      <c r="B20" s="9">
        <v>11</v>
      </c>
      <c r="C20" s="10" t="s">
        <v>22</v>
      </c>
      <c r="D20" s="11"/>
      <c r="E20" s="11"/>
      <c r="F20" s="11"/>
      <c r="G20" s="12" t="s">
        <v>56</v>
      </c>
      <c r="H20" s="13" t="s">
        <v>57</v>
      </c>
      <c r="I20" s="12"/>
      <c r="J20" s="12"/>
      <c r="K20" s="12"/>
      <c r="L20" s="12"/>
      <c r="M20" s="12"/>
      <c r="N20" s="14" t="s">
        <v>58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59</v>
      </c>
      <c r="H21" s="13" t="s">
        <v>60</v>
      </c>
      <c r="I21" s="12"/>
      <c r="J21" s="12"/>
      <c r="K21" s="12"/>
      <c r="L21" s="12"/>
      <c r="M21" s="12"/>
      <c r="N21" s="14" t="s">
        <v>45</v>
      </c>
    </row>
    <row r="22" spans="2:14" x14ac:dyDescent="0.25">
      <c r="B22" s="9">
        <v>13</v>
      </c>
      <c r="C22" s="10" t="s">
        <v>22</v>
      </c>
      <c r="D22" s="11"/>
      <c r="E22" s="11"/>
      <c r="F22" s="11"/>
      <c r="G22" s="12" t="s">
        <v>61</v>
      </c>
      <c r="H22" s="13" t="s">
        <v>62</v>
      </c>
      <c r="I22" s="12"/>
      <c r="J22" s="12"/>
      <c r="K22" s="12"/>
      <c r="L22" s="12"/>
      <c r="M22" s="12"/>
      <c r="N22" s="14" t="s">
        <v>45</v>
      </c>
    </row>
    <row r="23" spans="2:14" x14ac:dyDescent="0.25">
      <c r="B23" s="9">
        <v>14</v>
      </c>
      <c r="C23" s="10" t="s">
        <v>22</v>
      </c>
      <c r="D23" s="11"/>
      <c r="E23" s="11"/>
      <c r="F23" s="11"/>
      <c r="G23" s="12" t="s">
        <v>63</v>
      </c>
      <c r="H23" s="13" t="s">
        <v>64</v>
      </c>
      <c r="I23" s="12"/>
      <c r="J23" s="12"/>
      <c r="K23" s="12"/>
      <c r="L23" s="12"/>
      <c r="M23" s="12"/>
      <c r="N23" s="14" t="s">
        <v>65</v>
      </c>
    </row>
    <row r="24" spans="2:14" x14ac:dyDescent="0.25">
      <c r="B24" s="9">
        <v>15</v>
      </c>
      <c r="C24" s="10" t="s">
        <v>22</v>
      </c>
      <c r="D24" s="11"/>
      <c r="E24" s="11"/>
      <c r="F24" s="11"/>
      <c r="G24" s="12" t="s">
        <v>66</v>
      </c>
      <c r="H24" s="13" t="s">
        <v>67</v>
      </c>
      <c r="I24" s="12"/>
      <c r="J24" s="12"/>
      <c r="K24" s="12"/>
      <c r="L24" s="12"/>
      <c r="M24" s="12"/>
      <c r="N24" s="14" t="s">
        <v>68</v>
      </c>
    </row>
    <row r="25" spans="2:14" x14ac:dyDescent="0.25">
      <c r="B25" s="9">
        <v>16</v>
      </c>
      <c r="C25" s="10" t="s">
        <v>22</v>
      </c>
      <c r="D25" s="11"/>
      <c r="E25" s="11"/>
      <c r="F25" s="11"/>
      <c r="G25" s="12" t="s">
        <v>69</v>
      </c>
      <c r="H25" s="13" t="s">
        <v>70</v>
      </c>
      <c r="I25" s="12"/>
      <c r="J25" s="12"/>
      <c r="K25" s="12"/>
      <c r="L25" s="12"/>
      <c r="M25" s="12"/>
      <c r="N25" s="14" t="s">
        <v>71</v>
      </c>
    </row>
    <row r="26" spans="2:14" x14ac:dyDescent="0.25">
      <c r="B26" s="9">
        <v>17</v>
      </c>
      <c r="C26" s="10" t="s">
        <v>22</v>
      </c>
      <c r="D26" s="11"/>
      <c r="E26" s="11"/>
      <c r="F26" s="11"/>
      <c r="G26" s="12" t="s">
        <v>72</v>
      </c>
      <c r="H26" s="13" t="s">
        <v>73</v>
      </c>
      <c r="I26" s="12"/>
      <c r="J26" s="12"/>
      <c r="K26" s="12"/>
      <c r="L26" s="12"/>
      <c r="M26" s="12"/>
      <c r="N26" s="14" t="s">
        <v>71</v>
      </c>
    </row>
    <row r="27" spans="2:14" x14ac:dyDescent="0.25">
      <c r="B27" s="9">
        <v>18</v>
      </c>
      <c r="C27" s="10" t="s">
        <v>22</v>
      </c>
      <c r="D27" s="11"/>
      <c r="E27" s="11"/>
      <c r="F27" s="11"/>
      <c r="G27" s="12" t="s">
        <v>74</v>
      </c>
      <c r="H27" s="13" t="s">
        <v>75</v>
      </c>
      <c r="I27" s="12"/>
      <c r="J27" s="12"/>
      <c r="K27" s="12"/>
      <c r="L27" s="12"/>
      <c r="M27" s="12"/>
      <c r="N27" s="14" t="s">
        <v>71</v>
      </c>
    </row>
    <row r="28" spans="2:14" x14ac:dyDescent="0.25">
      <c r="B28" s="9">
        <v>19</v>
      </c>
      <c r="C28" s="15" t="s">
        <v>38</v>
      </c>
      <c r="D28" s="11"/>
      <c r="E28" s="11"/>
      <c r="F28" s="11"/>
      <c r="G28" s="12" t="s">
        <v>76</v>
      </c>
      <c r="H28" s="13" t="s">
        <v>77</v>
      </c>
      <c r="I28" s="12"/>
      <c r="J28" s="12"/>
      <c r="K28" s="12"/>
      <c r="L28" s="12"/>
      <c r="M28" s="12"/>
      <c r="N28" s="14" t="s">
        <v>78</v>
      </c>
    </row>
    <row r="29" spans="2:14" x14ac:dyDescent="0.25">
      <c r="B29" s="9">
        <v>20</v>
      </c>
      <c r="C29" s="15" t="s">
        <v>38</v>
      </c>
      <c r="D29" s="11"/>
      <c r="E29" s="11"/>
      <c r="F29" s="11"/>
      <c r="G29" s="12" t="s">
        <v>79</v>
      </c>
      <c r="H29" s="13" t="s">
        <v>80</v>
      </c>
      <c r="I29" s="12"/>
      <c r="J29" s="12"/>
      <c r="K29" s="12"/>
      <c r="L29" s="12"/>
      <c r="M29" s="12"/>
      <c r="N29" s="14" t="s">
        <v>45</v>
      </c>
    </row>
    <row r="30" spans="2:14" x14ac:dyDescent="0.25">
      <c r="B30" s="9">
        <v>21</v>
      </c>
      <c r="C30" s="10" t="s">
        <v>22</v>
      </c>
      <c r="D30" s="11"/>
      <c r="E30" s="11"/>
      <c r="F30" s="11" t="s">
        <v>81</v>
      </c>
      <c r="G30" s="12" t="s">
        <v>82</v>
      </c>
      <c r="H30" s="13" t="s">
        <v>83</v>
      </c>
      <c r="I30" s="12"/>
      <c r="J30" s="12"/>
      <c r="K30" s="12"/>
      <c r="L30" s="12"/>
      <c r="M30" s="12"/>
      <c r="N30" s="14" t="s">
        <v>84</v>
      </c>
    </row>
    <row r="31" spans="2:14" x14ac:dyDescent="0.25">
      <c r="B31" s="9">
        <v>22</v>
      </c>
      <c r="C31" s="10" t="s">
        <v>22</v>
      </c>
      <c r="D31" s="11"/>
      <c r="E31" s="11"/>
      <c r="F31" s="11"/>
      <c r="G31" s="12" t="s">
        <v>85</v>
      </c>
      <c r="H31" s="13" t="s">
        <v>86</v>
      </c>
      <c r="I31" s="12"/>
      <c r="J31" s="12"/>
      <c r="K31" s="12"/>
      <c r="L31" s="12"/>
      <c r="M31" s="12"/>
      <c r="N31" s="14" t="s">
        <v>87</v>
      </c>
    </row>
    <row r="32" spans="2:14" x14ac:dyDescent="0.25">
      <c r="B32" s="9">
        <v>23</v>
      </c>
      <c r="C32" s="10" t="s">
        <v>22</v>
      </c>
      <c r="D32" s="11"/>
      <c r="E32" s="11"/>
      <c r="F32" s="11"/>
      <c r="G32" s="12" t="s">
        <v>88</v>
      </c>
      <c r="H32" s="13" t="s">
        <v>89</v>
      </c>
      <c r="I32" s="12"/>
      <c r="J32" s="12"/>
      <c r="K32" s="12"/>
      <c r="L32" s="12"/>
      <c r="M32" s="12"/>
      <c r="N32" s="14" t="s">
        <v>87</v>
      </c>
    </row>
    <row r="33" spans="2:14" x14ac:dyDescent="0.25">
      <c r="B33" s="9">
        <v>24</v>
      </c>
      <c r="C33" s="16" t="s">
        <v>90</v>
      </c>
      <c r="D33" s="11"/>
      <c r="E33" s="11"/>
      <c r="F33" s="11"/>
      <c r="G33" s="12" t="s">
        <v>91</v>
      </c>
      <c r="H33" s="13" t="s">
        <v>92</v>
      </c>
      <c r="I33" s="12"/>
      <c r="J33" s="12"/>
      <c r="K33" s="12"/>
      <c r="L33" s="12"/>
      <c r="M33" s="12"/>
      <c r="N33" s="14" t="s">
        <v>87</v>
      </c>
    </row>
    <row r="34" spans="2:14" x14ac:dyDescent="0.25">
      <c r="B34" s="9">
        <v>25</v>
      </c>
      <c r="C34" s="16" t="s">
        <v>90</v>
      </c>
      <c r="D34" s="11"/>
      <c r="E34" s="11"/>
      <c r="F34" s="11"/>
      <c r="G34" s="12" t="s">
        <v>93</v>
      </c>
      <c r="H34" s="13" t="s">
        <v>94</v>
      </c>
      <c r="I34" s="12"/>
      <c r="J34" s="12"/>
      <c r="K34" s="12"/>
      <c r="L34" s="12"/>
      <c r="M34" s="12"/>
      <c r="N34" s="14" t="s">
        <v>95</v>
      </c>
    </row>
    <row r="35" spans="2:14" x14ac:dyDescent="0.25">
      <c r="B35" s="9">
        <v>26</v>
      </c>
      <c r="C35" s="15" t="s">
        <v>38</v>
      </c>
      <c r="D35" s="11"/>
      <c r="E35" s="11"/>
      <c r="F35" s="11"/>
      <c r="G35" s="12" t="s">
        <v>96</v>
      </c>
      <c r="H35" s="13" t="s">
        <v>97</v>
      </c>
      <c r="I35" s="12"/>
      <c r="J35" s="12"/>
      <c r="K35" s="12"/>
      <c r="L35" s="12"/>
      <c r="M35" s="12"/>
      <c r="N35" s="14" t="s">
        <v>45</v>
      </c>
    </row>
    <row r="36" spans="2:14" x14ac:dyDescent="0.25">
      <c r="B36" s="9">
        <v>27</v>
      </c>
      <c r="C36" s="15" t="s">
        <v>38</v>
      </c>
      <c r="D36" s="11"/>
      <c r="E36" s="11"/>
      <c r="F36" s="11"/>
      <c r="G36" s="12" t="s">
        <v>39</v>
      </c>
      <c r="H36" s="13" t="s">
        <v>98</v>
      </c>
      <c r="I36" s="12"/>
      <c r="J36" s="12"/>
      <c r="K36" s="12"/>
      <c r="L36" s="12"/>
      <c r="M36" s="12"/>
      <c r="N36" s="14" t="s">
        <v>45</v>
      </c>
    </row>
    <row r="37" spans="2:14" x14ac:dyDescent="0.25">
      <c r="B37" s="9">
        <v>28</v>
      </c>
      <c r="C37" s="10" t="s">
        <v>22</v>
      </c>
      <c r="D37" s="11"/>
      <c r="E37" s="11"/>
      <c r="F37" s="11"/>
      <c r="G37" s="12" t="s">
        <v>99</v>
      </c>
      <c r="H37" s="13" t="s">
        <v>100</v>
      </c>
      <c r="I37" s="12"/>
      <c r="J37" s="12"/>
      <c r="K37" s="12"/>
      <c r="L37" s="12"/>
      <c r="M37" s="12"/>
      <c r="N37" s="14" t="s">
        <v>87</v>
      </c>
    </row>
    <row r="38" spans="2:14" x14ac:dyDescent="0.25">
      <c r="B38" s="9">
        <v>29</v>
      </c>
      <c r="C38" s="10" t="s">
        <v>22</v>
      </c>
      <c r="D38" s="11"/>
      <c r="E38" s="11"/>
      <c r="F38" s="11"/>
      <c r="G38" s="12" t="s">
        <v>101</v>
      </c>
      <c r="H38" s="13" t="s">
        <v>102</v>
      </c>
      <c r="I38" s="12"/>
      <c r="J38" s="12"/>
      <c r="K38" s="12"/>
      <c r="L38" s="12"/>
      <c r="M38" s="12"/>
      <c r="N38" s="14" t="s">
        <v>87</v>
      </c>
    </row>
    <row r="39" spans="2:14" x14ac:dyDescent="0.25">
      <c r="B39" s="9">
        <v>30</v>
      </c>
      <c r="C39" s="10" t="s">
        <v>22</v>
      </c>
      <c r="D39" s="11"/>
      <c r="E39" s="11"/>
      <c r="F39" s="11" t="s">
        <v>103</v>
      </c>
      <c r="G39" s="12" t="s">
        <v>104</v>
      </c>
      <c r="H39" s="13" t="s">
        <v>105</v>
      </c>
      <c r="I39" s="12"/>
      <c r="J39" s="12"/>
      <c r="K39" s="12"/>
      <c r="L39" s="12"/>
      <c r="M39" s="12"/>
      <c r="N39" s="14" t="s">
        <v>45</v>
      </c>
    </row>
    <row r="40" spans="2:14" x14ac:dyDescent="0.25">
      <c r="B40" s="9">
        <v>31</v>
      </c>
      <c r="C40" s="10" t="s">
        <v>22</v>
      </c>
      <c r="D40" s="11"/>
      <c r="E40" s="11"/>
      <c r="F40" s="11"/>
      <c r="G40" s="12" t="s">
        <v>106</v>
      </c>
      <c r="H40" s="13" t="s">
        <v>107</v>
      </c>
      <c r="I40" s="12"/>
      <c r="J40" s="12"/>
      <c r="K40" s="12"/>
      <c r="L40" s="12"/>
      <c r="M40" s="12"/>
      <c r="N40" s="14" t="s">
        <v>45</v>
      </c>
    </row>
    <row r="41" spans="2:14" x14ac:dyDescent="0.25">
      <c r="B41" s="9">
        <v>32</v>
      </c>
      <c r="C41" s="15" t="s">
        <v>38</v>
      </c>
      <c r="D41" s="11"/>
      <c r="E41" s="11"/>
      <c r="F41" s="11"/>
      <c r="G41" s="12" t="s">
        <v>108</v>
      </c>
      <c r="H41" s="13" t="s">
        <v>109</v>
      </c>
      <c r="I41" s="12"/>
      <c r="J41" s="12"/>
      <c r="K41" s="12"/>
      <c r="L41" s="12"/>
      <c r="M41" s="12"/>
      <c r="N41" s="14" t="s">
        <v>45</v>
      </c>
    </row>
    <row r="42" spans="2:14" x14ac:dyDescent="0.25">
      <c r="B42" s="9">
        <v>33</v>
      </c>
      <c r="C42" s="15" t="s">
        <v>38</v>
      </c>
      <c r="D42" s="11"/>
      <c r="E42" s="11"/>
      <c r="F42" s="11"/>
      <c r="G42" s="12" t="s">
        <v>110</v>
      </c>
      <c r="H42" s="13" t="s">
        <v>111</v>
      </c>
      <c r="I42" s="12"/>
      <c r="J42" s="12"/>
      <c r="K42" s="12"/>
      <c r="L42" s="12"/>
      <c r="M42" s="12"/>
      <c r="N42" s="14" t="s">
        <v>45</v>
      </c>
    </row>
    <row r="43" spans="2:14" x14ac:dyDescent="0.25">
      <c r="B43" s="9">
        <v>34</v>
      </c>
      <c r="C43" s="10" t="s">
        <v>22</v>
      </c>
      <c r="D43" s="11"/>
      <c r="E43" s="11"/>
      <c r="F43" s="11"/>
      <c r="G43" s="12" t="s">
        <v>112</v>
      </c>
      <c r="H43" s="13" t="s">
        <v>113</v>
      </c>
      <c r="I43" s="12"/>
      <c r="J43" s="12"/>
      <c r="K43" s="12"/>
      <c r="L43" s="12"/>
      <c r="M43" s="12"/>
      <c r="N43" s="14" t="s">
        <v>28</v>
      </c>
    </row>
    <row r="44" spans="2:14" x14ac:dyDescent="0.25">
      <c r="B44" s="9">
        <v>35</v>
      </c>
      <c r="C44" s="10" t="s">
        <v>22</v>
      </c>
      <c r="D44" s="11"/>
      <c r="E44" s="11"/>
      <c r="F44" s="12" t="s">
        <v>114</v>
      </c>
      <c r="G44" s="12" t="s">
        <v>115</v>
      </c>
      <c r="H44" s="13" t="s">
        <v>116</v>
      </c>
      <c r="I44" s="12"/>
      <c r="J44" s="12"/>
      <c r="K44" s="12"/>
      <c r="L44" s="12"/>
      <c r="M44" s="12"/>
      <c r="N44" s="14" t="s">
        <v>71</v>
      </c>
    </row>
    <row r="45" spans="2:14" x14ac:dyDescent="0.25">
      <c r="B45" s="9">
        <v>36</v>
      </c>
      <c r="C45" s="16" t="s">
        <v>90</v>
      </c>
      <c r="D45" s="11"/>
      <c r="E45" s="11" t="s">
        <v>117</v>
      </c>
      <c r="F45" s="11" t="s">
        <v>118</v>
      </c>
      <c r="G45" s="12" t="s">
        <v>119</v>
      </c>
      <c r="H45" s="13" t="s">
        <v>120</v>
      </c>
      <c r="I45" s="12"/>
      <c r="J45" s="12"/>
      <c r="K45" s="12"/>
      <c r="L45" s="12"/>
      <c r="M45" s="12"/>
      <c r="N45" s="14" t="s">
        <v>121</v>
      </c>
    </row>
    <row r="46" spans="2:14" x14ac:dyDescent="0.25">
      <c r="B46" s="9">
        <v>37</v>
      </c>
      <c r="C46" s="16" t="s">
        <v>90</v>
      </c>
      <c r="D46" s="11"/>
      <c r="E46" s="11"/>
      <c r="F46" s="11"/>
      <c r="G46" s="12" t="s">
        <v>122</v>
      </c>
      <c r="H46" s="13" t="s">
        <v>123</v>
      </c>
      <c r="I46" s="12"/>
      <c r="J46" s="12"/>
      <c r="K46" s="12"/>
      <c r="L46" s="12"/>
      <c r="M46" s="12"/>
      <c r="N46" s="14" t="s">
        <v>121</v>
      </c>
    </row>
    <row r="47" spans="2:14" x14ac:dyDescent="0.25">
      <c r="B47" s="9">
        <v>38</v>
      </c>
      <c r="C47" s="16" t="s">
        <v>90</v>
      </c>
      <c r="D47" s="11"/>
      <c r="E47" s="11"/>
      <c r="F47" s="11" t="s">
        <v>124</v>
      </c>
      <c r="G47" s="12" t="s">
        <v>125</v>
      </c>
      <c r="H47" s="13" t="s">
        <v>126</v>
      </c>
      <c r="I47" s="12"/>
      <c r="J47" s="12"/>
      <c r="K47" s="12"/>
      <c r="L47" s="12"/>
      <c r="M47" s="12"/>
      <c r="N47" s="14" t="s">
        <v>127</v>
      </c>
    </row>
    <row r="48" spans="2:14" x14ac:dyDescent="0.25">
      <c r="B48" s="9">
        <v>39</v>
      </c>
      <c r="C48" s="10" t="s">
        <v>22</v>
      </c>
      <c r="D48" s="11"/>
      <c r="E48" s="11"/>
      <c r="F48" s="11"/>
      <c r="G48" s="12" t="s">
        <v>128</v>
      </c>
      <c r="H48" s="13" t="s">
        <v>129</v>
      </c>
      <c r="I48" s="12"/>
      <c r="J48" s="12"/>
      <c r="K48" s="12"/>
      <c r="L48" s="12"/>
      <c r="M48" s="12"/>
      <c r="N48" s="14" t="s">
        <v>127</v>
      </c>
    </row>
    <row r="49" spans="2:14" x14ac:dyDescent="0.25">
      <c r="B49" s="9">
        <v>40</v>
      </c>
      <c r="C49" s="10" t="s">
        <v>22</v>
      </c>
      <c r="D49" s="11"/>
      <c r="E49" s="11"/>
      <c r="F49" s="12" t="s">
        <v>118</v>
      </c>
      <c r="G49" s="12" t="s">
        <v>130</v>
      </c>
      <c r="H49" s="13" t="s">
        <v>131</v>
      </c>
      <c r="I49" s="12"/>
      <c r="J49" s="12"/>
      <c r="K49" s="12"/>
      <c r="L49" s="12"/>
      <c r="M49" s="12"/>
      <c r="N49" s="14" t="s">
        <v>132</v>
      </c>
    </row>
  </sheetData>
  <mergeCells count="12">
    <mergeCell ref="D10:D49"/>
    <mergeCell ref="E10:E14"/>
    <mergeCell ref="F10:F12"/>
    <mergeCell ref="F13:F14"/>
    <mergeCell ref="E15:E44"/>
    <mergeCell ref="F15:F17"/>
    <mergeCell ref="F18:F29"/>
    <mergeCell ref="F30:F38"/>
    <mergeCell ref="F39:F43"/>
    <mergeCell ref="E45:E49"/>
    <mergeCell ref="F45:F46"/>
    <mergeCell ref="F47:F48"/>
  </mergeCells>
  <dataValidations count="1">
    <dataValidation type="list" allowBlank="1" showErrorMessage="1" errorTitle="잘못된 값" error="Pass, Fail, N/T, Block 중 하나를 선택하세요." sqref="I10:J49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어비스 레이드 프리미엄 상품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2026-05-15T00:53:19Z</dcterms:created>
  <dcterms:modified xsi:type="dcterms:W3CDTF">2026-05-15T00:53:19Z</dcterms:modified>
</cp:coreProperties>
</file>