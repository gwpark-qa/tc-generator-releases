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쿠키 성장 가이드" state="visible" r:id="rId4"/>
  </sheets>
  <calcPr calcId="171027"/>
</workbook>
</file>

<file path=xl/sharedStrings.xml><?xml version="1.0" encoding="utf-8"?>
<sst xmlns="http://schemas.openxmlformats.org/spreadsheetml/2006/main" count="582" uniqueCount="342">
  <si>
    <t>(C)쿠키 성장 가이드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</si>
  <si>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</si>
  <si>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</si>
  <si>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</si>
  <si>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</si>
  <si>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</si>
  <si>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</si>
  <si>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</si>
  <si>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</si>
  <si>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</si>
  <si>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</si>
  <si>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</si>
  <si>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</si>
  <si>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</si>
  <si>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</si>
  <si>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</si>
  <si>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</si>
  <si>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</si>
  <si>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</si>
  <si>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</si>
  <si>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</si>
  <si>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</si>
  <si>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</si>
  <si>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쿠키 성장 가이드</t>
  </si>
  <si>
    <t>진입</t>
  </si>
  <si>
    <t>공략 버튼</t>
  </si>
  <si>
    <t>활성화 조건</t>
  </si>
  <si>
    <t>쿠키 경험치 튜토리얼 진행 완료 시, 쿠키 상세 화면에 [공략] 버튼이 활성화되어 노출된다.</t>
  </si>
  <si>
    <t>쿠키 성장 가이드 기획서 - 진입 조건</t>
  </si>
  <si>
    <t>Normal</t>
  </si>
  <si>
    <t>버튼 미노출</t>
  </si>
  <si>
    <t>쿠키 경험치 튜토리얼 미진행 상태에서 쿠키 상세 화면 진입 시, [공략] 버튼이 노출되지 않는다.</t>
  </si>
  <si>
    <t>Critical</t>
  </si>
  <si>
    <t>화면 전환</t>
  </si>
  <si>
    <t>쿠키 상세 화면에서 [공략] 버튼 터치 시, 쿠키 성장 가이드 화면으로 이동된다.</t>
  </si>
  <si>
    <t>쿠키 성장 가이드 기획서 - 진입 동선</t>
  </si>
  <si>
    <t>미보유 쿠키 처리</t>
  </si>
  <si>
    <t>미보유 쿠키 상세 화면 진입 시, 쿠키 성장 가이드 진입 없이 기존 미보유 쿠키 정보 화면이 표시된다.</t>
  </si>
  <si>
    <t>쿠키 성장 가이드 기획서 - 진입 예외</t>
  </si>
  <si>
    <t>버튼 터치 효과음</t>
  </si>
  <si>
    <t>[공략] 버튼 터치 시, 버튼 터치 효과음이 출력된다.</t>
  </si>
  <si>
    <t>쿠키 성장 가이드 기획서 - 효과음</t>
  </si>
  <si>
    <t>쿠키 가이드 화면</t>
  </si>
  <si>
    <t>좌측 쿠키 리스트</t>
  </si>
  <si>
    <t>리스트 출력</t>
  </si>
  <si>
    <t>쿠키 성장 가이드 화면 진입 시, 좌측에 보유 쿠키 페이스 아이콘 리스트가 출력된다.</t>
  </si>
  <si>
    <t>쿠키 성장 가이드 기획서 - 화면 구성</t>
  </si>
  <si>
    <t>가이드 쿠키 변경</t>
  </si>
  <si>
    <t>좌측 쿠키 리스트에서 다른 쿠키 페이스 아이콘 터치 시, 우측 가이드 정보가 선택한 쿠키 기준으로 갱신된다.</t>
  </si>
  <si>
    <t>쿠키 성장 가이드 기획서 - 쿠키 변경</t>
  </si>
  <si>
    <t>페이스 아이콘 표시 기준</t>
  </si>
  <si>
    <t>내 쿠키 화면에서 진입 시, 쿠키 페이스 아이콘이 내 쿠키 보유 기준으로 표시된다.</t>
  </si>
  <si>
    <t>쿠키 성장 가이드 기획서 - 페이스 아이콘</t>
  </si>
  <si>
    <t>모드 별 세팅 기준</t>
  </si>
  <si>
    <t>모드 별 쿠키 세팅 화면에서 진입 시, 쿠키 페이스 아이콘이 해당 모드 세팅 쿠키 기준으로 표시된다.</t>
  </si>
  <si>
    <t>상단 카테고리 탭</t>
  </si>
  <si>
    <t>4종 탭 출력</t>
  </si>
  <si>
    <t>쿠키 성장 가이드 화면 우측 상단에 쿠키 / 장비 / 아티팩트 / 시즈나이트 4종 카테고리 탭이 출력된다.</t>
  </si>
  <si>
    <t>쿠키 성장 가이드 기획서 - 카테고리 탭</t>
  </si>
  <si>
    <t>탭 전환</t>
  </si>
  <si>
    <t>상단 카테고리 탭에서 다른 탭 터치 시, 해당 카테고리 가이드 화면으로 전환된다.</t>
  </si>
  <si>
    <t>그린닷 출력</t>
  </si>
  <si>
    <t>특정 카테고리에 육성 가능한 항목이 있는 경우, 해당 탭에 그린닷이 출력된다.</t>
  </si>
  <si>
    <t>쿠키 성장 가이드 기획서 - 알림 시스템</t>
  </si>
  <si>
    <t>뒤로가기</t>
  </si>
  <si>
    <t>이전 화면 복귀</t>
  </si>
  <si>
    <t>쿠키 변경 후 뒤로가기 버튼 터치 시, 처음 선택한 쿠키 상세보기 화면으로 복귀된다.</t>
  </si>
  <si>
    <t>쿠키 성장 가이드 기획서 - 뒤로가기</t>
  </si>
  <si>
    <t>쿠키 카테고리</t>
  </si>
  <si>
    <t>쿠키 레벨업 영역</t>
  </si>
  <si>
    <t>정보 출력</t>
  </si>
  <si>
    <t>쿠키 카테고리 진입 시, 현재 쿠키 레벨 및 최대 레벨 정보가 출력된다.</t>
  </si>
  <si>
    <t>쿠키 성장 가이드 기획서 - 쿠키 레벨업</t>
  </si>
  <si>
    <t>부족 재화 표시</t>
  </si>
  <si>
    <t>쿠키 레벨업 영역에 최대 레벨 도달까지 부족한 재화 종류와 수량이 출력된다.</t>
  </si>
  <si>
    <t>바로가기 동작</t>
  </si>
  <si>
    <t>쿠키 레벨업 영역의 [바로가기] 버튼 터치 시, 쿠키 강화 화면(레벨업 탭)으로 포커싱되어 이동된다.</t>
  </si>
  <si>
    <t>쿠키 성장 가이드 기획서 - 숏컷</t>
  </si>
  <si>
    <t>쿠키 성급업 영역</t>
  </si>
  <si>
    <t>쿠키 성급업 영역에 현재 성급 및 최대 성급 정보가 출력된다.</t>
  </si>
  <si>
    <t>쿠키 성장 가이드 기획서 - 쿠키 성급업</t>
  </si>
  <si>
    <t>부족 영혼석 표시</t>
  </si>
  <si>
    <t>쿠키 성급업 영역에 최대 성급 도달까지 부족한 영혼석 수량이 출력된다.</t>
  </si>
  <si>
    <t>재료 부족 라벨</t>
  </si>
  <si>
    <t>쿠키 성급업에 필요한 재료(영혼석 등) 부족 시, 재료 부족 라벨이 출력된다.</t>
  </si>
  <si>
    <t>쿠키 성급업 영역의 [바로가기] 버튼 터치 시, 쿠키 강화 화면(승급 탭)으로 포커싱되어 이동된다.</t>
  </si>
  <si>
    <t>쿠키 스킬 레벨업 영역</t>
  </si>
  <si>
    <t>해금 조건</t>
  </si>
  <si>
    <t>쿠키 레벨이 60 이상 도달 시, 쿠키 스킬 레벨업 영역이 활성화되어 출력된다.</t>
  </si>
  <si>
    <t>쿠키 성장 가이드 기획서 - 스킬 레벨업</t>
  </si>
  <si>
    <t>60LV 미달 토스트</t>
  </si>
  <si>
    <t>쿠키 레벨 60 미달 상태에서 스킬 레벨업 영역 터치 시, "쿠키 레벨 60달성 시 가능합니다" 토스트 메세지가 출력된다.</t>
  </si>
  <si>
    <t>쿠키 스킬 레벨업 영역에 스킬 레벨업에 필요한 부족 재화 종류와 수량이 출력된다.</t>
  </si>
  <si>
    <t>쿠키 스킬 레벨업 영역의 [바로가기] 버튼 터치 시, 쿠키 강화 화면(스킬 레벨업 탭)으로 포커싱되어 이동된다.</t>
  </si>
  <si>
    <t>부족한 육성 자원 영역</t>
  </si>
  <si>
    <t>펼치기 동작</t>
  </si>
  <si>
    <t>부족한 육성 자원 영역의 펼치기 버튼 터치 시, 부족 재화 리스트가 펼쳐져 출력된다.</t>
  </si>
  <si>
    <t>쿠키 성장 가이드 기획서 - 부족 재화</t>
  </si>
  <si>
    <t>접기 동작</t>
  </si>
  <si>
    <t>부족한 육성 자원 영역이 펼쳐진 상태에서 접기 버튼 터치 시, 리스트가 접힌다.</t>
  </si>
  <si>
    <t>재화 리스트 출력</t>
  </si>
  <si>
    <t>부족한 육성 자원 영역 펼침 시, 부족한 재화 종류와 수량이 항목 별로 출력된다.</t>
  </si>
  <si>
    <t>획득 숏컷 동작</t>
  </si>
  <si>
    <t>부족 재화 항목의 [획득하러 가기] 버튼 터치 시, 해당 재화 획득 콘텐츠 로비로 이동된다.</t>
  </si>
  <si>
    <t>소탕 불가 단계 분기</t>
  </si>
  <si>
    <t>부족 재화 획득 콘텐츠가 소탕 불가 단계인 경우, [획득하러 가기] 터치 시 해당 콘텐츠 로비까지만 이동된다.</t>
  </si>
  <si>
    <t>쿠키 성장 가이드 기획서 - 숏컷 분기</t>
  </si>
  <si>
    <t>다음 단계 오픈 경고 팝업</t>
  </si>
  <si>
    <t>부족 재화 획득 콘텐츠의 다음 단계가 오픈되어 있는 경우, [획득하러 가기] 터치 시 경고 팝업이 출력된다.</t>
  </si>
  <si>
    <t>모든 재화 획득 메세지</t>
  </si>
  <si>
    <t>모든 육성 재화 획득 완료 시, 부족한 육성 자원 영역에 "모든 육성 재화를 획득했습니다." 문구가 출력된다.</t>
  </si>
  <si>
    <t>쿠키 성장 가이드 기획서 - 빈 상태</t>
  </si>
  <si>
    <t>재화 아이콘 표시</t>
  </si>
  <si>
    <t>부족 재화 리스트에 각 재화 종류 별 아이콘이 출력된다.</t>
  </si>
  <si>
    <t>최대 레벨 도달 상태</t>
  </si>
  <si>
    <t>쿠키가 최대 레벨 도달 시, 쿠키 레벨업 영역에 최대 레벨 도달 상태가 표시된다.</t>
  </si>
  <si>
    <t>바로가기 버튼 효과음</t>
  </si>
  <si>
    <t>쿠키 레벨업 영역의 [바로가기] 버튼 터치 시, 버튼 터치 효과음이 출력된다.</t>
  </si>
  <si>
    <t>딤드 처리</t>
  </si>
  <si>
    <t>쿠키 레벨 60 미달 상태에서 스킬 레벨업 영역이 딤드 처리되어 표시된다.</t>
  </si>
  <si>
    <t>장비 카테고리</t>
  </si>
  <si>
    <t>현재 장착중인 장비</t>
  </si>
  <si>
    <t>장비 정보 출력</t>
  </si>
  <si>
    <t>장비 카테고리 진입 시, 현재 장착중인 장비의 아이콘, 레벨, 성급, 잠재력 속성 정보가 출력된다.</t>
  </si>
  <si>
    <t>쿠키 성장 가이드 기획서 - 장비</t>
  </si>
  <si>
    <t>미장착 경고 아이콘</t>
  </si>
  <si>
    <t>추천 장비 부위 중 미장착 부위가 있는 경우, 해당 부위에 경고 아이콘이 출력된다.</t>
  </si>
  <si>
    <t>인포 버튼 팝업</t>
  </si>
  <si>
    <t>장비 영역의 인포(i) 버튼 터치 시, 추천 장비 정보 팝업이 출력된다.</t>
  </si>
  <si>
    <t>일괄 장착하기 버튼</t>
  </si>
  <si>
    <t>[일괄 장착하기] 버튼 터치 시, 보유한 추천 장비가 해당 쿠키에 일괄 장착된다.</t>
  </si>
  <si>
    <t>미보유 추천 장비</t>
  </si>
  <si>
    <t>미보유 추천 장비 리스트에 장비 이름과 아이콘이 출력된다.</t>
  </si>
  <si>
    <t>획득하러 가기 숏컷</t>
  </si>
  <si>
    <t>미보유 추천 장비 항목의 [획득하러 가기] 버튼 터치 시, 해당 장비 획득 콘텐츠로 이동된다.</t>
  </si>
  <si>
    <t>추천 장비 상태 분기</t>
  </si>
  <si>
    <t>미획득 리스트 처리</t>
  </si>
  <si>
    <t>추천 장비 미획득 상태인 경우, 리스트에 [획득하러 가기] 버튼이 노출된다.</t>
  </si>
  <si>
    <t>쿠키 성장 가이드 기획서 - 장비 상태 분기</t>
  </si>
  <si>
    <t>미장착 리스트 처리</t>
  </si>
  <si>
    <t>추천 장비를 획득했으나 미장착 상태인 경우, 리스트에 [장착하러 가기] 버튼이 노출된다.</t>
  </si>
  <si>
    <t>장착 완료 리스트 삭제</t>
  </si>
  <si>
    <t>추천 장비 장착 완료 시, 해당 항목이 리스트에서 삭제 처리된다.</t>
  </si>
  <si>
    <t>즉시 장착 버튼</t>
  </si>
  <si>
    <t>장비 카테고리에서 [즉시 장착] 버튼 터치 시, 해당 장비가 즉시 쿠키에 장착된다.</t>
  </si>
  <si>
    <t>쿠키 성장 가이드 기획서 - 즉시 장착</t>
  </si>
  <si>
    <t>다른 쿠키 장착중 토스트</t>
  </si>
  <si>
    <t>[즉시 장착] 시도 시 해당 장비가 다른 쿠키에 장착중인 경우, 안내 토스트 메세지가 출력된다.</t>
  </si>
  <si>
    <t>장비 아이콘 효과</t>
  </si>
  <si>
    <t>현재 장착중인 장비 아이콘 위에 등급별 프레임 효과가 표시된다.</t>
  </si>
  <si>
    <t>쿠키 성장 가이드 기획서 - UI 표시</t>
  </si>
  <si>
    <t>추천 장비 팝업 닫기</t>
  </si>
  <si>
    <t>추천 장비 팝업의 [닫기] 버튼 터치 시, 팝업이 닫힌다.</t>
  </si>
  <si>
    <t>쿠키 성장 가이드 기획서 - 팝업</t>
  </si>
  <si>
    <t>일괄 장착 연출</t>
  </si>
  <si>
    <t>[일괄 장착하기] 동작 시, 장비 장착 연출 애니메이션이 재생된다.</t>
  </si>
  <si>
    <t>쿠키 성장 가이드 기획서 - 연출</t>
  </si>
  <si>
    <t>아티팩트 카테고리</t>
  </si>
  <si>
    <t>현재 장착중인 아티팩트</t>
  </si>
  <si>
    <t>아티팩트 카테고리 진입 시, 현재 장착중인 아티팩트 아이콘과 정보가 출력된다.</t>
  </si>
  <si>
    <t>쿠키 성장 가이드 기획서 - 아티팩트</t>
  </si>
  <si>
    <t>현재 장착중인 아티팩트 영역의 [즉시 장착] 버튼 터치 시, 해당 아티팩트가 쿠키에 즉시 장착된다.</t>
  </si>
  <si>
    <t>쿠키 성장 가이드 기획서 - 아티팩트 장착</t>
  </si>
  <si>
    <t>장착 완료 처리</t>
  </si>
  <si>
    <t>추천 아티팩트 장착 완료 시, 해당 항목이 리스트에서 컴플리트 처리된다.</t>
  </si>
  <si>
    <t>미보유 추천 아티팩트</t>
  </si>
  <si>
    <t>미보유 추천 아티팩트 항목에 이름과 아이콘이 출력된다.</t>
  </si>
  <si>
    <t>픽업 레전더리 포커싱</t>
  </si>
  <si>
    <t>미보유 추천 아티팩트가 픽업 레전더리에 해당하는 경우, [획득하러 가기] 터치 시 픽업 레전더리 탭으로 포커싱되어 이동된다.</t>
  </si>
  <si>
    <t>쿠키 성장 가이드 기획서 - 포커싱 분기</t>
  </si>
  <si>
    <t>픽업 에픽 포커싱</t>
  </si>
  <si>
    <t>미보유 추천 아티팩트가 픽업 에픽에 해당하는 경우, [획득하러 가기] 터치 시 픽업 에픽 탭으로 포커싱되어 이동된다.</t>
  </si>
  <si>
    <t>픽업 지난 레전더리 포커싱</t>
  </si>
  <si>
    <t>미보유 추천 아티팩트가 픽업 지난 3개월 이내 레전더리에 해당하는 경우, [획득하러 가기] 터치 시 해당 탭으로 포커싱되어 이동된다.</t>
  </si>
  <si>
    <t>픽업 지난 에픽 포커싱</t>
  </si>
  <si>
    <t>미보유 추천 아티팩트가 픽업 지난 3개월 이내 에픽에 해당하는 경우, [획득하러 가기] 터치 시 해당 탭으로 포커싱되어 이동된다.</t>
  </si>
  <si>
    <t>장착 연출</t>
  </si>
  <si>
    <t>아티팩트 [즉시 장착] 동작 시, 장착 연출이 재생된다.</t>
  </si>
  <si>
    <t>[즉시 장착] 시도 시 해당 아티팩트가 다른 쿠키에 장착중인 경우, 안내 토스트 메세지가 출력된다.</t>
  </si>
  <si>
    <t>시즈나이트 카테고리</t>
  </si>
  <si>
    <t>탭 잠금 처리</t>
  </si>
  <si>
    <t>시즈나이트 미해금 상태에서 시즈나이트 카테고리 탭이 잠금 처리되어 표시된다.</t>
  </si>
  <si>
    <t>쿠키 성장 가이드 기획서 - 시즈나이트 해금</t>
  </si>
  <si>
    <t>잠금 탭 토스트</t>
  </si>
  <si>
    <t>잠금 상태의 시즈나이트 탭 터치 시, "탑레벨 N에 해금됩니다" 토스트 메세지가 출력된다.</t>
  </si>
  <si>
    <t>현재 장착중인 시즈나이트</t>
  </si>
  <si>
    <t>시즈나이트 해금 후 카테고리 진입 시, 현재 장착중인 시즈나이트 정보가 출력된다.</t>
  </si>
  <si>
    <t>쿠키 성장 가이드 기획서 - 시즈나이트</t>
  </si>
  <si>
    <t>추천 시즈나이트 항목의 [즉시 장착] 버튼 터치 시, 해당 시즈나이트가 쿠키에 즉시 장착된다.</t>
  </si>
  <si>
    <t>쿠키 성장 가이드 기획서 - 시즈나이트 장착</t>
  </si>
  <si>
    <t>복수 추천 잔존 처리</t>
  </si>
  <si>
    <t>추천 시즈나이트가 여러 종인 경우, 한 종을 장착 완료해도 다른 추천 시즈나이트는 리스트에 잔존하여 표시된다.</t>
  </si>
  <si>
    <t>쿠키 성장 가이드 기획서 - 시즈나이트 분기</t>
  </si>
  <si>
    <t>미보유 추천 시즈나이트</t>
  </si>
  <si>
    <t>미보유 추천 시즈나이트 항목에 시즈나이트 이름과 아이콘이 출력된다.</t>
  </si>
  <si>
    <t>교환소 이동</t>
  </si>
  <si>
    <t>미보유 추천 시즈나이트 항목의 [획득하러 가기] 버튼 터치 시, 시즈나이트 교환소 화면으로 이동된다.</t>
  </si>
  <si>
    <t>장착 완료 컴플리트</t>
  </si>
  <si>
    <t>추천 시즈나이트 단일 종이 장착 완료 시, 해당 항목이 컴플리트 처리된다.</t>
  </si>
  <si>
    <t>시즈나이트 [즉시 장착] 동작 시, 장착 연출이 재생된다.</t>
  </si>
  <si>
    <t>잠금 아이콘 표시</t>
  </si>
  <si>
    <t>시즈나이트 미해금 상태의 탭에 잠금 아이콘이 출력된다.</t>
  </si>
  <si>
    <t>시즈나이트 [즉시 장착] 시도 시 다른 쿠키에 장착중인 경우, 안내 토스트 메세지가 출력된다.</t>
  </si>
  <si>
    <t>숏컷 기능</t>
  </si>
  <si>
    <t>쿠키 강화 진입</t>
  </si>
  <si>
    <t>레벨업 화면 포커싱</t>
  </si>
  <si>
    <t>쿠키 카테고리에서 레벨업 [바로가기] 터치 시, 쿠키 강화 화면의 레벨업 탭으로 포커싱되어 이동된다.</t>
  </si>
  <si>
    <t>승급 화면 포커싱</t>
  </si>
  <si>
    <t>쿠키 카테고리에서 성급업 [바로가기] 터치 시, 쿠키 강화 화면의 승급 탭으로 포커싱되어 이동된다.</t>
  </si>
  <si>
    <t>쿠��� 성장 가이드 기획서 - 숏컷</t>
  </si>
  <si>
    <t>스킬 레벨업 화면 포커싱</t>
  </si>
  <si>
    <t>쿠키 카테고리에서 스킬 레벨업 [바로가기] 터치 시, 쿠키 강화 화면의 스킬 레벨업 탭으로 포커싱되어 이동된다.</t>
  </si>
  <si>
    <t>쿠키 상세보기 진입</t>
  </si>
  <si>
    <t>쿠키 정보 탭 포커싱</t>
  </si>
  <si>
    <t>가이드 화면 내 쿠키 상세 진입 동선 사용 시, 쿠키 상세보기 화면의 쿠키 정보 탭으로 포커싱되어 이동된다.</t>
  </si>
  <si>
    <t>스킬 탭 포커싱</t>
  </si>
  <si>
    <t>가이드 화면 내 스킬 영역 진입 동선 사용 시, 쿠키 상세보기 화면의 스킬 탭으로 포커싱되어 이동된다.</t>
  </si>
  <si>
    <t>장비 탭 포커싱</t>
  </si>
  <si>
    <t>가이드 화면 내 장비 영역 진입 동선 사용 시, 쿠키 상세보기 화면의 장비 탭으로 포커싱되어 이동된다.</t>
  </si>
  <si>
    <t>시즈나이트 탭 포커싱</t>
  </si>
  <si>
    <t>가이드 화면 내 시즈나이트 영역 진입 동선 사용 시, 쿠키 상세보기 화면의 시즈나이트 탭으로 포커싱되어 이동된다.</t>
  </si>
  <si>
    <t>장비 장착 진입</t>
  </si>
  <si>
    <t>무기 부위 포커싱</t>
  </si>
  <si>
    <t>무기 부위 [장착하러 가기] 터치 시, 장비 장착 화면의 무기 부위로 포커싱되어 이동된다.</t>
  </si>
  <si>
    <t>모자 부위 포커싱</t>
  </si>
  <si>
    <t>모자 부위 [장착하러 가기] 터치 시, 장비 장착 화면의 모자 부위로 포커싱되어 이동된다.</t>
  </si>
  <si>
    <t>상의 부위 포커싱</t>
  </si>
  <si>
    <t>상의 부위 [장착하러 가기] 터치 시, 장비 장착 화면의 상의 부위로 포커싱되어 이동된다.</t>
  </si>
  <si>
    <t>하의 부위 포커싱</t>
  </si>
  <si>
    <t>하의 부위 [장착하러 가기] 터치 시, 장비 장착 화면의 하의 부위로 포커싱되어 이동된다.</t>
  </si>
  <si>
    <t>아티팩트 진입</t>
  </si>
  <si>
    <t>아티팩트 장착 화면 이동</t>
  </si>
  <si>
    <t>아티팩트 [장착하러 가기] 터치 시, 아티팩트 장착 화면으로 이동된다.</t>
  </si>
  <si>
    <t>시즈나이트 진입</t>
  </si>
  <si>
    <t>시즈나이트 장착 화면 이동</t>
  </si>
  <si>
    <t>시즈나이트 [장착하러 가기] 터치 시, 시즈나이트 장착 화면으로 이동된다.</t>
  </si>
  <si>
    <t>쿠키 레벨업 초기화</t>
  </si>
  <si>
    <t>진입 동선</t>
  </si>
  <si>
    <t>레벨업 화면 정보 노출</t>
  </si>
  <si>
    <t>쿠키 레벨업 화면 진입 시, 레벨업 초기화 정보가 상시 노출된다.</t>
  </si>
  <si>
    <t>쿠키 성장 가이드 기획서 - 레벨 초기화</t>
  </si>
  <si>
    <t>상세화면 버튼 추가</t>
  </si>
  <si>
    <t>쿠키 상세 화면에 [레벨업 초기화] 버튼이 추가되어 노출된다.</t>
  </si>
  <si>
    <t>2LV 이상 활성화</t>
  </si>
  <si>
    <t>쿠키 레벨이 2 이상인 경우, [레벨업 초기화] 버튼이 활성화되어 표시된다.</t>
  </si>
  <si>
    <t>1LV 딤드 처리</t>
  </si>
  <si>
    <t>쿠키 레벨이 1인 경우, [레벨업 초기화] 버튼이 딤드 처리되어 표시된다.</t>
  </si>
  <si>
    <t>1LV 딤드 토스트</t>
  </si>
  <si>
    <t>1LV 쿠키의 딤드 상태 [레벨업 초기화] 버튼 터치 시, 초기화 불가 안내 토스트 메세지가 출력된다.</t>
  </si>
  <si>
    <t>레벨 초기화 팝업</t>
  </si>
  <si>
    <t>팝업 출력</t>
  </si>
  <si>
    <t>활성화 상태의 [레벨업 초기화] 버튼 터치 시, 레벨 초기화 팝업이 출력된다.</t>
  </si>
  <si>
    <t>쿠키 성장 가이드 기획서 - 초기화 팝업</t>
  </si>
  <si>
    <t>쿠키 정보 영역</t>
  </si>
  <si>
    <t>레벨 초기화 팝업에 대상 쿠키의 정보 영역이 출력된다.</t>
  </si>
  <si>
    <t>초기화 정보 영역</t>
  </si>
  <si>
    <t>레벨 초기화 팝업에 회수될 재화 종류와 수량 등 초기화 정보 영역이 출력된다.</t>
  </si>
  <si>
    <t>취소 버튼</t>
  </si>
  <si>
    <t>레벨 초기화 팝업의 [취소] 버튼 터치 시, 팝업이 닫히고 초기화가 진행되지 않는다.</t>
  </si>
  <si>
    <t>초기화 처리 결과</t>
  </si>
  <si>
    <t>레벨 1 변경</t>
  </si>
  <si>
    <t>레벨 초기화 팝업의 [초기화] 버튼 터치 시, 대상 쿠키 레벨이 1로 변경된다.</t>
  </si>
  <si>
    <t>쿠키 성장 가이드 기획서 - 초기화 처리</t>
  </si>
  <si>
    <t>재화 100% 회수</t>
  </si>
  <si>
    <t>쿠키 레벨업 초기화 진행 시, 레벨업에 사용된 모든 재화(코인, 경험치 물약 소·중·대, 돌파석)가 100% 유저에게 회수된다.</t>
  </si>
  <si>
    <t>전투력 변화</t>
  </si>
  <si>
    <t>쿠키 레벨업 초기화 완료 시, 해당 쿠키의 전투력이 레벨 1 기준으로 갱신되어 표시된다.</t>
  </si>
  <si>
    <t>스킬 레벨업 쿠키 예외 처리</t>
  </si>
  <si>
    <t>스킬 레벨 유지</t>
  </si>
  <si>
    <t>스킬 레벨업이 진행된 쿠키 초기화 시, 쿠키 레벨은 1로 변경되지만 스킬 레벨은 유지된다.</t>
  </si>
  <si>
    <t>쿠키 성장 가이드 기획서 - 스킬 예외</t>
  </si>
  <si>
    <t>레벨업 버튼 롤백</t>
  </si>
  <si>
    <t>스킬 레벨업 쿠키 초기화 후 쿠키 강화 화면 진입 시, 스킬 레벨업 버튼이 레벨업 버튼으로 롤백되어 표시된다.</t>
  </si>
  <si>
    <t>스킬 화면 딤드 처리</t>
  </si>
  <si>
    <t>초기화로 레벨 60 미달인 쿠키의 스킬 화면 진입 시, [스킬 레벨업] 버튼이 딤드 처리되어 표시된다.</t>
  </si>
  <si>
    <t>초기화 후 60LV 미달 상태의 [스킬 레벨업] 버튼 터치 시, "쿠키 레벨 60달성 시 가능합니다" 토스트 메세지가 출력된다.</t>
  </si>
  <si>
    <t>재화 회수 연출</t>
  </si>
  <si>
    <t>쿠키 레벨업 초기화 완료 시, 회수된 재화 획득 연출이 재생된다.</t>
  </si>
  <si>
    <t>효과음 출력</t>
  </si>
  <si>
    <t>레벨 초기화 팝업의 [초기화] 버튼 터치 시, 확정 효과음이 출력된다.</t>
  </si>
  <si>
    <t>추천 잠재력</t>
  </si>
  <si>
    <t>추천 잠재력 보기 버튼</t>
  </si>
  <si>
    <t>에픽 이상 장착 시 표시</t>
  </si>
  <si>
    <t>에픽 이상 등급의 장비를 장착중인 경우, 장비 영역에 [추천 잠재력 보기] 버튼이 표시된다.</t>
  </si>
  <si>
    <t>쿠키 성장 가이드 기획서 - 추천 잠재력</t>
  </si>
  <si>
    <t>미장착 시 미노출</t>
  </si>
  <si>
    <t>장비 미장착 상태인 경우, [추천 잠재력 보기] 버튼이 노출되지 않는다.</t>
  </si>
  <si>
    <t>에픽 미만 미노출</t>
  </si>
  <si>
    <t>에픽 미만 등급의 장비를 장착중인 경우, [추천 잠재력 보기] 버튼이 노출되지 않는다.</t>
  </si>
  <si>
    <t>장비 추천 조합 팝업</t>
  </si>
  <si>
    <t>[추천 잠재력 보기] 버튼 터치 시, 장비 추천 조합 팝업이 출력된다.</t>
  </si>
  <si>
    <t>추천 탭 출력</t>
  </si>
  <si>
    <t>장비 추천 조합 팝업 내 추천 탭에서 추천 잠재력 조합 정보가 출력된다.</t>
  </si>
  <si>
    <t>사용 통계 탭</t>
  </si>
  <si>
    <t>장비 추천 조합 팝업 내 사용 통계 탭 선택 시, 어비스 레이드/백신 스쿼드/유리미궁의 잠재력 사용 통계 정보가 출력된다.</t>
  </si>
  <si>
    <t>팝업 닫기</t>
  </si>
  <si>
    <t>장비 추천 조합 팝업의 [닫기] 버튼 터치 시, 팝업이 닫힌다.</t>
  </si>
  <si>
    <t>쿠키 ��장 가이드</t>
  </si>
  <si>
    <t>탭 전환 효과음</t>
  </si>
  <si>
    <t>장비 추천 조합 팝업의 추천 / 사용 통계 탭 전환 시, 탭 전환 효과음이 출력된다.</t>
  </si>
  <si>
    <t>패배 화면 성장 가이드 연결</t>
  </si>
  <si>
    <t>성장 가이드 버튼</t>
  </si>
  <si>
    <t>버튼 노출 조건</t>
  </si>
  <si>
    <t>스토리 모드 싱글 노출</t>
  </si>
  <si>
    <t>스토리 모드 싱글 패배 화면에 [성장 가이드] 버튼이 노출된다.</t>
  </si>
  <si>
    <t>쿠키 성장 가이드 기획서 - 패배 화면</t>
  </si>
  <si>
    <t>성장 던전 노출</t>
  </si>
  <si>
    <t>성장 던전 패배 화면에 [성장 가이드] 버튼이 노출된다.</t>
  </si>
  <si>
    <t>어비스 던전 노출</t>
  </si>
  <si>
    <t>어비스 던전 패배 화면에 [성장 가이드] 버튼이 노출된다.</t>
  </si>
  <si>
    <t>그림자 토벌 노출</t>
  </si>
  <si>
    <t>그림자 토벌 패배 화면에 [성장 가이드] 버튼이 노출된다.</t>
  </si>
  <si>
    <t>탑의 균열 싱글 노출</t>
  </si>
  <si>
    <t>탑의 균열 싱글 패배 화면에 [성장 가이드] 버튼이 노출된다.</t>
  </si>
  <si>
    <t>백신 스쿼드 노출</t>
  </si>
  <si>
    <t>백신 스쿼드 패배 화면에 [성장 가이드] 버튼이 노출된다.</t>
  </si>
  <si>
    <t>미노출 콘텐츠 처리</t>
  </si>
  <si>
    <t>어드벤처 모드, 길드전, 멀티 콘텐츠(레이드/어비스 레이드/탑균 멀티/스토리 멀티), 유리미궁 패배 화면에 [성장 가이드] 버튼이 노출되지 않는다.</t>
  </si>
  <si>
    <t>쿠키 성장 가이드 기획서 - 미노출 조건</t>
  </si>
  <si>
    <t>버튼 동작</t>
  </si>
  <si>
    <t>패배 화면의 [성장 가이드] 버튼 터치 시, 성장 가이드 팝업이 출력된다.</t>
  </si>
  <si>
    <t>패배 화면 가이드 팝업</t>
  </si>
  <si>
    <t>쿠키 페이스 아이콘 영역</t>
  </si>
  <si>
    <t>아이콘 표시</t>
  </si>
  <si>
    <t>성장 가이드 팝업 출력 시, 패배 시 사용한 쿠키 페이스 아이콘이 표시된다.</t>
  </si>
  <si>
    <t>쿠키 성장 가이드 기획서 - 패배 가이드 팝업</t>
  </si>
  <si>
    <t>가이드 전환</t>
  </si>
  <si>
    <t>패배 화면 가이드 팝업에서 쿠키 페이스 아이콘 터치 시, 해당 쿠키의 성장 가이드 정보로 전환된다.</t>
  </si>
  <si>
    <t>가이드 내용 영역</t>
  </si>
  <si>
    <t>장착하러 가기 버튼 변경</t>
  </si>
  <si>
    <t>패배 결과 화면 가이드 팝업의 장비 / 아티팩트 / 시즈나이트 카테고리에서 [즉시 장착] 버튼이 [장착하러 가기] 버튼으로 변경되어 표시된다.</t>
  </si>
  <si>
    <t>쿠키 성장 가이드 기획서 - 패배 가이드 예외</t>
  </si>
  <si>
    <t>장착 화면 이동 동작</t>
  </si>
  <si>
    <t>패배 결과 화면 가이드 팝업의 [장착하러 가기] 버튼 터치 시, 해당 장비/아티팩트/시즈나이트 장착 화면으로 이동된다.</t>
  </si>
  <si>
    <t>쿠키 성장 가이드 기획서 - 패배 가이드</t>
  </si>
  <si>
    <t>예외 처리</t>
  </si>
  <si>
    <t>체험/대여 쿠키 비표시</t>
  </si>
  <si>
    <t>패배 시 사용한 쿠키 중 체험/대여 쿠키는 패배 화면 가이드 팝업의 페이스 아이콘 리스트에 표시되지 않는다.</t>
  </si>
  <si>
    <t>대여1+내쿠키2 표시</t>
  </si>
  <si>
    <t>대여 쿠키 1 + 내 쿠키 2 조합으로 패배한 경우, 패배 화면 가이드 팝업에 내 쿠키 페이스 아이콘 2개만 표시된다.</t>
  </si>
  <si>
    <t>체험쿠키 단독 버튼 미노출</t>
  </si>
  <si>
    <t>패배 시 사용한 쿠키가 체험 쿠키 1만 있는 경우, 패배 화면에 [성장 가이드] 버튼이 노출되지 않는다.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</si>
</sst>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COUNTIF(I10:I133,"Pass")</f>
      </c>
      <c r="K3" t="s">
        <v>4</v>
      </c>
      <c r="L3">
        <f>COUNTIF(I10:I133,"")</f>
      </c>
      <c r="M3" s="3" t="s">
        <v>3</v>
      </c>
      <c r="N3">
        <f>COUNTIF(J10:J133,"Pass")</f>
      </c>
    </row>
    <row r="4" spans="9:14" x14ac:dyDescent="0.25">
      <c r="I4" s="4" t="s">
        <v>5</v>
      </c>
      <c r="J4">
        <f>COUNTIF(I10:I133,"N/T")</f>
      </c>
      <c r="K4" t="s">
        <v>6</v>
      </c>
      <c r="L4">
        <f>COUNTA(I10:I133)-COUNTIF(I10:I133,"")</f>
      </c>
      <c r="M4" s="4" t="s">
        <v>5</v>
      </c>
      <c r="N4">
        <f>COUNTIF(J10:J133,"N/T")</f>
      </c>
    </row>
    <row r="5" spans="9:14" x14ac:dyDescent="0.25">
      <c r="I5" s="5" t="s">
        <v>7</v>
      </c>
      <c r="J5">
        <f>COUNTIF(I10:I133,"Fail")</f>
      </c>
      <c r="K5" t="s">
        <v>8</v>
      </c>
      <c r="L5">
        <v>124</v>
      </c>
      <c r="M5" s="5" t="s">
        <v>7</v>
      </c>
      <c r="N5">
        <f>COUNTIF(J10:J133,"Fail")</f>
      </c>
    </row>
    <row r="6" spans="9:14" x14ac:dyDescent="0.25">
      <c r="I6" s="6" t="s">
        <v>9</v>
      </c>
      <c r="J6">
        <f>COUNTIF(I10:I133,"Block")</f>
      </c>
      <c r="K6" t="s">
        <v>10</v>
      </c>
      <c r="L6" s="7">
        <f>IF(L5=0,0,L4/L5)</f>
      </c>
      <c r="M6" s="6" t="s">
        <v>9</v>
      </c>
      <c r="N6">
        <f>COUNTIF(J10:J133,"Block")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30</v>
      </c>
      <c r="H11" s="13" t="s">
        <v>31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6" t="s">
        <v>32</v>
      </c>
      <c r="D12" s="11"/>
      <c r="E12" s="11"/>
      <c r="F12" s="11"/>
      <c r="G12" s="12" t="s">
        <v>33</v>
      </c>
      <c r="H12" s="13" t="s">
        <v>34</v>
      </c>
      <c r="I12" s="12"/>
      <c r="J12" s="12"/>
      <c r="K12" s="12"/>
      <c r="L12" s="12"/>
      <c r="M12" s="12"/>
      <c r="N12" s="14" t="s">
        <v>35</v>
      </c>
    </row>
    <row r="13" spans="2:14" x14ac:dyDescent="0.25">
      <c r="B13" s="9">
        <v>4</v>
      </c>
      <c r="C13" s="10" t="s">
        <v>22</v>
      </c>
      <c r="D13" s="11"/>
      <c r="E13" s="11"/>
      <c r="F13" s="11"/>
      <c r="G13" s="12" t="s">
        <v>36</v>
      </c>
      <c r="H13" s="13" t="s">
        <v>37</v>
      </c>
      <c r="I13" s="12"/>
      <c r="J13" s="12"/>
      <c r="K13" s="12"/>
      <c r="L13" s="12"/>
      <c r="M13" s="12"/>
      <c r="N13" s="14" t="s">
        <v>38</v>
      </c>
    </row>
    <row r="14" spans="2:14" x14ac:dyDescent="0.25">
      <c r="B14" s="9">
        <v>5</v>
      </c>
      <c r="C14" s="15" t="s">
        <v>29</v>
      </c>
      <c r="D14" s="11"/>
      <c r="E14" s="11"/>
      <c r="F14" s="11"/>
      <c r="G14" s="12" t="s">
        <v>39</v>
      </c>
      <c r="H14" s="13" t="s">
        <v>40</v>
      </c>
      <c r="I14" s="12"/>
      <c r="J14" s="12"/>
      <c r="K14" s="12"/>
      <c r="L14" s="12"/>
      <c r="M14" s="12"/>
      <c r="N14" s="14" t="s">
        <v>41</v>
      </c>
    </row>
    <row r="15" spans="2:14" x14ac:dyDescent="0.25">
      <c r="B15" s="9">
        <v>6</v>
      </c>
      <c r="C15" s="10" t="s">
        <v>22</v>
      </c>
      <c r="D15" s="11"/>
      <c r="E15" s="11" t="s">
        <v>42</v>
      </c>
      <c r="F15" s="11" t="s">
        <v>43</v>
      </c>
      <c r="G15" s="12" t="s">
        <v>44</v>
      </c>
      <c r="H15" s="13" t="s">
        <v>45</v>
      </c>
      <c r="I15" s="12"/>
      <c r="J15" s="12"/>
      <c r="K15" s="12"/>
      <c r="L15" s="12"/>
      <c r="M15" s="12"/>
      <c r="N15" s="14" t="s">
        <v>46</v>
      </c>
    </row>
    <row r="16" spans="2:14" x14ac:dyDescent="0.25">
      <c r="B16" s="9">
        <v>7</v>
      </c>
      <c r="C16" s="10" t="s">
        <v>22</v>
      </c>
      <c r="D16" s="11"/>
      <c r="E16" s="11"/>
      <c r="F16" s="11"/>
      <c r="G16" s="12" t="s">
        <v>47</v>
      </c>
      <c r="H16" s="13" t="s">
        <v>48</v>
      </c>
      <c r="I16" s="12"/>
      <c r="J16" s="12"/>
      <c r="K16" s="12"/>
      <c r="L16" s="12"/>
      <c r="M16" s="12"/>
      <c r="N16" s="14" t="s">
        <v>49</v>
      </c>
    </row>
    <row r="17" spans="2:14" x14ac:dyDescent="0.25">
      <c r="B17" s="9">
        <v>8</v>
      </c>
      <c r="C17" s="10" t="s">
        <v>22</v>
      </c>
      <c r="D17" s="11"/>
      <c r="E17" s="11"/>
      <c r="F17" s="11"/>
      <c r="G17" s="12" t="s">
        <v>50</v>
      </c>
      <c r="H17" s="13" t="s">
        <v>51</v>
      </c>
      <c r="I17" s="12"/>
      <c r="J17" s="12"/>
      <c r="K17" s="12"/>
      <c r="L17" s="12"/>
      <c r="M17" s="12"/>
      <c r="N17" s="14" t="s">
        <v>52</v>
      </c>
    </row>
    <row r="18" spans="2:14" x14ac:dyDescent="0.25">
      <c r="B18" s="9">
        <v>9</v>
      </c>
      <c r="C18" s="10" t="s">
        <v>22</v>
      </c>
      <c r="D18" s="11"/>
      <c r="E18" s="11"/>
      <c r="F18" s="11"/>
      <c r="G18" s="12" t="s">
        <v>53</v>
      </c>
      <c r="H18" s="13" t="s">
        <v>54</v>
      </c>
      <c r="I18" s="12"/>
      <c r="J18" s="12"/>
      <c r="K18" s="12"/>
      <c r="L18" s="12"/>
      <c r="M18" s="12"/>
      <c r="N18" s="14" t="s">
        <v>52</v>
      </c>
    </row>
    <row r="19" spans="2:14" x14ac:dyDescent="0.25">
      <c r="B19" s="9">
        <v>10</v>
      </c>
      <c r="C19" s="10" t="s">
        <v>22</v>
      </c>
      <c r="D19" s="11"/>
      <c r="E19" s="11"/>
      <c r="F19" s="11" t="s">
        <v>55</v>
      </c>
      <c r="G19" s="12" t="s">
        <v>56</v>
      </c>
      <c r="H19" s="13" t="s">
        <v>57</v>
      </c>
      <c r="I19" s="12"/>
      <c r="J19" s="12"/>
      <c r="K19" s="12"/>
      <c r="L19" s="12"/>
      <c r="M19" s="12"/>
      <c r="N19" s="14" t="s">
        <v>58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59</v>
      </c>
      <c r="H20" s="13" t="s">
        <v>60</v>
      </c>
      <c r="I20" s="12"/>
      <c r="J20" s="12"/>
      <c r="K20" s="12"/>
      <c r="L20" s="12"/>
      <c r="M20" s="12"/>
      <c r="N20" s="14" t="s">
        <v>58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61</v>
      </c>
      <c r="H21" s="13" t="s">
        <v>62</v>
      </c>
      <c r="I21" s="12"/>
      <c r="J21" s="12"/>
      <c r="K21" s="12"/>
      <c r="L21" s="12"/>
      <c r="M21" s="12"/>
      <c r="N21" s="14" t="s">
        <v>63</v>
      </c>
    </row>
    <row r="22" spans="2:14" x14ac:dyDescent="0.25">
      <c r="B22" s="9">
        <v>13</v>
      </c>
      <c r="C22" s="10" t="s">
        <v>22</v>
      </c>
      <c r="D22" s="11"/>
      <c r="E22" s="11"/>
      <c r="F22" s="12" t="s">
        <v>64</v>
      </c>
      <c r="G22" s="12" t="s">
        <v>65</v>
      </c>
      <c r="H22" s="13" t="s">
        <v>66</v>
      </c>
      <c r="I22" s="12"/>
      <c r="J22" s="12"/>
      <c r="K22" s="12"/>
      <c r="L22" s="12"/>
      <c r="M22" s="12"/>
      <c r="N22" s="14" t="s">
        <v>67</v>
      </c>
    </row>
    <row r="23" spans="2:14" x14ac:dyDescent="0.25">
      <c r="B23" s="9">
        <v>14</v>
      </c>
      <c r="C23" s="16" t="s">
        <v>32</v>
      </c>
      <c r="D23" s="11"/>
      <c r="E23" s="11" t="s">
        <v>68</v>
      </c>
      <c r="F23" s="11" t="s">
        <v>69</v>
      </c>
      <c r="G23" s="12" t="s">
        <v>70</v>
      </c>
      <c r="H23" s="13" t="s">
        <v>71</v>
      </c>
      <c r="I23" s="12"/>
      <c r="J23" s="12"/>
      <c r="K23" s="12"/>
      <c r="L23" s="12"/>
      <c r="M23" s="12"/>
      <c r="N23" s="14" t="s">
        <v>72</v>
      </c>
    </row>
    <row r="24" spans="2:14" x14ac:dyDescent="0.25">
      <c r="B24" s="9">
        <v>15</v>
      </c>
      <c r="C24" s="10" t="s">
        <v>22</v>
      </c>
      <c r="D24" s="11"/>
      <c r="E24" s="11"/>
      <c r="F24" s="11"/>
      <c r="G24" s="12" t="s">
        <v>73</v>
      </c>
      <c r="H24" s="13" t="s">
        <v>74</v>
      </c>
      <c r="I24" s="12"/>
      <c r="J24" s="12"/>
      <c r="K24" s="12"/>
      <c r="L24" s="12"/>
      <c r="M24" s="12"/>
      <c r="N24" s="14" t="s">
        <v>72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75</v>
      </c>
      <c r="H25" s="13" t="s">
        <v>76</v>
      </c>
      <c r="I25" s="12"/>
      <c r="J25" s="12"/>
      <c r="K25" s="12"/>
      <c r="L25" s="12"/>
      <c r="M25" s="12"/>
      <c r="N25" s="14" t="s">
        <v>77</v>
      </c>
    </row>
    <row r="26" spans="2:14" x14ac:dyDescent="0.25">
      <c r="B26" s="9">
        <v>17</v>
      </c>
      <c r="C26" s="10" t="s">
        <v>22</v>
      </c>
      <c r="D26" s="11"/>
      <c r="E26" s="11"/>
      <c r="F26" s="11" t="s">
        <v>78</v>
      </c>
      <c r="G26" s="12" t="s">
        <v>70</v>
      </c>
      <c r="H26" s="13" t="s">
        <v>79</v>
      </c>
      <c r="I26" s="12"/>
      <c r="J26" s="12"/>
      <c r="K26" s="12"/>
      <c r="L26" s="12"/>
      <c r="M26" s="12"/>
      <c r="N26" s="14" t="s">
        <v>80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81</v>
      </c>
      <c r="H27" s="13" t="s">
        <v>82</v>
      </c>
      <c r="I27" s="12"/>
      <c r="J27" s="12"/>
      <c r="K27" s="12"/>
      <c r="L27" s="12"/>
      <c r="M27" s="12"/>
      <c r="N27" s="14" t="s">
        <v>80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83</v>
      </c>
      <c r="H28" s="13" t="s">
        <v>84</v>
      </c>
      <c r="I28" s="12"/>
      <c r="J28" s="12"/>
      <c r="K28" s="12"/>
      <c r="L28" s="12"/>
      <c r="M28" s="12"/>
      <c r="N28" s="14" t="s">
        <v>80</v>
      </c>
    </row>
    <row r="29" spans="2:14" x14ac:dyDescent="0.25">
      <c r="B29" s="9">
        <v>20</v>
      </c>
      <c r="C29" s="10" t="s">
        <v>22</v>
      </c>
      <c r="D29" s="11"/>
      <c r="E29" s="11"/>
      <c r="F29" s="11"/>
      <c r="G29" s="12" t="s">
        <v>75</v>
      </c>
      <c r="H29" s="13" t="s">
        <v>85</v>
      </c>
      <c r="I29" s="12"/>
      <c r="J29" s="12"/>
      <c r="K29" s="12"/>
      <c r="L29" s="12"/>
      <c r="M29" s="12"/>
      <c r="N29" s="14" t="s">
        <v>77</v>
      </c>
    </row>
    <row r="30" spans="2:14" x14ac:dyDescent="0.25">
      <c r="B30" s="9">
        <v>21</v>
      </c>
      <c r="C30" s="10" t="s">
        <v>22</v>
      </c>
      <c r="D30" s="11"/>
      <c r="E30" s="11"/>
      <c r="F30" s="11" t="s">
        <v>86</v>
      </c>
      <c r="G30" s="12" t="s">
        <v>87</v>
      </c>
      <c r="H30" s="13" t="s">
        <v>88</v>
      </c>
      <c r="I30" s="12"/>
      <c r="J30" s="12"/>
      <c r="K30" s="12"/>
      <c r="L30" s="12"/>
      <c r="M30" s="12"/>
      <c r="N30" s="14" t="s">
        <v>89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90</v>
      </c>
      <c r="H31" s="13" t="s">
        <v>91</v>
      </c>
      <c r="I31" s="12"/>
      <c r="J31" s="12"/>
      <c r="K31" s="12"/>
      <c r="L31" s="12"/>
      <c r="M31" s="12"/>
      <c r="N31" s="14" t="s">
        <v>89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73</v>
      </c>
      <c r="H32" s="13" t="s">
        <v>92</v>
      </c>
      <c r="I32" s="12"/>
      <c r="J32" s="12"/>
      <c r="K32" s="12"/>
      <c r="L32" s="12"/>
      <c r="M32" s="12"/>
      <c r="N32" s="14" t="s">
        <v>89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75</v>
      </c>
      <c r="H33" s="13" t="s">
        <v>93</v>
      </c>
      <c r="I33" s="12"/>
      <c r="J33" s="12"/>
      <c r="K33" s="12"/>
      <c r="L33" s="12"/>
      <c r="M33" s="12"/>
      <c r="N33" s="14" t="s">
        <v>77</v>
      </c>
    </row>
    <row r="34" spans="2:14" x14ac:dyDescent="0.25">
      <c r="B34" s="9">
        <v>25</v>
      </c>
      <c r="C34" s="10" t="s">
        <v>22</v>
      </c>
      <c r="D34" s="11"/>
      <c r="E34" s="11"/>
      <c r="F34" s="11" t="s">
        <v>94</v>
      </c>
      <c r="G34" s="12" t="s">
        <v>95</v>
      </c>
      <c r="H34" s="13" t="s">
        <v>96</v>
      </c>
      <c r="I34" s="12"/>
      <c r="J34" s="12"/>
      <c r="K34" s="12"/>
      <c r="L34" s="12"/>
      <c r="M34" s="12"/>
      <c r="N34" s="14" t="s">
        <v>97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98</v>
      </c>
      <c r="H35" s="13" t="s">
        <v>99</v>
      </c>
      <c r="I35" s="12"/>
      <c r="J35" s="12"/>
      <c r="K35" s="12"/>
      <c r="L35" s="12"/>
      <c r="M35" s="12"/>
      <c r="N35" s="14" t="s">
        <v>97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100</v>
      </c>
      <c r="H36" s="13" t="s">
        <v>101</v>
      </c>
      <c r="I36" s="12"/>
      <c r="J36" s="12"/>
      <c r="K36" s="12"/>
      <c r="L36" s="12"/>
      <c r="M36" s="12"/>
      <c r="N36" s="14" t="s">
        <v>97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102</v>
      </c>
      <c r="H37" s="13" t="s">
        <v>103</v>
      </c>
      <c r="I37" s="12"/>
      <c r="J37" s="12"/>
      <c r="K37" s="12"/>
      <c r="L37" s="12"/>
      <c r="M37" s="12"/>
      <c r="N37" s="14" t="s">
        <v>77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104</v>
      </c>
      <c r="H38" s="13" t="s">
        <v>105</v>
      </c>
      <c r="I38" s="12"/>
      <c r="J38" s="12"/>
      <c r="K38" s="12"/>
      <c r="L38" s="12"/>
      <c r="M38" s="12"/>
      <c r="N38" s="14" t="s">
        <v>106</v>
      </c>
    </row>
    <row r="39" spans="2:14" x14ac:dyDescent="0.25">
      <c r="B39" s="9">
        <v>30</v>
      </c>
      <c r="C39" s="15" t="s">
        <v>29</v>
      </c>
      <c r="D39" s="11"/>
      <c r="E39" s="11"/>
      <c r="F39" s="11"/>
      <c r="G39" s="12" t="s">
        <v>107</v>
      </c>
      <c r="H39" s="13" t="s">
        <v>108</v>
      </c>
      <c r="I39" s="12"/>
      <c r="J39" s="12"/>
      <c r="K39" s="12"/>
      <c r="L39" s="12"/>
      <c r="M39" s="12"/>
      <c r="N39" s="14" t="s">
        <v>106</v>
      </c>
    </row>
    <row r="40" spans="2:14" x14ac:dyDescent="0.25">
      <c r="B40" s="9">
        <v>31</v>
      </c>
      <c r="C40" s="15" t="s">
        <v>29</v>
      </c>
      <c r="D40" s="11"/>
      <c r="E40" s="11"/>
      <c r="F40" s="11"/>
      <c r="G40" s="12" t="s">
        <v>109</v>
      </c>
      <c r="H40" s="13" t="s">
        <v>110</v>
      </c>
      <c r="I40" s="12"/>
      <c r="J40" s="12"/>
      <c r="K40" s="12"/>
      <c r="L40" s="12"/>
      <c r="M40" s="12"/>
      <c r="N40" s="14" t="s">
        <v>111</v>
      </c>
    </row>
    <row r="41" spans="2:14" x14ac:dyDescent="0.25">
      <c r="B41" s="9">
        <v>32</v>
      </c>
      <c r="C41" s="15" t="s">
        <v>29</v>
      </c>
      <c r="D41" s="11"/>
      <c r="E41" s="11"/>
      <c r="F41" s="11"/>
      <c r="G41" s="12" t="s">
        <v>112</v>
      </c>
      <c r="H41" s="13" t="s">
        <v>113</v>
      </c>
      <c r="I41" s="12"/>
      <c r="J41" s="12"/>
      <c r="K41" s="12"/>
      <c r="L41" s="12"/>
      <c r="M41" s="12"/>
      <c r="N41" s="14" t="s">
        <v>97</v>
      </c>
    </row>
    <row r="42" spans="2:14" x14ac:dyDescent="0.25">
      <c r="B42" s="9">
        <v>33</v>
      </c>
      <c r="C42" s="10" t="s">
        <v>22</v>
      </c>
      <c r="D42" s="11"/>
      <c r="E42" s="11"/>
      <c r="F42" s="11" t="s">
        <v>69</v>
      </c>
      <c r="G42" s="12" t="s">
        <v>114</v>
      </c>
      <c r="H42" s="13" t="s">
        <v>115</v>
      </c>
      <c r="I42" s="12"/>
      <c r="J42" s="12"/>
      <c r="K42" s="12"/>
      <c r="L42" s="12"/>
      <c r="M42" s="12"/>
      <c r="N42" s="14" t="s">
        <v>72</v>
      </c>
    </row>
    <row r="43" spans="2:14" x14ac:dyDescent="0.25">
      <c r="B43" s="9">
        <v>34</v>
      </c>
      <c r="C43" s="15" t="s">
        <v>29</v>
      </c>
      <c r="D43" s="11"/>
      <c r="E43" s="11"/>
      <c r="F43" s="11"/>
      <c r="G43" s="12" t="s">
        <v>116</v>
      </c>
      <c r="H43" s="13" t="s">
        <v>117</v>
      </c>
      <c r="I43" s="12"/>
      <c r="J43" s="12"/>
      <c r="K43" s="12"/>
      <c r="L43" s="12"/>
      <c r="M43" s="12"/>
      <c r="N43" s="14" t="s">
        <v>41</v>
      </c>
    </row>
    <row r="44" spans="2:14" x14ac:dyDescent="0.25">
      <c r="B44" s="9">
        <v>35</v>
      </c>
      <c r="C44" s="15" t="s">
        <v>29</v>
      </c>
      <c r="D44" s="11"/>
      <c r="E44" s="11"/>
      <c r="F44" s="12" t="s">
        <v>86</v>
      </c>
      <c r="G44" s="12" t="s">
        <v>118</v>
      </c>
      <c r="H44" s="13" t="s">
        <v>119</v>
      </c>
      <c r="I44" s="12"/>
      <c r="J44" s="12"/>
      <c r="K44" s="12"/>
      <c r="L44" s="12"/>
      <c r="M44" s="12"/>
      <c r="N44" s="14" t="s">
        <v>89</v>
      </c>
    </row>
    <row r="45" spans="2:14" x14ac:dyDescent="0.25">
      <c r="B45" s="9">
        <v>36</v>
      </c>
      <c r="C45" s="16" t="s">
        <v>32</v>
      </c>
      <c r="D45" s="11"/>
      <c r="E45" s="11" t="s">
        <v>120</v>
      </c>
      <c r="F45" s="11" t="s">
        <v>121</v>
      </c>
      <c r="G45" s="12" t="s">
        <v>122</v>
      </c>
      <c r="H45" s="13" t="s">
        <v>123</v>
      </c>
      <c r="I45" s="12"/>
      <c r="J45" s="12"/>
      <c r="K45" s="12"/>
      <c r="L45" s="12"/>
      <c r="M45" s="12"/>
      <c r="N45" s="14" t="s">
        <v>124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125</v>
      </c>
      <c r="H46" s="13" t="s">
        <v>126</v>
      </c>
      <c r="I46" s="12"/>
      <c r="J46" s="12"/>
      <c r="K46" s="12"/>
      <c r="L46" s="12"/>
      <c r="M46" s="12"/>
      <c r="N46" s="14" t="s">
        <v>124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127</v>
      </c>
      <c r="H47" s="13" t="s">
        <v>128</v>
      </c>
      <c r="I47" s="12"/>
      <c r="J47" s="12"/>
      <c r="K47" s="12"/>
      <c r="L47" s="12"/>
      <c r="M47" s="12"/>
      <c r="N47" s="14" t="s">
        <v>124</v>
      </c>
    </row>
    <row r="48" spans="2:14" x14ac:dyDescent="0.25">
      <c r="B48" s="9">
        <v>39</v>
      </c>
      <c r="C48" s="10" t="s">
        <v>22</v>
      </c>
      <c r="D48" s="11"/>
      <c r="E48" s="11"/>
      <c r="F48" s="11"/>
      <c r="G48" s="12" t="s">
        <v>129</v>
      </c>
      <c r="H48" s="13" t="s">
        <v>130</v>
      </c>
      <c r="I48" s="12"/>
      <c r="J48" s="12"/>
      <c r="K48" s="12"/>
      <c r="L48" s="12"/>
      <c r="M48" s="12"/>
      <c r="N48" s="14" t="s">
        <v>124</v>
      </c>
    </row>
    <row r="49" spans="2:14" x14ac:dyDescent="0.25">
      <c r="B49" s="9">
        <v>40</v>
      </c>
      <c r="C49" s="10" t="s">
        <v>22</v>
      </c>
      <c r="D49" s="11"/>
      <c r="E49" s="11"/>
      <c r="F49" s="11" t="s">
        <v>131</v>
      </c>
      <c r="G49" s="12" t="s">
        <v>122</v>
      </c>
      <c r="H49" s="13" t="s">
        <v>132</v>
      </c>
      <c r="I49" s="12"/>
      <c r="J49" s="12"/>
      <c r="K49" s="12"/>
      <c r="L49" s="12"/>
      <c r="M49" s="12"/>
      <c r="N49" s="14" t="s">
        <v>124</v>
      </c>
    </row>
    <row r="50" spans="2:14" x14ac:dyDescent="0.25">
      <c r="B50" s="9">
        <v>41</v>
      </c>
      <c r="C50" s="10" t="s">
        <v>22</v>
      </c>
      <c r="D50" s="11"/>
      <c r="E50" s="11"/>
      <c r="F50" s="11"/>
      <c r="G50" s="12" t="s">
        <v>133</v>
      </c>
      <c r="H50" s="13" t="s">
        <v>134</v>
      </c>
      <c r="I50" s="12"/>
      <c r="J50" s="12"/>
      <c r="K50" s="12"/>
      <c r="L50" s="12"/>
      <c r="M50" s="12"/>
      <c r="N50" s="14" t="s">
        <v>77</v>
      </c>
    </row>
    <row r="51" spans="2:14" x14ac:dyDescent="0.25">
      <c r="B51" s="9">
        <v>42</v>
      </c>
      <c r="C51" s="10" t="s">
        <v>22</v>
      </c>
      <c r="D51" s="11"/>
      <c r="E51" s="11"/>
      <c r="F51" s="11" t="s">
        <v>135</v>
      </c>
      <c r="G51" s="12" t="s">
        <v>136</v>
      </c>
      <c r="H51" s="13" t="s">
        <v>137</v>
      </c>
      <c r="I51" s="12"/>
      <c r="J51" s="12"/>
      <c r="K51" s="12"/>
      <c r="L51" s="12"/>
      <c r="M51" s="12"/>
      <c r="N51" s="14" t="s">
        <v>138</v>
      </c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139</v>
      </c>
      <c r="H52" s="13" t="s">
        <v>140</v>
      </c>
      <c r="I52" s="12"/>
      <c r="J52" s="12"/>
      <c r="K52" s="12"/>
      <c r="L52" s="12"/>
      <c r="M52" s="12"/>
      <c r="N52" s="14" t="s">
        <v>138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141</v>
      </c>
      <c r="H53" s="13" t="s">
        <v>142</v>
      </c>
      <c r="I53" s="12"/>
      <c r="J53" s="12"/>
      <c r="K53" s="12"/>
      <c r="L53" s="12"/>
      <c r="M53" s="12"/>
      <c r="N53" s="14" t="s">
        <v>138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143</v>
      </c>
      <c r="H54" s="13" t="s">
        <v>144</v>
      </c>
      <c r="I54" s="12"/>
      <c r="J54" s="12"/>
      <c r="K54" s="12"/>
      <c r="L54" s="12"/>
      <c r="M54" s="12"/>
      <c r="N54" s="14" t="s">
        <v>145</v>
      </c>
    </row>
    <row r="55" spans="2:14" x14ac:dyDescent="0.25">
      <c r="B55" s="9">
        <v>46</v>
      </c>
      <c r="C55" s="15" t="s">
        <v>29</v>
      </c>
      <c r="D55" s="11"/>
      <c r="E55" s="11"/>
      <c r="F55" s="11"/>
      <c r="G55" s="12" t="s">
        <v>146</v>
      </c>
      <c r="H55" s="13" t="s">
        <v>147</v>
      </c>
      <c r="I55" s="12"/>
      <c r="J55" s="12"/>
      <c r="K55" s="12"/>
      <c r="L55" s="12"/>
      <c r="M55" s="12"/>
      <c r="N55" s="14" t="s">
        <v>145</v>
      </c>
    </row>
    <row r="56" spans="2:14" x14ac:dyDescent="0.25">
      <c r="B56" s="9">
        <v>47</v>
      </c>
      <c r="C56" s="15" t="s">
        <v>29</v>
      </c>
      <c r="D56" s="11"/>
      <c r="E56" s="11"/>
      <c r="F56" s="11" t="s">
        <v>121</v>
      </c>
      <c r="G56" s="12" t="s">
        <v>148</v>
      </c>
      <c r="H56" s="13" t="s">
        <v>149</v>
      </c>
      <c r="I56" s="12"/>
      <c r="J56" s="12"/>
      <c r="K56" s="12"/>
      <c r="L56" s="12"/>
      <c r="M56" s="12"/>
      <c r="N56" s="14" t="s">
        <v>150</v>
      </c>
    </row>
    <row r="57" spans="2:14" x14ac:dyDescent="0.25">
      <c r="B57" s="9">
        <v>48</v>
      </c>
      <c r="C57" s="15" t="s">
        <v>29</v>
      </c>
      <c r="D57" s="11"/>
      <c r="E57" s="11"/>
      <c r="F57" s="11"/>
      <c r="G57" s="12" t="s">
        <v>151</v>
      </c>
      <c r="H57" s="13" t="s">
        <v>152</v>
      </c>
      <c r="I57" s="12"/>
      <c r="J57" s="12"/>
      <c r="K57" s="12"/>
      <c r="L57" s="12"/>
      <c r="M57" s="12"/>
      <c r="N57" s="14" t="s">
        <v>153</v>
      </c>
    </row>
    <row r="58" spans="2:14" x14ac:dyDescent="0.25">
      <c r="B58" s="9">
        <v>49</v>
      </c>
      <c r="C58" s="15" t="s">
        <v>29</v>
      </c>
      <c r="D58" s="11"/>
      <c r="E58" s="11"/>
      <c r="F58" s="11"/>
      <c r="G58" s="12" t="s">
        <v>154</v>
      </c>
      <c r="H58" s="13" t="s">
        <v>155</v>
      </c>
      <c r="I58" s="12"/>
      <c r="J58" s="12"/>
      <c r="K58" s="12"/>
      <c r="L58" s="12"/>
      <c r="M58" s="12"/>
      <c r="N58" s="14" t="s">
        <v>156</v>
      </c>
    </row>
    <row r="59" spans="2:14" x14ac:dyDescent="0.25">
      <c r="B59" s="9">
        <v>50</v>
      </c>
      <c r="C59" s="16" t="s">
        <v>32</v>
      </c>
      <c r="D59" s="11"/>
      <c r="E59" s="11" t="s">
        <v>157</v>
      </c>
      <c r="F59" s="11" t="s">
        <v>158</v>
      </c>
      <c r="G59" s="12" t="s">
        <v>70</v>
      </c>
      <c r="H59" s="13" t="s">
        <v>159</v>
      </c>
      <c r="I59" s="12"/>
      <c r="J59" s="12"/>
      <c r="K59" s="12"/>
      <c r="L59" s="12"/>
      <c r="M59" s="12"/>
      <c r="N59" s="14" t="s">
        <v>160</v>
      </c>
    </row>
    <row r="60" spans="2:14" x14ac:dyDescent="0.25">
      <c r="B60" s="9">
        <v>51</v>
      </c>
      <c r="C60" s="10" t="s">
        <v>22</v>
      </c>
      <c r="D60" s="11"/>
      <c r="E60" s="11"/>
      <c r="F60" s="11"/>
      <c r="G60" s="12" t="s">
        <v>143</v>
      </c>
      <c r="H60" s="13" t="s">
        <v>161</v>
      </c>
      <c r="I60" s="12"/>
      <c r="J60" s="12"/>
      <c r="K60" s="12"/>
      <c r="L60" s="12"/>
      <c r="M60" s="12"/>
      <c r="N60" s="14" t="s">
        <v>162</v>
      </c>
    </row>
    <row r="61" spans="2:14" x14ac:dyDescent="0.25">
      <c r="B61" s="9">
        <v>52</v>
      </c>
      <c r="C61" s="10" t="s">
        <v>22</v>
      </c>
      <c r="D61" s="11"/>
      <c r="E61" s="11"/>
      <c r="F61" s="11"/>
      <c r="G61" s="12" t="s">
        <v>163</v>
      </c>
      <c r="H61" s="13" t="s">
        <v>164</v>
      </c>
      <c r="I61" s="12"/>
      <c r="J61" s="12"/>
      <c r="K61" s="12"/>
      <c r="L61" s="12"/>
      <c r="M61" s="12"/>
      <c r="N61" s="14" t="s">
        <v>160</v>
      </c>
    </row>
    <row r="62" spans="2:14" x14ac:dyDescent="0.25">
      <c r="B62" s="9">
        <v>53</v>
      </c>
      <c r="C62" s="10" t="s">
        <v>22</v>
      </c>
      <c r="D62" s="11"/>
      <c r="E62" s="11"/>
      <c r="F62" s="11" t="s">
        <v>165</v>
      </c>
      <c r="G62" s="12" t="s">
        <v>70</v>
      </c>
      <c r="H62" s="13" t="s">
        <v>166</v>
      </c>
      <c r="I62" s="12"/>
      <c r="J62" s="12"/>
      <c r="K62" s="12"/>
      <c r="L62" s="12"/>
      <c r="M62" s="12"/>
      <c r="N62" s="14" t="s">
        <v>160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167</v>
      </c>
      <c r="H63" s="13" t="s">
        <v>168</v>
      </c>
      <c r="I63" s="12"/>
      <c r="J63" s="12"/>
      <c r="K63" s="12"/>
      <c r="L63" s="12"/>
      <c r="M63" s="12"/>
      <c r="N63" s="14" t="s">
        <v>169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170</v>
      </c>
      <c r="H64" s="13" t="s">
        <v>171</v>
      </c>
      <c r="I64" s="12"/>
      <c r="J64" s="12"/>
      <c r="K64" s="12"/>
      <c r="L64" s="12"/>
      <c r="M64" s="12"/>
      <c r="N64" s="14" t="s">
        <v>169</v>
      </c>
    </row>
    <row r="65" spans="2:14" x14ac:dyDescent="0.25">
      <c r="B65" s="9">
        <v>56</v>
      </c>
      <c r="C65" s="10" t="s">
        <v>22</v>
      </c>
      <c r="D65" s="11"/>
      <c r="E65" s="11"/>
      <c r="F65" s="11"/>
      <c r="G65" s="12" t="s">
        <v>172</v>
      </c>
      <c r="H65" s="13" t="s">
        <v>173</v>
      </c>
      <c r="I65" s="12"/>
      <c r="J65" s="12"/>
      <c r="K65" s="12"/>
      <c r="L65" s="12"/>
      <c r="M65" s="12"/>
      <c r="N65" s="14" t="s">
        <v>169</v>
      </c>
    </row>
    <row r="66" spans="2:14" x14ac:dyDescent="0.25">
      <c r="B66" s="9">
        <v>57</v>
      </c>
      <c r="C66" s="10" t="s">
        <v>22</v>
      </c>
      <c r="D66" s="11"/>
      <c r="E66" s="11"/>
      <c r="F66" s="11"/>
      <c r="G66" s="12" t="s">
        <v>174</v>
      </c>
      <c r="H66" s="13" t="s">
        <v>175</v>
      </c>
      <c r="I66" s="12"/>
      <c r="J66" s="12"/>
      <c r="K66" s="12"/>
      <c r="L66" s="12"/>
      <c r="M66" s="12"/>
      <c r="N66" s="14" t="s">
        <v>169</v>
      </c>
    </row>
    <row r="67" spans="2:14" x14ac:dyDescent="0.25">
      <c r="B67" s="9">
        <v>58</v>
      </c>
      <c r="C67" s="15" t="s">
        <v>29</v>
      </c>
      <c r="D67" s="11"/>
      <c r="E67" s="11"/>
      <c r="F67" s="11" t="s">
        <v>158</v>
      </c>
      <c r="G67" s="12" t="s">
        <v>176</v>
      </c>
      <c r="H67" s="13" t="s">
        <v>177</v>
      </c>
      <c r="I67" s="12"/>
      <c r="J67" s="12"/>
      <c r="K67" s="12"/>
      <c r="L67" s="12"/>
      <c r="M67" s="12"/>
      <c r="N67" s="14" t="s">
        <v>156</v>
      </c>
    </row>
    <row r="68" spans="2:14" x14ac:dyDescent="0.25">
      <c r="B68" s="9">
        <v>59</v>
      </c>
      <c r="C68" s="15" t="s">
        <v>29</v>
      </c>
      <c r="D68" s="11"/>
      <c r="E68" s="11"/>
      <c r="F68" s="11"/>
      <c r="G68" s="12" t="s">
        <v>146</v>
      </c>
      <c r="H68" s="13" t="s">
        <v>178</v>
      </c>
      <c r="I68" s="12"/>
      <c r="J68" s="12"/>
      <c r="K68" s="12"/>
      <c r="L68" s="12"/>
      <c r="M68" s="12"/>
      <c r="N68" s="14" t="s">
        <v>145</v>
      </c>
    </row>
    <row r="69" spans="2:14" x14ac:dyDescent="0.25">
      <c r="B69" s="9">
        <v>60</v>
      </c>
      <c r="C69" s="16" t="s">
        <v>32</v>
      </c>
      <c r="D69" s="11"/>
      <c r="E69" s="11" t="s">
        <v>179</v>
      </c>
      <c r="F69" s="11" t="s">
        <v>87</v>
      </c>
      <c r="G69" s="12" t="s">
        <v>180</v>
      </c>
      <c r="H69" s="13" t="s">
        <v>181</v>
      </c>
      <c r="I69" s="12"/>
      <c r="J69" s="12"/>
      <c r="K69" s="12"/>
      <c r="L69" s="12"/>
      <c r="M69" s="12"/>
      <c r="N69" s="14" t="s">
        <v>182</v>
      </c>
    </row>
    <row r="70" spans="2:14" x14ac:dyDescent="0.25">
      <c r="B70" s="9">
        <v>61</v>
      </c>
      <c r="C70" s="10" t="s">
        <v>22</v>
      </c>
      <c r="D70" s="11"/>
      <c r="E70" s="11"/>
      <c r="F70" s="11"/>
      <c r="G70" s="12" t="s">
        <v>183</v>
      </c>
      <c r="H70" s="13" t="s">
        <v>184</v>
      </c>
      <c r="I70" s="12"/>
      <c r="J70" s="12"/>
      <c r="K70" s="12"/>
      <c r="L70" s="12"/>
      <c r="M70" s="12"/>
      <c r="N70" s="14" t="s">
        <v>182</v>
      </c>
    </row>
    <row r="71" spans="2:14" x14ac:dyDescent="0.25">
      <c r="B71" s="9">
        <v>62</v>
      </c>
      <c r="C71" s="16" t="s">
        <v>32</v>
      </c>
      <c r="D71" s="11"/>
      <c r="E71" s="11"/>
      <c r="F71" s="11" t="s">
        <v>185</v>
      </c>
      <c r="G71" s="12" t="s">
        <v>70</v>
      </c>
      <c r="H71" s="13" t="s">
        <v>186</v>
      </c>
      <c r="I71" s="12"/>
      <c r="J71" s="12"/>
      <c r="K71" s="12"/>
      <c r="L71" s="12"/>
      <c r="M71" s="12"/>
      <c r="N71" s="14" t="s">
        <v>187</v>
      </c>
    </row>
    <row r="72" spans="2:14" x14ac:dyDescent="0.25">
      <c r="B72" s="9">
        <v>63</v>
      </c>
      <c r="C72" s="10" t="s">
        <v>22</v>
      </c>
      <c r="D72" s="11"/>
      <c r="E72" s="11"/>
      <c r="F72" s="11"/>
      <c r="G72" s="12" t="s">
        <v>143</v>
      </c>
      <c r="H72" s="13" t="s">
        <v>188</v>
      </c>
      <c r="I72" s="12"/>
      <c r="J72" s="12"/>
      <c r="K72" s="12"/>
      <c r="L72" s="12"/>
      <c r="M72" s="12"/>
      <c r="N72" s="14" t="s">
        <v>189</v>
      </c>
    </row>
    <row r="73" spans="2:14" x14ac:dyDescent="0.25">
      <c r="B73" s="9">
        <v>64</v>
      </c>
      <c r="C73" s="10" t="s">
        <v>22</v>
      </c>
      <c r="D73" s="11"/>
      <c r="E73" s="11"/>
      <c r="F73" s="11"/>
      <c r="G73" s="12" t="s">
        <v>190</v>
      </c>
      <c r="H73" s="13" t="s">
        <v>191</v>
      </c>
      <c r="I73" s="12"/>
      <c r="J73" s="12"/>
      <c r="K73" s="12"/>
      <c r="L73" s="12"/>
      <c r="M73" s="12"/>
      <c r="N73" s="14" t="s">
        <v>192</v>
      </c>
    </row>
    <row r="74" spans="2:14" x14ac:dyDescent="0.25">
      <c r="B74" s="9">
        <v>65</v>
      </c>
      <c r="C74" s="10" t="s">
        <v>22</v>
      </c>
      <c r="D74" s="11"/>
      <c r="E74" s="11"/>
      <c r="F74" s="11" t="s">
        <v>193</v>
      </c>
      <c r="G74" s="12" t="s">
        <v>70</v>
      </c>
      <c r="H74" s="13" t="s">
        <v>194</v>
      </c>
      <c r="I74" s="12"/>
      <c r="J74" s="12"/>
      <c r="K74" s="12"/>
      <c r="L74" s="12"/>
      <c r="M74" s="12"/>
      <c r="N74" s="14" t="s">
        <v>187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195</v>
      </c>
      <c r="H75" s="13" t="s">
        <v>196</v>
      </c>
      <c r="I75" s="12"/>
      <c r="J75" s="12"/>
      <c r="K75" s="12"/>
      <c r="L75" s="12"/>
      <c r="M75" s="12"/>
      <c r="N75" s="14" t="s">
        <v>77</v>
      </c>
    </row>
    <row r="76" spans="2:14" x14ac:dyDescent="0.25">
      <c r="B76" s="9">
        <v>67</v>
      </c>
      <c r="C76" s="10" t="s">
        <v>22</v>
      </c>
      <c r="D76" s="11"/>
      <c r="E76" s="11"/>
      <c r="F76" s="11" t="s">
        <v>185</v>
      </c>
      <c r="G76" s="12" t="s">
        <v>197</v>
      </c>
      <c r="H76" s="13" t="s">
        <v>198</v>
      </c>
      <c r="I76" s="12"/>
      <c r="J76" s="12"/>
      <c r="K76" s="12"/>
      <c r="L76" s="12"/>
      <c r="M76" s="12"/>
      <c r="N76" s="14" t="s">
        <v>187</v>
      </c>
    </row>
    <row r="77" spans="2:14" x14ac:dyDescent="0.25">
      <c r="B77" s="9">
        <v>68</v>
      </c>
      <c r="C77" s="15" t="s">
        <v>29</v>
      </c>
      <c r="D77" s="11"/>
      <c r="E77" s="11"/>
      <c r="F77" s="11"/>
      <c r="G77" s="12" t="s">
        <v>176</v>
      </c>
      <c r="H77" s="13" t="s">
        <v>199</v>
      </c>
      <c r="I77" s="12"/>
      <c r="J77" s="12"/>
      <c r="K77" s="12"/>
      <c r="L77" s="12"/>
      <c r="M77" s="12"/>
      <c r="N77" s="14" t="s">
        <v>156</v>
      </c>
    </row>
    <row r="78" spans="2:14" x14ac:dyDescent="0.25">
      <c r="B78" s="9">
        <v>69</v>
      </c>
      <c r="C78" s="15" t="s">
        <v>29</v>
      </c>
      <c r="D78" s="11"/>
      <c r="E78" s="11"/>
      <c r="F78" s="12" t="s">
        <v>87</v>
      </c>
      <c r="G78" s="12" t="s">
        <v>200</v>
      </c>
      <c r="H78" s="13" t="s">
        <v>201</v>
      </c>
      <c r="I78" s="12"/>
      <c r="J78" s="12"/>
      <c r="K78" s="12"/>
      <c r="L78" s="12"/>
      <c r="M78" s="12"/>
      <c r="N78" s="14" t="s">
        <v>150</v>
      </c>
    </row>
    <row r="79" spans="2:14" x14ac:dyDescent="0.25">
      <c r="B79" s="9">
        <v>70</v>
      </c>
      <c r="C79" s="15" t="s">
        <v>29</v>
      </c>
      <c r="D79" s="11"/>
      <c r="E79" s="11"/>
      <c r="F79" s="12" t="s">
        <v>185</v>
      </c>
      <c r="G79" s="12" t="s">
        <v>146</v>
      </c>
      <c r="H79" s="13" t="s">
        <v>202</v>
      </c>
      <c r="I79" s="12"/>
      <c r="J79" s="12"/>
      <c r="K79" s="12"/>
      <c r="L79" s="12"/>
      <c r="M79" s="12"/>
      <c r="N79" s="14" t="s">
        <v>145</v>
      </c>
    </row>
    <row r="80" spans="2:14" x14ac:dyDescent="0.25">
      <c r="B80" s="9">
        <v>71</v>
      </c>
      <c r="C80" s="16" t="s">
        <v>32</v>
      </c>
      <c r="D80" s="11"/>
      <c r="E80" s="11" t="s">
        <v>203</v>
      </c>
      <c r="F80" s="11" t="s">
        <v>204</v>
      </c>
      <c r="G80" s="12" t="s">
        <v>205</v>
      </c>
      <c r="H80" s="13" t="s">
        <v>206</v>
      </c>
      <c r="I80" s="12"/>
      <c r="J80" s="12"/>
      <c r="K80" s="12"/>
      <c r="L80" s="12"/>
      <c r="M80" s="12"/>
      <c r="N80" s="14" t="s">
        <v>77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207</v>
      </c>
      <c r="H81" s="13" t="s">
        <v>208</v>
      </c>
      <c r="I81" s="12"/>
      <c r="J81" s="12"/>
      <c r="K81" s="12"/>
      <c r="L81" s="12"/>
      <c r="M81" s="12"/>
      <c r="N81" s="14" t="s">
        <v>209</v>
      </c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210</v>
      </c>
      <c r="H82" s="13" t="s">
        <v>211</v>
      </c>
      <c r="I82" s="12"/>
      <c r="J82" s="12"/>
      <c r="K82" s="12"/>
      <c r="L82" s="12"/>
      <c r="M82" s="12"/>
      <c r="N82" s="14" t="s">
        <v>77</v>
      </c>
    </row>
    <row r="83" spans="2:14" x14ac:dyDescent="0.25">
      <c r="B83" s="9">
        <v>74</v>
      </c>
      <c r="C83" s="10" t="s">
        <v>22</v>
      </c>
      <c r="D83" s="11"/>
      <c r="E83" s="11"/>
      <c r="F83" s="11" t="s">
        <v>212</v>
      </c>
      <c r="G83" s="12" t="s">
        <v>213</v>
      </c>
      <c r="H83" s="13" t="s">
        <v>214</v>
      </c>
      <c r="I83" s="12"/>
      <c r="J83" s="12"/>
      <c r="K83" s="12"/>
      <c r="L83" s="12"/>
      <c r="M83" s="12"/>
      <c r="N83" s="14" t="s">
        <v>77</v>
      </c>
    </row>
    <row r="84" spans="2:14" x14ac:dyDescent="0.25">
      <c r="B84" s="9">
        <v>75</v>
      </c>
      <c r="C84" s="10" t="s">
        <v>22</v>
      </c>
      <c r="D84" s="11"/>
      <c r="E84" s="11"/>
      <c r="F84" s="11"/>
      <c r="G84" s="12" t="s">
        <v>215</v>
      </c>
      <c r="H84" s="13" t="s">
        <v>216</v>
      </c>
      <c r="I84" s="12"/>
      <c r="J84" s="12"/>
      <c r="K84" s="12"/>
      <c r="L84" s="12"/>
      <c r="M84" s="12"/>
      <c r="N84" s="14" t="s">
        <v>77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217</v>
      </c>
      <c r="H85" s="13" t="s">
        <v>218</v>
      </c>
      <c r="I85" s="12"/>
      <c r="J85" s="12"/>
      <c r="K85" s="12"/>
      <c r="L85" s="12"/>
      <c r="M85" s="12"/>
      <c r="N85" s="14" t="s">
        <v>77</v>
      </c>
    </row>
    <row r="86" spans="2:14" x14ac:dyDescent="0.25">
      <c r="B86" s="9">
        <v>77</v>
      </c>
      <c r="C86" s="10" t="s">
        <v>22</v>
      </c>
      <c r="D86" s="11"/>
      <c r="E86" s="11"/>
      <c r="F86" s="11"/>
      <c r="G86" s="12" t="s">
        <v>219</v>
      </c>
      <c r="H86" s="13" t="s">
        <v>220</v>
      </c>
      <c r="I86" s="12"/>
      <c r="J86" s="12"/>
      <c r="K86" s="12"/>
      <c r="L86" s="12"/>
      <c r="M86" s="12"/>
      <c r="N86" s="14" t="s">
        <v>77</v>
      </c>
    </row>
    <row r="87" spans="2:14" x14ac:dyDescent="0.25">
      <c r="B87" s="9">
        <v>78</v>
      </c>
      <c r="C87" s="10" t="s">
        <v>22</v>
      </c>
      <c r="D87" s="11"/>
      <c r="E87" s="11"/>
      <c r="F87" s="11" t="s">
        <v>221</v>
      </c>
      <c r="G87" s="12" t="s">
        <v>222</v>
      </c>
      <c r="H87" s="13" t="s">
        <v>223</v>
      </c>
      <c r="I87" s="12"/>
      <c r="J87" s="12"/>
      <c r="K87" s="12"/>
      <c r="L87" s="12"/>
      <c r="M87" s="12"/>
      <c r="N87" s="14" t="s">
        <v>77</v>
      </c>
    </row>
    <row r="88" spans="2:14" x14ac:dyDescent="0.25">
      <c r="B88" s="9">
        <v>79</v>
      </c>
      <c r="C88" s="10" t="s">
        <v>22</v>
      </c>
      <c r="D88" s="11"/>
      <c r="E88" s="11"/>
      <c r="F88" s="11"/>
      <c r="G88" s="12" t="s">
        <v>224</v>
      </c>
      <c r="H88" s="13" t="s">
        <v>225</v>
      </c>
      <c r="I88" s="12"/>
      <c r="J88" s="12"/>
      <c r="K88" s="12"/>
      <c r="L88" s="12"/>
      <c r="M88" s="12"/>
      <c r="N88" s="14" t="s">
        <v>77</v>
      </c>
    </row>
    <row r="89" spans="2:14" x14ac:dyDescent="0.25">
      <c r="B89" s="9">
        <v>80</v>
      </c>
      <c r="C89" s="10" t="s">
        <v>22</v>
      </c>
      <c r="D89" s="11"/>
      <c r="E89" s="11"/>
      <c r="F89" s="11"/>
      <c r="G89" s="12" t="s">
        <v>226</v>
      </c>
      <c r="H89" s="13" t="s">
        <v>227</v>
      </c>
      <c r="I89" s="12"/>
      <c r="J89" s="12"/>
      <c r="K89" s="12"/>
      <c r="L89" s="12"/>
      <c r="M89" s="12"/>
      <c r="N89" s="14" t="s">
        <v>77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228</v>
      </c>
      <c r="H90" s="13" t="s">
        <v>229</v>
      </c>
      <c r="I90" s="12"/>
      <c r="J90" s="12"/>
      <c r="K90" s="12"/>
      <c r="L90" s="12"/>
      <c r="M90" s="12"/>
      <c r="N90" s="14" t="s">
        <v>77</v>
      </c>
    </row>
    <row r="91" spans="2:14" x14ac:dyDescent="0.25">
      <c r="B91" s="9">
        <v>82</v>
      </c>
      <c r="C91" s="15" t="s">
        <v>29</v>
      </c>
      <c r="D91" s="11"/>
      <c r="E91" s="11"/>
      <c r="F91" s="12" t="s">
        <v>230</v>
      </c>
      <c r="G91" s="12" t="s">
        <v>231</v>
      </c>
      <c r="H91" s="13" t="s">
        <v>232</v>
      </c>
      <c r="I91" s="12"/>
      <c r="J91" s="12"/>
      <c r="K91" s="12"/>
      <c r="L91" s="12"/>
      <c r="M91" s="12"/>
      <c r="N91" s="14" t="s">
        <v>77</v>
      </c>
    </row>
    <row r="92" spans="2:14" x14ac:dyDescent="0.25">
      <c r="B92" s="9">
        <v>83</v>
      </c>
      <c r="C92" s="15" t="s">
        <v>29</v>
      </c>
      <c r="D92" s="11"/>
      <c r="E92" s="11"/>
      <c r="F92" s="12" t="s">
        <v>233</v>
      </c>
      <c r="G92" s="12" t="s">
        <v>234</v>
      </c>
      <c r="H92" s="13" t="s">
        <v>235</v>
      </c>
      <c r="I92" s="12"/>
      <c r="J92" s="12"/>
      <c r="K92" s="12"/>
      <c r="L92" s="12"/>
      <c r="M92" s="12"/>
      <c r="N92" s="14" t="s">
        <v>77</v>
      </c>
    </row>
    <row r="93" spans="2:14" x14ac:dyDescent="0.25">
      <c r="B93" s="9">
        <v>84</v>
      </c>
      <c r="C93" s="10" t="s">
        <v>22</v>
      </c>
      <c r="D93" s="11"/>
      <c r="E93" s="11" t="s">
        <v>236</v>
      </c>
      <c r="F93" s="11" t="s">
        <v>237</v>
      </c>
      <c r="G93" s="12" t="s">
        <v>238</v>
      </c>
      <c r="H93" s="13" t="s">
        <v>239</v>
      </c>
      <c r="I93" s="12"/>
      <c r="J93" s="12"/>
      <c r="K93" s="12"/>
      <c r="L93" s="12"/>
      <c r="M93" s="12"/>
      <c r="N93" s="14" t="s">
        <v>240</v>
      </c>
    </row>
    <row r="94" spans="2:14" x14ac:dyDescent="0.25">
      <c r="B94" s="9">
        <v>85</v>
      </c>
      <c r="C94" s="10" t="s">
        <v>22</v>
      </c>
      <c r="D94" s="11"/>
      <c r="E94" s="11"/>
      <c r="F94" s="11"/>
      <c r="G94" s="12" t="s">
        <v>241</v>
      </c>
      <c r="H94" s="13" t="s">
        <v>242</v>
      </c>
      <c r="I94" s="12"/>
      <c r="J94" s="12"/>
      <c r="K94" s="12"/>
      <c r="L94" s="12"/>
      <c r="M94" s="12"/>
      <c r="N94" s="14" t="s">
        <v>240</v>
      </c>
    </row>
    <row r="95" spans="2:14" x14ac:dyDescent="0.25">
      <c r="B95" s="9">
        <v>86</v>
      </c>
      <c r="C95" s="10" t="s">
        <v>22</v>
      </c>
      <c r="D95" s="11"/>
      <c r="E95" s="11"/>
      <c r="F95" s="11"/>
      <c r="G95" s="12" t="s">
        <v>243</v>
      </c>
      <c r="H95" s="13" t="s">
        <v>244</v>
      </c>
      <c r="I95" s="12"/>
      <c r="J95" s="12"/>
      <c r="K95" s="12"/>
      <c r="L95" s="12"/>
      <c r="M95" s="12"/>
      <c r="N95" s="14" t="s">
        <v>240</v>
      </c>
    </row>
    <row r="96" spans="2:14" x14ac:dyDescent="0.25">
      <c r="B96" s="9">
        <v>87</v>
      </c>
      <c r="C96" s="10" t="s">
        <v>22</v>
      </c>
      <c r="D96" s="11"/>
      <c r="E96" s="11"/>
      <c r="F96" s="11"/>
      <c r="G96" s="12" t="s">
        <v>245</v>
      </c>
      <c r="H96" s="13" t="s">
        <v>246</v>
      </c>
      <c r="I96" s="12"/>
      <c r="J96" s="12"/>
      <c r="K96" s="12"/>
      <c r="L96" s="12"/>
      <c r="M96" s="12"/>
      <c r="N96" s="14" t="s">
        <v>240</v>
      </c>
    </row>
    <row r="97" spans="2:14" x14ac:dyDescent="0.25">
      <c r="B97" s="9">
        <v>88</v>
      </c>
      <c r="C97" s="15" t="s">
        <v>29</v>
      </c>
      <c r="D97" s="11"/>
      <c r="E97" s="11"/>
      <c r="F97" s="11"/>
      <c r="G97" s="12" t="s">
        <v>247</v>
      </c>
      <c r="H97" s="13" t="s">
        <v>248</v>
      </c>
      <c r="I97" s="12"/>
      <c r="J97" s="12"/>
      <c r="K97" s="12"/>
      <c r="L97" s="12"/>
      <c r="M97" s="12"/>
      <c r="N97" s="14" t="s">
        <v>240</v>
      </c>
    </row>
    <row r="98" spans="2:14" x14ac:dyDescent="0.25">
      <c r="B98" s="9">
        <v>89</v>
      </c>
      <c r="C98" s="10" t="s">
        <v>22</v>
      </c>
      <c r="D98" s="11"/>
      <c r="E98" s="11"/>
      <c r="F98" s="11" t="s">
        <v>249</v>
      </c>
      <c r="G98" s="12" t="s">
        <v>250</v>
      </c>
      <c r="H98" s="13" t="s">
        <v>251</v>
      </c>
      <c r="I98" s="12"/>
      <c r="J98" s="12"/>
      <c r="K98" s="12"/>
      <c r="L98" s="12"/>
      <c r="M98" s="12"/>
      <c r="N98" s="14" t="s">
        <v>252</v>
      </c>
    </row>
    <row r="99" spans="2:14" x14ac:dyDescent="0.25">
      <c r="B99" s="9">
        <v>90</v>
      </c>
      <c r="C99" s="10" t="s">
        <v>22</v>
      </c>
      <c r="D99" s="11"/>
      <c r="E99" s="11"/>
      <c r="F99" s="11"/>
      <c r="G99" s="12" t="s">
        <v>253</v>
      </c>
      <c r="H99" s="13" t="s">
        <v>254</v>
      </c>
      <c r="I99" s="12"/>
      <c r="J99" s="12"/>
      <c r="K99" s="12"/>
      <c r="L99" s="12"/>
      <c r="M99" s="12"/>
      <c r="N99" s="14" t="s">
        <v>252</v>
      </c>
    </row>
    <row r="100" spans="2:14" x14ac:dyDescent="0.25">
      <c r="B100" s="9">
        <v>91</v>
      </c>
      <c r="C100" s="10" t="s">
        <v>22</v>
      </c>
      <c r="D100" s="11"/>
      <c r="E100" s="11"/>
      <c r="F100" s="11"/>
      <c r="G100" s="12" t="s">
        <v>255</v>
      </c>
      <c r="H100" s="13" t="s">
        <v>256</v>
      </c>
      <c r="I100" s="12"/>
      <c r="J100" s="12"/>
      <c r="K100" s="12"/>
      <c r="L100" s="12"/>
      <c r="M100" s="12"/>
      <c r="N100" s="14" t="s">
        <v>252</v>
      </c>
    </row>
    <row r="101" spans="2:14" x14ac:dyDescent="0.25">
      <c r="B101" s="9">
        <v>92</v>
      </c>
      <c r="C101" s="10" t="s">
        <v>22</v>
      </c>
      <c r="D101" s="11"/>
      <c r="E101" s="11"/>
      <c r="F101" s="11"/>
      <c r="G101" s="12" t="s">
        <v>257</v>
      </c>
      <c r="H101" s="13" t="s">
        <v>258</v>
      </c>
      <c r="I101" s="12"/>
      <c r="J101" s="12"/>
      <c r="K101" s="12"/>
      <c r="L101" s="12"/>
      <c r="M101" s="12"/>
      <c r="N101" s="14" t="s">
        <v>252</v>
      </c>
    </row>
    <row r="102" spans="2:14" x14ac:dyDescent="0.25">
      <c r="B102" s="9">
        <v>93</v>
      </c>
      <c r="C102" s="16" t="s">
        <v>32</v>
      </c>
      <c r="D102" s="11"/>
      <c r="E102" s="11"/>
      <c r="F102" s="11" t="s">
        <v>259</v>
      </c>
      <c r="G102" s="12" t="s">
        <v>260</v>
      </c>
      <c r="H102" s="13" t="s">
        <v>261</v>
      </c>
      <c r="I102" s="12"/>
      <c r="J102" s="12"/>
      <c r="K102" s="12"/>
      <c r="L102" s="12"/>
      <c r="M102" s="12"/>
      <c r="N102" s="14" t="s">
        <v>262</v>
      </c>
    </row>
    <row r="103" spans="2:14" x14ac:dyDescent="0.25">
      <c r="B103" s="9">
        <v>94</v>
      </c>
      <c r="C103" s="16" t="s">
        <v>32</v>
      </c>
      <c r="D103" s="11"/>
      <c r="E103" s="11"/>
      <c r="F103" s="11"/>
      <c r="G103" s="12" t="s">
        <v>263</v>
      </c>
      <c r="H103" s="13" t="s">
        <v>264</v>
      </c>
      <c r="I103" s="12"/>
      <c r="J103" s="12"/>
      <c r="K103" s="12"/>
      <c r="L103" s="12"/>
      <c r="M103" s="12"/>
      <c r="N103" s="14" t="s">
        <v>262</v>
      </c>
    </row>
    <row r="104" spans="2:14" x14ac:dyDescent="0.25">
      <c r="B104" s="9">
        <v>95</v>
      </c>
      <c r="C104" s="10" t="s">
        <v>22</v>
      </c>
      <c r="D104" s="11"/>
      <c r="E104" s="11"/>
      <c r="F104" s="11"/>
      <c r="G104" s="12" t="s">
        <v>265</v>
      </c>
      <c r="H104" s="13" t="s">
        <v>266</v>
      </c>
      <c r="I104" s="12"/>
      <c r="J104" s="12"/>
      <c r="K104" s="12"/>
      <c r="L104" s="12"/>
      <c r="M104" s="12"/>
      <c r="N104" s="14" t="s">
        <v>262</v>
      </c>
    </row>
    <row r="105" spans="2:14" x14ac:dyDescent="0.25">
      <c r="B105" s="9">
        <v>96</v>
      </c>
      <c r="C105" s="16" t="s">
        <v>32</v>
      </c>
      <c r="D105" s="11"/>
      <c r="E105" s="11"/>
      <c r="F105" s="11" t="s">
        <v>267</v>
      </c>
      <c r="G105" s="12" t="s">
        <v>268</v>
      </c>
      <c r="H105" s="13" t="s">
        <v>269</v>
      </c>
      <c r="I105" s="12"/>
      <c r="J105" s="12"/>
      <c r="K105" s="12"/>
      <c r="L105" s="12"/>
      <c r="M105" s="12"/>
      <c r="N105" s="14" t="s">
        <v>270</v>
      </c>
    </row>
    <row r="106" spans="2:14" x14ac:dyDescent="0.25">
      <c r="B106" s="9">
        <v>97</v>
      </c>
      <c r="C106" s="10" t="s">
        <v>22</v>
      </c>
      <c r="D106" s="11"/>
      <c r="E106" s="11"/>
      <c r="F106" s="11"/>
      <c r="G106" s="12" t="s">
        <v>271</v>
      </c>
      <c r="H106" s="13" t="s">
        <v>272</v>
      </c>
      <c r="I106" s="12"/>
      <c r="J106" s="12"/>
      <c r="K106" s="12"/>
      <c r="L106" s="12"/>
      <c r="M106" s="12"/>
      <c r="N106" s="14" t="s">
        <v>270</v>
      </c>
    </row>
    <row r="107" spans="2:14" x14ac:dyDescent="0.25">
      <c r="B107" s="9">
        <v>98</v>
      </c>
      <c r="C107" s="10" t="s">
        <v>22</v>
      </c>
      <c r="D107" s="11"/>
      <c r="E107" s="11"/>
      <c r="F107" s="11"/>
      <c r="G107" s="12" t="s">
        <v>273</v>
      </c>
      <c r="H107" s="13" t="s">
        <v>274</v>
      </c>
      <c r="I107" s="12"/>
      <c r="J107" s="12"/>
      <c r="K107" s="12"/>
      <c r="L107" s="12"/>
      <c r="M107" s="12"/>
      <c r="N107" s="14" t="s">
        <v>270</v>
      </c>
    </row>
    <row r="108" spans="2:14" x14ac:dyDescent="0.25">
      <c r="B108" s="9">
        <v>99</v>
      </c>
      <c r="C108" s="10" t="s">
        <v>22</v>
      </c>
      <c r="D108" s="11"/>
      <c r="E108" s="11"/>
      <c r="F108" s="11"/>
      <c r="G108" s="12" t="s">
        <v>90</v>
      </c>
      <c r="H108" s="13" t="s">
        <v>275</v>
      </c>
      <c r="I108" s="12"/>
      <c r="J108" s="12"/>
      <c r="K108" s="12"/>
      <c r="L108" s="12"/>
      <c r="M108" s="12"/>
      <c r="N108" s="14" t="s">
        <v>270</v>
      </c>
    </row>
    <row r="109" spans="2:14" x14ac:dyDescent="0.25">
      <c r="B109" s="9">
        <v>100</v>
      </c>
      <c r="C109" s="15" t="s">
        <v>29</v>
      </c>
      <c r="D109" s="11"/>
      <c r="E109" s="11"/>
      <c r="F109" s="12" t="s">
        <v>259</v>
      </c>
      <c r="G109" s="12" t="s">
        <v>276</v>
      </c>
      <c r="H109" s="13" t="s">
        <v>277</v>
      </c>
      <c r="I109" s="12"/>
      <c r="J109" s="12"/>
      <c r="K109" s="12"/>
      <c r="L109" s="12"/>
      <c r="M109" s="12"/>
      <c r="N109" s="14" t="s">
        <v>156</v>
      </c>
    </row>
    <row r="110" spans="2:14" x14ac:dyDescent="0.25">
      <c r="B110" s="9">
        <v>101</v>
      </c>
      <c r="C110" s="15" t="s">
        <v>29</v>
      </c>
      <c r="D110" s="11"/>
      <c r="E110" s="11"/>
      <c r="F110" s="12" t="s">
        <v>249</v>
      </c>
      <c r="G110" s="12" t="s">
        <v>278</v>
      </c>
      <c r="H110" s="13" t="s">
        <v>279</v>
      </c>
      <c r="I110" s="12"/>
      <c r="J110" s="12"/>
      <c r="K110" s="12"/>
      <c r="L110" s="12"/>
      <c r="M110" s="12"/>
      <c r="N110" s="14" t="s">
        <v>41</v>
      </c>
    </row>
    <row r="111" spans="2:14" x14ac:dyDescent="0.25">
      <c r="B111" s="9">
        <v>102</v>
      </c>
      <c r="C111" s="10" t="s">
        <v>22</v>
      </c>
      <c r="D111" s="11"/>
      <c r="E111" s="11" t="s">
        <v>280</v>
      </c>
      <c r="F111" s="11" t="s">
        <v>281</v>
      </c>
      <c r="G111" s="12" t="s">
        <v>282</v>
      </c>
      <c r="H111" s="13" t="s">
        <v>283</v>
      </c>
      <c r="I111" s="12"/>
      <c r="J111" s="12"/>
      <c r="K111" s="12"/>
      <c r="L111" s="12"/>
      <c r="M111" s="12"/>
      <c r="N111" s="14" t="s">
        <v>284</v>
      </c>
    </row>
    <row r="112" spans="2:14" x14ac:dyDescent="0.25">
      <c r="B112" s="9">
        <v>103</v>
      </c>
      <c r="C112" s="10" t="s">
        <v>22</v>
      </c>
      <c r="D112" s="11"/>
      <c r="E112" s="11"/>
      <c r="F112" s="11"/>
      <c r="G112" s="12" t="s">
        <v>285</v>
      </c>
      <c r="H112" s="13" t="s">
        <v>286</v>
      </c>
      <c r="I112" s="12"/>
      <c r="J112" s="12"/>
      <c r="K112" s="12"/>
      <c r="L112" s="12"/>
      <c r="M112" s="12"/>
      <c r="N112" s="14" t="s">
        <v>284</v>
      </c>
    </row>
    <row r="113" spans="2:14" x14ac:dyDescent="0.25">
      <c r="B113" s="9">
        <v>104</v>
      </c>
      <c r="C113" s="10" t="s">
        <v>22</v>
      </c>
      <c r="D113" s="11"/>
      <c r="E113" s="11"/>
      <c r="F113" s="11"/>
      <c r="G113" s="12" t="s">
        <v>287</v>
      </c>
      <c r="H113" s="13" t="s">
        <v>288</v>
      </c>
      <c r="I113" s="12"/>
      <c r="J113" s="12"/>
      <c r="K113" s="12"/>
      <c r="L113" s="12"/>
      <c r="M113" s="12"/>
      <c r="N113" s="14" t="s">
        <v>284</v>
      </c>
    </row>
    <row r="114" spans="2:14" x14ac:dyDescent="0.25">
      <c r="B114" s="9">
        <v>105</v>
      </c>
      <c r="C114" s="10" t="s">
        <v>22</v>
      </c>
      <c r="D114" s="11"/>
      <c r="E114" s="11"/>
      <c r="F114" s="11" t="s">
        <v>289</v>
      </c>
      <c r="G114" s="12" t="s">
        <v>250</v>
      </c>
      <c r="H114" s="13" t="s">
        <v>290</v>
      </c>
      <c r="I114" s="12"/>
      <c r="J114" s="12"/>
      <c r="K114" s="12"/>
      <c r="L114" s="12"/>
      <c r="M114" s="12"/>
      <c r="N114" s="14" t="s">
        <v>284</v>
      </c>
    </row>
    <row r="115" spans="2:14" x14ac:dyDescent="0.25">
      <c r="B115" s="9">
        <v>106</v>
      </c>
      <c r="C115" s="10" t="s">
        <v>22</v>
      </c>
      <c r="D115" s="11"/>
      <c r="E115" s="11"/>
      <c r="F115" s="11"/>
      <c r="G115" s="12" t="s">
        <v>291</v>
      </c>
      <c r="H115" s="13" t="s">
        <v>292</v>
      </c>
      <c r="I115" s="12"/>
      <c r="J115" s="12"/>
      <c r="K115" s="12"/>
      <c r="L115" s="12"/>
      <c r="M115" s="12"/>
      <c r="N115" s="14" t="s">
        <v>284</v>
      </c>
    </row>
    <row r="116" spans="2:14" x14ac:dyDescent="0.25">
      <c r="B116" s="9">
        <v>107</v>
      </c>
      <c r="C116" s="10" t="s">
        <v>22</v>
      </c>
      <c r="D116" s="11"/>
      <c r="E116" s="11"/>
      <c r="F116" s="11"/>
      <c r="G116" s="12" t="s">
        <v>293</v>
      </c>
      <c r="H116" s="13" t="s">
        <v>294</v>
      </c>
      <c r="I116" s="12"/>
      <c r="J116" s="12"/>
      <c r="K116" s="12"/>
      <c r="L116" s="12"/>
      <c r="M116" s="12"/>
      <c r="N116" s="14" t="s">
        <v>284</v>
      </c>
    </row>
    <row r="117" spans="2:14" x14ac:dyDescent="0.25">
      <c r="B117" s="9">
        <v>108</v>
      </c>
      <c r="C117" s="15" t="s">
        <v>29</v>
      </c>
      <c r="D117" s="11"/>
      <c r="E117" s="11"/>
      <c r="F117" s="11"/>
      <c r="G117" s="12" t="s">
        <v>295</v>
      </c>
      <c r="H117" s="13" t="s">
        <v>296</v>
      </c>
      <c r="I117" s="12"/>
      <c r="J117" s="12"/>
      <c r="K117" s="12"/>
      <c r="L117" s="12"/>
      <c r="M117" s="12"/>
      <c r="N117" s="14" t="s">
        <v>284</v>
      </c>
    </row>
    <row r="118" spans="2:14" x14ac:dyDescent="0.25">
      <c r="B118" s="9">
        <v>109</v>
      </c>
      <c r="C118" s="15" t="s">
        <v>29</v>
      </c>
      <c r="D118" s="12" t="s">
        <v>297</v>
      </c>
      <c r="E118" s="12" t="s">
        <v>280</v>
      </c>
      <c r="F118" s="12" t="s">
        <v>289</v>
      </c>
      <c r="G118" s="12" t="s">
        <v>298</v>
      </c>
      <c r="H118" s="13" t="s">
        <v>299</v>
      </c>
      <c r="I118" s="12"/>
      <c r="J118" s="12"/>
      <c r="K118" s="12"/>
      <c r="L118" s="12"/>
      <c r="M118" s="12"/>
      <c r="N118" s="14" t="s">
        <v>41</v>
      </c>
    </row>
    <row r="119" spans="2:14" x14ac:dyDescent="0.25">
      <c r="B119" s="9">
        <v>110</v>
      </c>
      <c r="C119" s="10" t="s">
        <v>22</v>
      </c>
      <c r="D119" s="11" t="s">
        <v>300</v>
      </c>
      <c r="E119" s="11" t="s">
        <v>301</v>
      </c>
      <c r="F119" s="11" t="s">
        <v>302</v>
      </c>
      <c r="G119" s="12" t="s">
        <v>303</v>
      </c>
      <c r="H119" s="13" t="s">
        <v>304</v>
      </c>
      <c r="I119" s="12"/>
      <c r="J119" s="12"/>
      <c r="K119" s="12"/>
      <c r="L119" s="12"/>
      <c r="M119" s="12"/>
      <c r="N119" s="14" t="s">
        <v>305</v>
      </c>
    </row>
    <row r="120" spans="2:14" x14ac:dyDescent="0.25">
      <c r="B120" s="9">
        <v>111</v>
      </c>
      <c r="C120" s="10" t="s">
        <v>22</v>
      </c>
      <c r="D120" s="11"/>
      <c r="E120" s="11"/>
      <c r="F120" s="11"/>
      <c r="G120" s="12" t="s">
        <v>306</v>
      </c>
      <c r="H120" s="13" t="s">
        <v>307</v>
      </c>
      <c r="I120" s="12"/>
      <c r="J120" s="12"/>
      <c r="K120" s="12"/>
      <c r="L120" s="12"/>
      <c r="M120" s="12"/>
      <c r="N120" s="14" t="s">
        <v>305</v>
      </c>
    </row>
    <row r="121" spans="2:14" x14ac:dyDescent="0.25">
      <c r="B121" s="9">
        <v>112</v>
      </c>
      <c r="C121" s="10" t="s">
        <v>22</v>
      </c>
      <c r="D121" s="11"/>
      <c r="E121" s="11"/>
      <c r="F121" s="11"/>
      <c r="G121" s="12" t="s">
        <v>308</v>
      </c>
      <c r="H121" s="13" t="s">
        <v>309</v>
      </c>
      <c r="I121" s="12"/>
      <c r="J121" s="12"/>
      <c r="K121" s="12"/>
      <c r="L121" s="12"/>
      <c r="M121" s="12"/>
      <c r="N121" s="14" t="s">
        <v>305</v>
      </c>
    </row>
    <row r="122" spans="2:14" x14ac:dyDescent="0.25">
      <c r="B122" s="9">
        <v>113</v>
      </c>
      <c r="C122" s="10" t="s">
        <v>22</v>
      </c>
      <c r="D122" s="11"/>
      <c r="E122" s="11"/>
      <c r="F122" s="11"/>
      <c r="G122" s="12" t="s">
        <v>310</v>
      </c>
      <c r="H122" s="13" t="s">
        <v>311</v>
      </c>
      <c r="I122" s="12"/>
      <c r="J122" s="12"/>
      <c r="K122" s="12"/>
      <c r="L122" s="12"/>
      <c r="M122" s="12"/>
      <c r="N122" s="14" t="s">
        <v>305</v>
      </c>
    </row>
    <row r="123" spans="2:14" x14ac:dyDescent="0.25">
      <c r="B123" s="9">
        <v>114</v>
      </c>
      <c r="C123" s="10" t="s">
        <v>22</v>
      </c>
      <c r="D123" s="11"/>
      <c r="E123" s="11"/>
      <c r="F123" s="11"/>
      <c r="G123" s="12" t="s">
        <v>312</v>
      </c>
      <c r="H123" s="13" t="s">
        <v>313</v>
      </c>
      <c r="I123" s="12"/>
      <c r="J123" s="12"/>
      <c r="K123" s="12"/>
      <c r="L123" s="12"/>
      <c r="M123" s="12"/>
      <c r="N123" s="14" t="s">
        <v>305</v>
      </c>
    </row>
    <row r="124" spans="2:14" x14ac:dyDescent="0.25">
      <c r="B124" s="9">
        <v>115</v>
      </c>
      <c r="C124" s="10" t="s">
        <v>22</v>
      </c>
      <c r="D124" s="11"/>
      <c r="E124" s="11"/>
      <c r="F124" s="11"/>
      <c r="G124" s="12" t="s">
        <v>314</v>
      </c>
      <c r="H124" s="13" t="s">
        <v>315</v>
      </c>
      <c r="I124" s="12"/>
      <c r="J124" s="12"/>
      <c r="K124" s="12"/>
      <c r="L124" s="12"/>
      <c r="M124" s="12"/>
      <c r="N124" s="14" t="s">
        <v>305</v>
      </c>
    </row>
    <row r="125" spans="2:14" x14ac:dyDescent="0.25">
      <c r="B125" s="9">
        <v>116</v>
      </c>
      <c r="C125" s="10" t="s">
        <v>22</v>
      </c>
      <c r="D125" s="11"/>
      <c r="E125" s="11"/>
      <c r="F125" s="11"/>
      <c r="G125" s="12" t="s">
        <v>316</v>
      </c>
      <c r="H125" s="13" t="s">
        <v>317</v>
      </c>
      <c r="I125" s="12"/>
      <c r="J125" s="12"/>
      <c r="K125" s="12"/>
      <c r="L125" s="12"/>
      <c r="M125" s="12"/>
      <c r="N125" s="14" t="s">
        <v>318</v>
      </c>
    </row>
    <row r="126" spans="2:14" x14ac:dyDescent="0.25">
      <c r="B126" s="9">
        <v>117</v>
      </c>
      <c r="C126" s="16" t="s">
        <v>32</v>
      </c>
      <c r="D126" s="11"/>
      <c r="E126" s="11"/>
      <c r="F126" s="12" t="s">
        <v>319</v>
      </c>
      <c r="G126" s="12" t="s">
        <v>250</v>
      </c>
      <c r="H126" s="13" t="s">
        <v>320</v>
      </c>
      <c r="I126" s="12"/>
      <c r="J126" s="12"/>
      <c r="K126" s="12"/>
      <c r="L126" s="12"/>
      <c r="M126" s="12"/>
      <c r="N126" s="14" t="s">
        <v>305</v>
      </c>
    </row>
    <row r="127" spans="2:14" x14ac:dyDescent="0.25">
      <c r="B127" s="9">
        <v>118</v>
      </c>
      <c r="C127" s="10" t="s">
        <v>22</v>
      </c>
      <c r="D127" s="11"/>
      <c r="E127" s="11" t="s">
        <v>321</v>
      </c>
      <c r="F127" s="11" t="s">
        <v>322</v>
      </c>
      <c r="G127" s="12" t="s">
        <v>323</v>
      </c>
      <c r="H127" s="13" t="s">
        <v>324</v>
      </c>
      <c r="I127" s="12"/>
      <c r="J127" s="12"/>
      <c r="K127" s="12"/>
      <c r="L127" s="12"/>
      <c r="M127" s="12"/>
      <c r="N127" s="14" t="s">
        <v>325</v>
      </c>
    </row>
    <row r="128" spans="2:14" x14ac:dyDescent="0.25">
      <c r="B128" s="9">
        <v>119</v>
      </c>
      <c r="C128" s="10" t="s">
        <v>22</v>
      </c>
      <c r="D128" s="11"/>
      <c r="E128" s="11"/>
      <c r="F128" s="11"/>
      <c r="G128" s="12" t="s">
        <v>326</v>
      </c>
      <c r="H128" s="13" t="s">
        <v>327</v>
      </c>
      <c r="I128" s="12"/>
      <c r="J128" s="12"/>
      <c r="K128" s="12"/>
      <c r="L128" s="12"/>
      <c r="M128" s="12"/>
      <c r="N128" s="14" t="s">
        <v>325</v>
      </c>
    </row>
    <row r="129" spans="2:14" x14ac:dyDescent="0.25">
      <c r="B129" s="9">
        <v>120</v>
      </c>
      <c r="C129" s="16" t="s">
        <v>32</v>
      </c>
      <c r="D129" s="11"/>
      <c r="E129" s="11"/>
      <c r="F129" s="11" t="s">
        <v>328</v>
      </c>
      <c r="G129" s="12" t="s">
        <v>329</v>
      </c>
      <c r="H129" s="13" t="s">
        <v>330</v>
      </c>
      <c r="I129" s="12"/>
      <c r="J129" s="12"/>
      <c r="K129" s="12"/>
      <c r="L129" s="12"/>
      <c r="M129" s="12"/>
      <c r="N129" s="14" t="s">
        <v>331</v>
      </c>
    </row>
    <row r="130" spans="2:14" x14ac:dyDescent="0.25">
      <c r="B130" s="9">
        <v>121</v>
      </c>
      <c r="C130" s="10" t="s">
        <v>22</v>
      </c>
      <c r="D130" s="11"/>
      <c r="E130" s="11"/>
      <c r="F130" s="11"/>
      <c r="G130" s="12" t="s">
        <v>332</v>
      </c>
      <c r="H130" s="13" t="s">
        <v>333</v>
      </c>
      <c r="I130" s="12"/>
      <c r="J130" s="12"/>
      <c r="K130" s="12"/>
      <c r="L130" s="12"/>
      <c r="M130" s="12"/>
      <c r="N130" s="14" t="s">
        <v>334</v>
      </c>
    </row>
    <row r="131" spans="2:14" x14ac:dyDescent="0.25">
      <c r="B131" s="9">
        <v>122</v>
      </c>
      <c r="C131" s="10" t="s">
        <v>22</v>
      </c>
      <c r="D131" s="11"/>
      <c r="E131" s="11"/>
      <c r="F131" s="11" t="s">
        <v>335</v>
      </c>
      <c r="G131" s="12" t="s">
        <v>336</v>
      </c>
      <c r="H131" s="13" t="s">
        <v>337</v>
      </c>
      <c r="I131" s="12"/>
      <c r="J131" s="12"/>
      <c r="K131" s="12"/>
      <c r="L131" s="12"/>
      <c r="M131" s="12"/>
      <c r="N131" s="14" t="s">
        <v>331</v>
      </c>
    </row>
    <row r="132" spans="2:14" x14ac:dyDescent="0.25">
      <c r="B132" s="9">
        <v>123</v>
      </c>
      <c r="C132" s="10" t="s">
        <v>22</v>
      </c>
      <c r="D132" s="11"/>
      <c r="E132" s="11"/>
      <c r="F132" s="11"/>
      <c r="G132" s="12" t="s">
        <v>338</v>
      </c>
      <c r="H132" s="13" t="s">
        <v>339</v>
      </c>
      <c r="I132" s="12"/>
      <c r="J132" s="12"/>
      <c r="K132" s="12"/>
      <c r="L132" s="12"/>
      <c r="M132" s="12"/>
      <c r="N132" s="14" t="s">
        <v>331</v>
      </c>
    </row>
    <row r="133" spans="2:14" x14ac:dyDescent="0.25">
      <c r="B133" s="9">
        <v>124</v>
      </c>
      <c r="C133" s="10" t="s">
        <v>22</v>
      </c>
      <c r="D133" s="11"/>
      <c r="E133" s="11"/>
      <c r="F133" s="11"/>
      <c r="G133" s="12" t="s">
        <v>340</v>
      </c>
      <c r="H133" s="13" t="s">
        <v>341</v>
      </c>
      <c r="I133" s="12"/>
      <c r="J133" s="12"/>
      <c r="K133" s="12"/>
      <c r="L133" s="12"/>
      <c r="M133" s="12"/>
      <c r="N133" s="14" t="s">
        <v>331</v>
      </c>
    </row>
  </sheetData>
  <mergeCells count="45">
    <mergeCell ref="D10:D117"/>
    <mergeCell ref="E10:E14"/>
    <mergeCell ref="F10:F14"/>
    <mergeCell ref="E15:E22"/>
    <mergeCell ref="F15:F18"/>
    <mergeCell ref="F19:F21"/>
    <mergeCell ref="E23:E44"/>
    <mergeCell ref="F23:F25"/>
    <mergeCell ref="F26:F29"/>
    <mergeCell ref="F30:F33"/>
    <mergeCell ref="F34:F41"/>
    <mergeCell ref="F42:F43"/>
    <mergeCell ref="E45:E58"/>
    <mergeCell ref="F45:F48"/>
    <mergeCell ref="F49:F50"/>
    <mergeCell ref="F51:F55"/>
    <mergeCell ref="F56:F58"/>
    <mergeCell ref="E59:E68"/>
    <mergeCell ref="F59:F61"/>
    <mergeCell ref="F62:F66"/>
    <mergeCell ref="F67:F68"/>
    <mergeCell ref="E69:E79"/>
    <mergeCell ref="F69:F70"/>
    <mergeCell ref="F71:F73"/>
    <mergeCell ref="F74:F75"/>
    <mergeCell ref="F76:F77"/>
    <mergeCell ref="E80:E92"/>
    <mergeCell ref="F80:F82"/>
    <mergeCell ref="F83:F86"/>
    <mergeCell ref="F87:F90"/>
    <mergeCell ref="E93:E110"/>
    <mergeCell ref="F93:F97"/>
    <mergeCell ref="F98:F101"/>
    <mergeCell ref="F102:F104"/>
    <mergeCell ref="F105:F108"/>
    <mergeCell ref="E111:E117"/>
    <mergeCell ref="F111:F113"/>
    <mergeCell ref="F114:F117"/>
    <mergeCell ref="D119:D133"/>
    <mergeCell ref="E119:E126"/>
    <mergeCell ref="F119:F125"/>
    <mergeCell ref="E127:E133"/>
    <mergeCell ref="F127:F128"/>
    <mergeCell ref="F129:F130"/>
    <mergeCell ref="F131:F133"/>
  </mergeCells>
  <dataValidations count="1">
    <dataValidation type="list" allowBlank="1" showErrorMessage="1" errorTitle="잘못된 값" error="Pass, Fail, N/T, Block 중 하나를 선택하세요." sqref="I10:J133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쿠키 성장 가이드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2026-05-12T03:18:50Z</dcterms:created>
  <dcterms:modified xsi:type="dcterms:W3CDTF">2026-05-12T03:18:50Z</dcterms:modified>
</cp:coreProperties>
</file>