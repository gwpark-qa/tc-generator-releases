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어비스레이드 도움주기" state="visible" r:id="rId4"/>
  </sheets>
  <calcPr calcId="171027"/>
</workbook>
</file>

<file path=xl/sharedStrings.xml><?xml version="1.0" encoding="utf-8"?>
<sst xmlns="http://schemas.openxmlformats.org/spreadsheetml/2006/main" count="478" uniqueCount="291">
  <si>
    <t>(C)어비스레이드 도움주기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</si>
  <si>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</si>
  <si>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</si>
  <si>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</si>
  <si>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</si>
  <si>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</si>
  <si>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</si>
  <si>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</si>
  <si>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</si>
  <si>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</si>
  <si>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</si>
  <si>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</si>
  <si>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</si>
  <si>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</si>
  <si>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</si>
  <si>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</si>
  <si>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</si>
  <si>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</si>
  <si>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</si>
  <si>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</si>
  <si>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</si>
  <si>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</si>
  <si>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</si>
  <si>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어비스레이드 도움주기</t>
  </si>
  <si>
    <t>가이드북</t>
  </si>
  <si>
    <t>가이드북 노출 조건</t>
  </si>
  <si>
    <t>자동 표시</t>
  </si>
  <si>
    <t>어비스 레이드 튜토리얼 종료 후, 도움 요청/도움 주기 가이드북이 자동으로 표시된다.</t>
  </si>
  <si>
    <t>이미지 9 - 도움 주기/도움 요청 가이드</t>
  </si>
  <si>
    <t>기존 유저 진입 시 표시</t>
  </si>
  <si>
    <t>이미 어비스 튜토리얼을 종료한 유저가 어비스 레이드 로비에 진입 시, 가이드북이 최초 1회 자동으로 표시된다.</t>
  </si>
  <si>
    <t>이미지 9 - 가이드북 노출 조건</t>
  </si>
  <si>
    <t>재표시 제한</t>
  </si>
  <si>
    <t>가이드북을 최초 1회 확인한 유저가 어비스 레이드 로비에 재진입 시, 가이드북이 자동으로 표시되지 않는다.</t>
  </si>
  <si>
    <t>Normal</t>
  </si>
  <si>
    <t>도움 요청 안내 페이지</t>
  </si>
  <si>
    <t>가이드북 도움 요청 안내 페이지에 '최초 클리어하지 못한 단계에서 방을 생성할 경우, 도움 요청을 진행할 수 있습니다' 안내 문구가 표시된다.</t>
  </si>
  <si>
    <t>이미지 9 - 도움 요청 가이드 슬라이드</t>
  </si>
  <si>
    <t>가이드북 도움 요청 안내 페이지에 채팅 화면 및 방 찾기 목록에서 '도움 요청중인 방'으로 표시되는 예시 이미지가 출력된다.</t>
  </si>
  <si>
    <t>도움 주기 안내 페이지</t>
  </si>
  <si>
    <t>가이드북 도움 주기 안내 페이지에 '최초 클리어 완료한 단계에서 도움 주기를 진행할 수 있습니다' 안내 문구가 표시된다.</t>
  </si>
  <si>
    <t>이미지 9 - 도움 주기 가이드 슬라이드</t>
  </si>
  <si>
    <t>가이드북 도움 주기 안내 페이지에 '도움 주기 보상은 주간으로 획득할 수 있는 횟수가 정해져 있습니다' 안내 문구가 표시된다.</t>
  </si>
  <si>
    <t>가이드북 하단에 페이지 인디케이터가 표시되며, 스와이프하여 도움 요청/도움 주기 페이지 간 전환이 가능하다.</t>
  </si>
  <si>
    <t>이미지 9 - 페이지 인디케이터</t>
  </si>
  <si>
    <t>도움 요청</t>
  </si>
  <si>
    <t>도움 요청 가이드 표시</t>
  </si>
  <si>
    <t>미클리어 단계 표시</t>
  </si>
  <si>
    <t>어비스 레이드 로비에서 아직 최초 클리어한 기록이 없는 단계에 '도움 요청 가능!' 표시가 노출된다.</t>
  </si>
  <si>
    <t>이미지 4 - 도움 요청 가이드</t>
  </si>
  <si>
    <t>클리어 완료 단계 표시 제거</t>
  </si>
  <si>
    <t>최초 클리어가 완료된 단계의 경우, '도움 요청 가능!' 표시가 노출되지 않는다.</t>
  </si>
  <si>
    <t>대상 구간</t>
  </si>
  <si>
    <t>노멀 ~ 익스트림 구간에서만 '도움 요청 가능!' 표시가 노출되며, 해당 구간 외의 난이도에서는 표시가 노출되지 않는다.</t>
  </si>
  <si>
    <t>이미지 1 - 규칙 정의</t>
  </si>
  <si>
    <t>방 만들기 팝업</t>
  </si>
  <si>
    <t>팝업 구성</t>
  </si>
  <si>
    <t>방 만들기 팝업에 최소 팀 전투력, 최소 팀 항마력, 도전 단계, 검색 키워드 설정 항목이 표시된다.</t>
  </si>
  <si>
    <t>이미지 5 - 방 만들기 팝업</t>
  </si>
  <si>
    <t>Critical</t>
  </si>
  <si>
    <t>도움 요청 방 만들기</t>
  </si>
  <si>
    <t>도움 요청 가능한 단계에서 방 만들기 팝업 하단의 '도움 요청 방 만들기' 버튼 터치 시, 도움 요청 상태가 활성화된 방이 생성된다.</t>
  </si>
  <si>
    <t>일반 방 만들기</t>
  </si>
  <si>
    <t>방 만들기 팝업 하단의 '일반 방 만들기' 버튼 터치 시, 도움 요청 상태 없이 일반 방이 생성된다.</t>
  </si>
  <si>
    <t>버튼 비활성화</t>
  </si>
  <si>
    <t>해당 단계를 1회 이상 클리어한 기록이 있는 경우, '도움 요청 방 만들기' 버튼이 비활성화 상태로 표시된다.</t>
  </si>
  <si>
    <t>도움 요청 안내 버튼</t>
  </si>
  <si>
    <t>방 만들기 팝업 내 도움 요청 안내(i) 버튼 터치 시, 도움 요청에 대한 가이드 팝업이 표시된다.</t>
  </si>
  <si>
    <t>도움 요청 방 강조</t>
  </si>
  <si>
    <t>'도움 요청 방 만들기' 버튼이 노란색 강조 버튼으로 표시되어 일반 방 만들기 버튼과 시각적으로 구분된다.</t>
  </si>
  <si>
    <t>도움 요청 버튼</t>
  </si>
  <si>
    <t>도움 요청 활성화</t>
  </si>
  <si>
    <t>일반 방으로 생성한 후, 방 화면 하단의 '도움 요청하기' 버튼 터치 시, 확인 팝업이 표시되고 확인 선택 시 해당 방이 도움 요청 방으로 전환된다.</t>
  </si>
  <si>
    <t>이미지 5 - 도움 요청 버튼</t>
  </si>
  <si>
    <t>확인 팝업 취소</t>
  </si>
  <si>
    <t>도움 요청 확인 팝업에서 '취소' 버튼 터치 시, 도움 요청 전환이 이루어지지 않고 팝업이 닫힌다.</t>
  </si>
  <si>
    <t>도움 요청 해제</t>
  </si>
  <si>
    <t>이미 도움 요청 전환을 완료한 방에서 도움 요청 버튼을 재터치 시, 도움 요청 상태가 해제되어 일반 방으로 전환된다.</t>
  </si>
  <si>
    <t>비밀방 해제 안내</t>
  </si>
  <si>
    <t>비밀방 상태에서 도움 요청 버튼 터치 시, '비밀번호 해제하고 도움 요청 하시겠습니까?' 확인 팝업이 표시된다.</t>
  </si>
  <si>
    <t>이미지 7 - 도움 요청 버튼 (비밀방)</t>
  </si>
  <si>
    <t>비밀방 해제 후 전환</t>
  </si>
  <si>
    <t>비밀방 해제 확인 팝업에서 '확인' 버튼 터치 시, 비밀방 설정이 해제되고 도움 요청 방으로 전환된다.</t>
  </si>
  <si>
    <t>비밀방 해제 취소</t>
  </si>
  <si>
    <t>비밀방 해제 확인 팝업에서 '취소' 버튼 터치 시, 비밀방 상태가 유지되고 도움 요청 전환이 이루어지지 않는다.</t>
  </si>
  <si>
    <t>비활성화 조건</t>
  </si>
  <si>
    <t>해당 단계를 1회 이상 클리어한 방장의 경우, 방 내부의 '도움 요청하기' 버튼이 비활성화 상태로 표시된다.</t>
  </si>
  <si>
    <t>방장 기준 적용</t>
  </si>
  <si>
    <t>도움 요청 버튼 노출 여부는 방을 만든 방장의 클리어 기록을 기준으로 판단된다.</t>
  </si>
  <si>
    <t>방 설정 변경</t>
  </si>
  <si>
    <t>도움 요청 방 설정 변경</t>
  </si>
  <si>
    <t>방 설정 변경 버튼 터치 시, 도움 요청 방의 경우 동일한 방 설정 변경 팝업이 표시된다.</t>
  </si>
  <si>
    <t>이미지 5 - 방 설정 변경</t>
  </si>
  <si>
    <t>도움 요청 상태 해제</t>
  </si>
  <si>
    <t>도움 요청 상태의 방에서 방 설정 변경을 통해 도움 요청 상태를 해제할 수 있다.</t>
  </si>
  <si>
    <t>이미지 7 - 방 설정 변경</t>
  </si>
  <si>
    <t>방 만들기 후 안내</t>
  </si>
  <si>
    <t>말풍선 표시</t>
  </si>
  <si>
    <t>도움 요청 가능한 단계에서 방 생성 후, '방 만들고 도움 요청 가능!' 안내 말풍선이 표시된다.</t>
  </si>
  <si>
    <t>이미지 4 - 방 만들기 후 화면</t>
  </si>
  <si>
    <t>도움 요청 방 노출</t>
  </si>
  <si>
    <t>방 찾기 목록 표시</t>
  </si>
  <si>
    <t>도움 요청 상태가 활성화된 방이 방 찾기 목록에서 '도움 요청 진행중인 방'으로 노출된다.</t>
  </si>
  <si>
    <t>이미지 7 - 방 목록</t>
  </si>
  <si>
    <t>채팅 노출</t>
  </si>
  <si>
    <t>도움 요청 상태가 활성화된 방이 어비스 채팅에 도움 요청 메시지로 노출된다.</t>
  </si>
  <si>
    <t>이미지 6 - 채팅 알림</t>
  </si>
  <si>
    <t>도움 요청 튜토리얼</t>
  </si>
  <si>
    <t>처음 진입한 유저에게 도움 요청 튜토리얼이 표시되며, 도움 요청 정보 및 가이드 팝업이 연결된다.</t>
  </si>
  <si>
    <t>이미지 4 - 도움 요청 튜토리얼</t>
  </si>
  <si>
    <t>방장 퇴장 처리</t>
  </si>
  <si>
    <t>일반 방 전환</t>
  </si>
  <si>
    <t>도움 요청 방으로 생성된 후 방장이 방을 나간 경우, 해당 방이 일반 방으로 전환된다.</t>
  </si>
  <si>
    <t>방장 위임 시 상태 체크</t>
  </si>
  <si>
    <t>도움 요청 방에서 방장이 나가고 다른 유저에게 방장이 위임된 경우, 위임받은 방장의 클리어 기록에 따라 도움 요청 방 유지 또는 일반 방 전환이 결정된다.</t>
  </si>
  <si>
    <t>로비 화면 정보</t>
  </si>
  <si>
    <t>보스 정보 표시</t>
  </si>
  <si>
    <t>어비스 레이드 로비 화면에서 보스 캐릭터, 난이도, 전투력, 항마력, 부활 횟수, 보상 아이콘 정보가 표시된다.</t>
  </si>
  <si>
    <t>이미지 4 - 어비스 레이드 로비</t>
  </si>
  <si>
    <t>준비 진입 버튼</t>
  </si>
  <si>
    <t>어비스 레이드 로비 화면 하단의 '준비 진입' 버튼 터치 시, 방 만들기 또는 방 진입 화면으로 전환된다.</t>
  </si>
  <si>
    <t>난이도 선택 탭</t>
  </si>
  <si>
    <t>어비스 레이드 로비 화면 상단에 BASIC, NORMAL, HARD, HELL, EXPERT+, CHALLENGE, EXTREME 난이도 선택 탭이 표시된다.</t>
  </si>
  <si>
    <t>방 내부 정보</t>
  </si>
  <si>
    <t>파티원 슬롯 표시</t>
  </si>
  <si>
    <t>방 생성 후 화면에서 최대 4인의 참여 멤버 슬롯이 표시되며, 빈 슬롯은 빈 상태로 표시된다.</t>
  </si>
  <si>
    <t>방 찾기 버튼</t>
  </si>
  <si>
    <t>방 내부 하단의 '방 찾기' 버튼 터치 시, 방 목록 화면으로 이동된다.</t>
  </si>
  <si>
    <t>도움 주기</t>
  </si>
  <si>
    <t>도움주기 조건</t>
  </si>
  <si>
    <t>최초 클리어 기록 확인</t>
  </si>
  <si>
    <t>특정 단계를 최초 클리어한 기록이 있는 유저만 해당 단계의 도움주기를 진행할 수 있다.</t>
  </si>
  <si>
    <t>도움 받아 클리어한 경우</t>
  </si>
  <si>
    <t>도움을 받아 최초 클리어를 달성한 유저도 해당 단계의 도움주기가 가능한 상태가 된다.</t>
  </si>
  <si>
    <t>미클리어 단계 제한</t>
  </si>
  <si>
    <t>최초 클리어 기록이 없는 단계에서는 도움주기를 진행할 수 없다.</t>
  </si>
  <si>
    <t>스펙 미달 유저 제재 없음</t>
  </si>
  <si>
    <t>스펙 미달 유저가 도움주기를 시도하더라도 시스템적으로 진입이 제한되지 않으며, 방장이 관리하도록 한다.</t>
  </si>
  <si>
    <t>도움주기 성공</t>
  </si>
  <si>
    <t>4페이즈 클리어 카운트</t>
  </si>
  <si>
    <t>도움 요청이 들어온 방에 진입하여 4페이즈를 클리어한 경우, 도움 주기 성공으로 카운트된다.</t>
  </si>
  <si>
    <t>4페이즈 미클리어 시</t>
  </si>
  <si>
    <t>도움 요청 방에 진입하였으나 4페이즈를 클리어하지 못한 경우, 도움 주기 성공으로 카운트되지 않는다.</t>
  </si>
  <si>
    <t>성공 아이콘 표시</t>
  </si>
  <si>
    <t>도움 주기 성공 시, 결과 화면에 도움주기 성공 아이콘(H 아이콘)이 표시된다.</t>
  </si>
  <si>
    <t>이미지 8 - 결과 화면</t>
  </si>
  <si>
    <t>도움주기 완료 배지</t>
  </si>
  <si>
    <t>도움 주기 성공 시, 결과 화면에 '도움주기 완료!+1' 배지가 표시된다.</t>
  </si>
  <si>
    <t>이미지 8 - COMPLETED 결과 화면</t>
  </si>
  <si>
    <t>도움주기 보상</t>
  </si>
  <si>
    <t>보상 설정 표시</t>
  </si>
  <si>
    <t>도움주기 채팅 상단 영역에 주간 보상 현황(현재 획득 횟수/주간 제한 횟수)이 표시된다.</t>
  </si>
  <si>
    <t>이미지 8 - 도움 주기 보상 설정</t>
  </si>
  <si>
    <t>보상 획득</t>
  </si>
  <si>
    <t>도움 주기 성공 시, 결과 화면에서 도움주기 추가 보상이 즉시 획득된다.</t>
  </si>
  <si>
    <t>이미지 8 - 도움 주기 보상 획득</t>
  </si>
  <si>
    <t>도움 태그 표시</t>
  </si>
  <si>
    <t>결과 화면에서 도움 주기 보상에 [도움] 태그가 별도로 표시되어 일반 보상과 구분된다.</t>
  </si>
  <si>
    <t>보상 아이콘 표시</t>
  </si>
  <si>
    <t>결과 화면에서 도움주기 전용 보상 아이템 아이콘(보라색 크리스탈/아이템)이 표시된다.</t>
  </si>
  <si>
    <t>주간 보상 제한</t>
  </si>
  <si>
    <t>주간 보상 획득 최대치에 도달한 경우, 도움 주기를 추가로 성공하더라도 추가 보상이 지급되지 않는다.</t>
  </si>
  <si>
    <t>주간 보상 횟수 카운트</t>
  </si>
  <si>
    <t>주간 보상 최대치에 도달한 이후에도 도움 주기 성공 횟수 자체는 카운트된다.</t>
  </si>
  <si>
    <t>주간 리셋</t>
  </si>
  <si>
    <t>어비스 주간 보상 리셋 타이밍 도달 시, 도움 주기 추가 보상 획득 횟수가 초기화되어 다시 보상을 획득할 수 있다.</t>
  </si>
  <si>
    <t>리셋 타이밍 동기화</t>
  </si>
  <si>
    <t>도움주기 보상 리셋 시간이 어비스 주간 보상 리셋 타이밍과 동일하게 적용된다.</t>
  </si>
  <si>
    <t>이벤트 도움주기 횟수 표시</t>
  </si>
  <si>
    <t>도움주기 채팅 화면에 이벤트 도움주기 횟수(예: 0/7)가 표시된다.</t>
  </si>
  <si>
    <t>이미지 6 - 채팅 목록 UI</t>
  </si>
  <si>
    <t>누적 도움주기 횟수</t>
  </si>
  <si>
    <t>횟수 표시</t>
  </si>
  <si>
    <t>도움주기를 1회 이상 진행한 경우, 결과 화면에 누적 도움주기 횟수가 표시된다.</t>
  </si>
  <si>
    <t>이미지 8 - 누적 도움주기 횟수</t>
  </si>
  <si>
    <t>아이콘 표시</t>
  </si>
  <si>
    <t>누적 도움주기 횟수가 K, H 아이콘 형태로 프로필 화면에 표시된다.</t>
  </si>
  <si>
    <t>도움주기 칭호 및 업적</t>
  </si>
  <si>
    <t>칭호 발급</t>
  </si>
  <si>
    <t>도움 주기 누적 횟수가 특정 기준에 도달 시, 전용 칭호가 발급된다.</t>
  </si>
  <si>
    <t>이미지 8 - 도움 주기 칭호</t>
  </si>
  <si>
    <t>업적 목록 표시</t>
  </si>
  <si>
    <t>업적 목록 화면에 '긴급 구조 요원' 등 도움 주기 관련 업적이 표시된다.</t>
  </si>
  <si>
    <t>이미지 8 - 업적 화면</t>
  </si>
  <si>
    <t>업적 달성</t>
  </si>
  <si>
    <t>도움 주기 누적 횟수에 따라 업적 달성 조건이 충족되면, 해당 업적이 달성 상태로 전환된다.</t>
  </si>
  <si>
    <t>업적 진행 상태</t>
  </si>
  <si>
    <t>업적 목록에서 도움 주기 관련 업적의 현재 진행 상태(누적 횟수/목표 횟수)가 표시된다.</t>
  </si>
  <si>
    <t>결과 화면</t>
  </si>
  <si>
    <t>COMPLETED 표시</t>
  </si>
  <si>
    <t>도움 주기 성공 시, 결과 화면 상단에 'COMPLETED!' 텍스트가 표시된다.</t>
  </si>
  <si>
    <t>보상 탭 표시</t>
  </si>
  <si>
    <t>결과 화면에 보상/가이드 탭이 표시되며, 보상 탭에서 Phase Clear 보상 아이콘들이 출력된다.</t>
  </si>
  <si>
    <t>클리어 타임 표시</t>
  </si>
  <si>
    <t>결과 화면에 클리어 시간이 표시된다.</t>
  </si>
  <si>
    <t>파티원 정보 표시</t>
  </si>
  <si>
    <t>결과 화면 하단에 4명의 파티원 캐릭터 아이콘, 닉네임, 전투력 정보가 표시된다.</t>
  </si>
  <si>
    <t>최초 클리어 보상 구분</t>
  </si>
  <si>
    <t>결과 화면에서 'First Clear' 태그가 최초 클리어 보상에 별도로 표시되어 도움 주기 보상과 구분된다.</t>
  </si>
  <si>
    <t>다시하기 버튼</t>
  </si>
  <si>
    <t>결과 화면 하단의 '다시하기' 버튼 터치 시, 동일 단계의 방으로 재진입된다.</t>
  </si>
  <si>
    <t>나가기 버튼</t>
  </si>
  <si>
    <t>결과 화면 하단의 '나가기' 버튼 터치 시, 어비스 레이드 로비 화면으로 이동된다.</t>
  </si>
  <si>
    <t>예외 사항</t>
  </si>
  <si>
    <t>방장 튕김 시 실패 처리</t>
  </si>
  <si>
    <t>도움 요청 방에서 방장(도움 요청한 유저)이 접속 끊김으로 클리어를 못한 경우, 도움 주기가 실패로 처리된다.</t>
  </si>
  <si>
    <t>이미지 1 - 예외 사항</t>
  </si>
  <si>
    <t>방장 퇴장 후 실패 시 보상</t>
  </si>
  <si>
    <t>도움 주기가 방장 퇴장으로 인해 실패 처리된 경우, 도움 주기 추가 보상이 지급되지 않는다.</t>
  </si>
  <si>
    <t>채팅</t>
  </si>
  <si>
    <t>채팅 알림</t>
  </si>
  <si>
    <t>도움 요청 알림 메시지</t>
  </si>
  <si>
    <t>실시간으로 도움 요청이 발생한 경우, 채팅창에 '누군가 도움을 요청했습니다' 알림 메시지가 표시된다.</t>
  </si>
  <si>
    <t>N(뉴) 마크 표시</t>
  </si>
  <si>
    <t>도움 요청 알림 수신 시, 채팅 탭에 N(뉴) 시각 표기가 표시된다.</t>
  </si>
  <si>
    <t>SOS 아이콘 표시</t>
  </si>
  <si>
    <t>도움 요청 메시지 좌측에 SOS 아이콘이 표시된다.</t>
  </si>
  <si>
    <t>도움주기 탭 버튼</t>
  </si>
  <si>
    <t>탭 전환</t>
  </si>
  <si>
    <t>어비스 채팅 내 도움주기 탭 버튼 터치 시, 도움 요청 목록 화면으로 전환된다.</t>
  </si>
  <si>
    <t>이미지 6 - 도움주기 탭 버튼</t>
  </si>
  <si>
    <t>도움 요청 목록</t>
  </si>
  <si>
    <t>목록 정보 표시</t>
  </si>
  <si>
    <t>도움 요청 목록에 도움 요청 시간, 현재 참여중인 인원 수가 표시된다.</t>
  </si>
  <si>
    <t>이미지 6 - 도움 요청 목록</t>
  </si>
  <si>
    <t>난이도 표시</t>
  </si>
  <si>
    <t>도움 요청 목록 각 항목에 도움 요청이 들어온 난이도(HARD, HELL 등)가 표시된다.</t>
  </si>
  <si>
    <t>도움 요청 메시지</t>
  </si>
  <si>
    <t>도움 요청 목록에 '{난이도}에서 도움 요청이 들어왔습니다' 형태의 메시지가 표시된다.</t>
  </si>
  <si>
    <t>방 정보 보기 버튼</t>
  </si>
  <si>
    <t>도움 요청 목록 각 항목의 '방 정보 보기' 버튼 터치 시, 해당 방의 파티 유저 정보가 표시된다.</t>
  </si>
  <si>
    <t>바로가기 버튼</t>
  </si>
  <si>
    <t>도움 요청 목록 각 항목의 '바로가기' 버튼 터치 시, 해당 도움 요청 방에 즉시 진입된다.</t>
  </si>
  <si>
    <t>사라진 방 토스트</t>
  </si>
  <si>
    <t>이미 사라진(삭제/종료된) 방의 '바로가기' 버튼 터치 시, 방이 존재하지 않음을 알리는 토스트 메시지가 표시된다.</t>
  </si>
  <si>
    <t>도움 불가 단계 토스트</t>
  </si>
  <si>
    <t>진입 권한이 없는 단계의 도움 요청 방에 '바로가기' 버튼 터치 시, 해당 단계 진입이 불가함을 알리는 토스트 메시지가 표시된다.</t>
  </si>
  <si>
    <t>인원 초과 토스트</t>
  </si>
  <si>
    <t>이미 인원이 가득 찬 방의 '바로가기' 버튼 터치 시, 파티 인원이 가득 찼음을 알리는 토스트 메시지가 표시된다.</t>
  </si>
  <si>
    <t>유저 정보 팝업</t>
  </si>
  <si>
    <t>유저 정보 표시</t>
  </si>
  <si>
    <t>'방 정보 보기' 터치 시, 해당 방의 파티원 닉네임, 전투력, 항마력, 점령도 정보가 표시된다.</t>
  </si>
  <si>
    <t>이미지 6 - 유저 정보</t>
  </si>
  <si>
    <t>팝업 닫기</t>
  </si>
  <si>
    <t>유저 정보 팝업에서 닫기 버튼 터치 시, 팝업이 닫히고 도움 요청 목록으로 돌아간다.</t>
  </si>
  <si>
    <t>공개 채팅 알림</t>
  </si>
  <si>
    <t>어비스 탭 표시</t>
  </si>
  <si>
    <t>기지 공개 채팅에 어비스 탭이 추가되며, 어비스 진입이 가능한 유저에게만 표시된다.</t>
  </si>
  <si>
    <t>이미지 6 - 추가 구인 요청</t>
  </si>
  <si>
    <t>도움 요청 메시지 표시</t>
  </si>
  <si>
    <t>기지 공개 채팅에서 '누군가 도움을 요청합니다' 메시지가 표시되어 도움 요청의 노출 범위가 확대된다.</t>
  </si>
  <si>
    <t>비진입 유저 미표시</t>
  </si>
  <si>
    <t>어비스 진입이 불가능한 유저에게는 기지 공개 채팅의 어비스 탭이 표시되지 않는다.</t>
  </si>
  <si>
    <t>채팅 목록 UI</t>
  </si>
  <si>
    <t>날짜 시간 표시</t>
  </si>
  <si>
    <t>도움 요청 채팅 메시지에 도움 요청 발생 날짜 및 시간(예: 2026.03.12 10:55)이 표시된다.</t>
  </si>
  <si>
    <t>참여 인원 표시</t>
  </si>
  <si>
    <t>도움 요청 채팅 메시지에 현재 참여 인원(예: 3/4)이 표시된다.</t>
  </si>
  <si>
    <t>방 목록</t>
  </si>
  <si>
    <t>도움 요청중인 방 표시</t>
  </si>
  <si>
    <t>강조 테두리</t>
  </si>
  <si>
    <t>방 목록에서 도움 요청중인 방이 강조 테두리로 표시되어 일반 방과 시각적으로 구분된다.</t>
  </si>
  <si>
    <t>도움 요청중 태그</t>
  </si>
  <si>
    <t>방 목록에서 도움 요청중인 방에 '도움 요청중' 태그(빨간색/핑크색 배지)가 표시된다.</t>
  </si>
  <si>
    <t>정렬 규칙 미영향</t>
  </si>
  <si>
    <t>도움 요청중인 방의 강조 표시는 방 목록의 정렬 규칙에 영향을 주지 않으며, UI로만 구분된다.</t>
  </si>
  <si>
    <t>방 정보 표시</t>
  </si>
  <si>
    <t>방 카드 정보</t>
  </si>
  <si>
    <t>방 목록 각 카드에 방 이름, 목표 단계, 목표 페이즈, 전투력, 항마력, 역할군 아이콘, 참여 인원이 표시된다.</t>
  </si>
  <si>
    <t>참여하기 버튼</t>
  </si>
  <si>
    <t>방 목록에서 도움 요청중인 방의 '참여하기' 버튼 터치 시, 해당 도움 요청 방에 진입된다.</t>
  </si>
  <si>
    <t>방 목록 UI</t>
  </si>
  <si>
    <t>난이도 필터 탭</t>
  </si>
  <si>
    <t>방 목록 상단에 ALL, NORMAL, HARD, HELL, CHALLENGE 난이도 필터 탭이 표시되며, 탭 선택 시 해당 난이도의 방만 필터링된다.</t>
  </si>
  <si>
    <t>새로고침 버튼</t>
  </si>
  <si>
    <t>방 목록 상단의 새로고침 버튼 터치 시, 방 목록이 최신 상태로 갱신된다.</t>
  </si>
  <si>
    <t>페이지네이션</t>
  </si>
  <si>
    <t>방 목록 하단에 페이지네이션(최대 10페이지)이 표시되며, 좌/우 화살표 터치 시 페이지가 전환된다.</t>
  </si>
  <si>
    <t>파티원 정보 패널</t>
  </si>
  <si>
    <t>파티원 상세 정보</t>
  </si>
  <si>
    <t>방 목록에서 방 선택 시, 좌측 파티원 정보 패널에 각 파티원의 닉네임, 레벨, 전투력, 쿠키 아이콘이 표시된다.</t>
  </si>
  <si>
    <t>이미지 7 - 파티원 정보 패널</t>
  </si>
  <si>
    <t>빈 슬롯 표시</t>
  </si>
  <si>
    <t>파티원 정보 패널에서 아직 참여하지 않은 빈 슬롯은 회색 아이콘으로 표시된다.</t>
  </si>
  <si>
    <t>도움 요청 방 전환 후</t>
  </si>
  <si>
    <t>도움주기 보상 방 표시</t>
  </si>
  <si>
    <t>도움 요청 방으로 전환된 방은 도와주기 보상을 획득할 수 있는 방으로 표시된다.</t>
  </si>
  <si>
    <t>일반 방 참여 시</t>
  </si>
  <si>
    <t>보상 미지급</t>
  </si>
  <si>
    <t>도움 요청이 아닌 일반 방에 참여하여 4페이즈를 클리어한 경우, 도움 주기 추가 보상이 지급되지 않는다.</t>
  </si>
  <si>
    <t>결과 화면에 클리어한 난이도(CHALLENGE 등)가 표시된다.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</si>
</sst>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COUNTIF(I10:I111,"Pass")</f>
      </c>
      <c r="K3" t="s">
        <v>4</v>
      </c>
      <c r="L3">
        <f>COUNTIF(I10:I111,"")</f>
      </c>
      <c r="M3" s="3" t="s">
        <v>3</v>
      </c>
      <c r="N3">
        <f>COUNTIF(J10:J111,"Pass")</f>
      </c>
    </row>
    <row r="4" spans="9:14" x14ac:dyDescent="0.25">
      <c r="I4" s="4" t="s">
        <v>5</v>
      </c>
      <c r="J4">
        <f>COUNTIF(I10:I111,"N/T")</f>
      </c>
      <c r="K4" t="s">
        <v>6</v>
      </c>
      <c r="L4">
        <f>COUNTA(I10:I111)-COUNTIF(I10:I111,"")</f>
      </c>
      <c r="M4" s="4" t="s">
        <v>5</v>
      </c>
      <c r="N4">
        <f>COUNTIF(J10:J111,"N/T")</f>
      </c>
    </row>
    <row r="5" spans="9:14" x14ac:dyDescent="0.25">
      <c r="I5" s="5" t="s">
        <v>7</v>
      </c>
      <c r="J5">
        <f>COUNTIF(I10:I111,"Fail")</f>
      </c>
      <c r="K5" t="s">
        <v>8</v>
      </c>
      <c r="L5">
        <v>102</v>
      </c>
      <c r="M5" s="5" t="s">
        <v>7</v>
      </c>
      <c r="N5">
        <f>COUNTIF(J10:J111,"Fail")</f>
      </c>
    </row>
    <row r="6" spans="9:14" x14ac:dyDescent="0.25">
      <c r="I6" s="6" t="s">
        <v>9</v>
      </c>
      <c r="J6">
        <f>COUNTIF(I10:I111,"Block")</f>
      </c>
      <c r="K6" t="s">
        <v>10</v>
      </c>
      <c r="L6" s="7">
        <f>IF(L5=0,0,L4/L5)</f>
      </c>
      <c r="M6" s="6" t="s">
        <v>9</v>
      </c>
      <c r="N6">
        <f>COUNTIF(J10:J111,"Block")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31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31</v>
      </c>
    </row>
    <row r="13" spans="2:14" x14ac:dyDescent="0.25">
      <c r="B13" s="9">
        <v>4</v>
      </c>
      <c r="C13" s="15" t="s">
        <v>34</v>
      </c>
      <c r="D13" s="11"/>
      <c r="E13" s="11"/>
      <c r="F13" s="11" t="s">
        <v>35</v>
      </c>
      <c r="G13" s="12" t="s">
        <v>11</v>
      </c>
      <c r="H13" s="13" t="s">
        <v>36</v>
      </c>
      <c r="I13" s="12"/>
      <c r="J13" s="12"/>
      <c r="K13" s="12"/>
      <c r="L13" s="12"/>
      <c r="M13" s="12"/>
      <c r="N13" s="14" t="s">
        <v>37</v>
      </c>
    </row>
    <row r="14" spans="2:14" x14ac:dyDescent="0.25">
      <c r="B14" s="9">
        <v>5</v>
      </c>
      <c r="C14" s="15" t="s">
        <v>34</v>
      </c>
      <c r="D14" s="11"/>
      <c r="E14" s="11"/>
      <c r="F14" s="11"/>
      <c r="G14" s="12" t="s">
        <v>11</v>
      </c>
      <c r="H14" s="13" t="s">
        <v>38</v>
      </c>
      <c r="I14" s="12"/>
      <c r="J14" s="12"/>
      <c r="K14" s="12"/>
      <c r="L14" s="12"/>
      <c r="M14" s="12"/>
      <c r="N14" s="14" t="s">
        <v>37</v>
      </c>
    </row>
    <row r="15" spans="2:14" x14ac:dyDescent="0.25">
      <c r="B15" s="9">
        <v>6</v>
      </c>
      <c r="C15" s="15" t="s">
        <v>34</v>
      </c>
      <c r="D15" s="11"/>
      <c r="E15" s="11"/>
      <c r="F15" s="11" t="s">
        <v>39</v>
      </c>
      <c r="G15" s="12" t="s">
        <v>11</v>
      </c>
      <c r="H15" s="13" t="s">
        <v>40</v>
      </c>
      <c r="I15" s="12"/>
      <c r="J15" s="12"/>
      <c r="K15" s="12"/>
      <c r="L15" s="12"/>
      <c r="M15" s="12"/>
      <c r="N15" s="14" t="s">
        <v>41</v>
      </c>
    </row>
    <row r="16" spans="2:14" x14ac:dyDescent="0.25">
      <c r="B16" s="9">
        <v>7</v>
      </c>
      <c r="C16" s="15" t="s">
        <v>34</v>
      </c>
      <c r="D16" s="11"/>
      <c r="E16" s="11"/>
      <c r="F16" s="11"/>
      <c r="G16" s="12" t="s">
        <v>11</v>
      </c>
      <c r="H16" s="13" t="s">
        <v>42</v>
      </c>
      <c r="I16" s="12"/>
      <c r="J16" s="12"/>
      <c r="K16" s="12"/>
      <c r="L16" s="12"/>
      <c r="M16" s="12"/>
      <c r="N16" s="14" t="s">
        <v>41</v>
      </c>
    </row>
    <row r="17" spans="2:14" x14ac:dyDescent="0.25">
      <c r="B17" s="9">
        <v>8</v>
      </c>
      <c r="C17" s="15" t="s">
        <v>34</v>
      </c>
      <c r="D17" s="11"/>
      <c r="E17" s="11"/>
      <c r="F17" s="11"/>
      <c r="G17" s="12" t="s">
        <v>11</v>
      </c>
      <c r="H17" s="13" t="s">
        <v>43</v>
      </c>
      <c r="I17" s="12"/>
      <c r="J17" s="12"/>
      <c r="K17" s="12"/>
      <c r="L17" s="12"/>
      <c r="M17" s="12"/>
      <c r="N17" s="14" t="s">
        <v>44</v>
      </c>
    </row>
    <row r="18" spans="2:14" x14ac:dyDescent="0.25">
      <c r="B18" s="9">
        <v>9</v>
      </c>
      <c r="C18" s="10" t="s">
        <v>22</v>
      </c>
      <c r="D18" s="11"/>
      <c r="E18" s="11" t="s">
        <v>45</v>
      </c>
      <c r="F18" s="11" t="s">
        <v>46</v>
      </c>
      <c r="G18" s="12" t="s">
        <v>47</v>
      </c>
      <c r="H18" s="13" t="s">
        <v>48</v>
      </c>
      <c r="I18" s="12"/>
      <c r="J18" s="12"/>
      <c r="K18" s="12"/>
      <c r="L18" s="12"/>
      <c r="M18" s="12"/>
      <c r="N18" s="14" t="s">
        <v>49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50</v>
      </c>
      <c r="H19" s="13" t="s">
        <v>51</v>
      </c>
      <c r="I19" s="12"/>
      <c r="J19" s="12"/>
      <c r="K19" s="12"/>
      <c r="L19" s="12"/>
      <c r="M19" s="12"/>
      <c r="N19" s="14" t="s">
        <v>49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52</v>
      </c>
      <c r="H20" s="13" t="s">
        <v>53</v>
      </c>
      <c r="I20" s="12"/>
      <c r="J20" s="12"/>
      <c r="K20" s="12"/>
      <c r="L20" s="12"/>
      <c r="M20" s="12"/>
      <c r="N20" s="14" t="s">
        <v>54</v>
      </c>
    </row>
    <row r="21" spans="2:14" x14ac:dyDescent="0.25">
      <c r="B21" s="9">
        <v>12</v>
      </c>
      <c r="C21" s="10" t="s">
        <v>22</v>
      </c>
      <c r="D21" s="11"/>
      <c r="E21" s="11"/>
      <c r="F21" s="11" t="s">
        <v>55</v>
      </c>
      <c r="G21" s="12" t="s">
        <v>56</v>
      </c>
      <c r="H21" s="13" t="s">
        <v>57</v>
      </c>
      <c r="I21" s="12"/>
      <c r="J21" s="12"/>
      <c r="K21" s="12"/>
      <c r="L21" s="12"/>
      <c r="M21" s="12"/>
      <c r="N21" s="14" t="s">
        <v>58</v>
      </c>
    </row>
    <row r="22" spans="2:14" x14ac:dyDescent="0.25">
      <c r="B22" s="9">
        <v>13</v>
      </c>
      <c r="C22" s="16" t="s">
        <v>59</v>
      </c>
      <c r="D22" s="11"/>
      <c r="E22" s="11"/>
      <c r="F22" s="11"/>
      <c r="G22" s="12" t="s">
        <v>60</v>
      </c>
      <c r="H22" s="13" t="s">
        <v>61</v>
      </c>
      <c r="I22" s="12"/>
      <c r="J22" s="12"/>
      <c r="K22" s="12"/>
      <c r="L22" s="12"/>
      <c r="M22" s="12"/>
      <c r="N22" s="14" t="s">
        <v>58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62</v>
      </c>
      <c r="H23" s="13" t="s">
        <v>63</v>
      </c>
      <c r="I23" s="12"/>
      <c r="J23" s="12"/>
      <c r="K23" s="12"/>
      <c r="L23" s="12"/>
      <c r="M23" s="12"/>
      <c r="N23" s="14" t="s">
        <v>58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64</v>
      </c>
      <c r="H24" s="13" t="s">
        <v>65</v>
      </c>
      <c r="I24" s="12"/>
      <c r="J24" s="12"/>
      <c r="K24" s="12"/>
      <c r="L24" s="12"/>
      <c r="M24" s="12"/>
      <c r="N24" s="14" t="s">
        <v>58</v>
      </c>
    </row>
    <row r="25" spans="2:14" x14ac:dyDescent="0.25">
      <c r="B25" s="9">
        <v>16</v>
      </c>
      <c r="C25" s="15" t="s">
        <v>34</v>
      </c>
      <c r="D25" s="11"/>
      <c r="E25" s="11"/>
      <c r="F25" s="11"/>
      <c r="G25" s="12" t="s">
        <v>66</v>
      </c>
      <c r="H25" s="13" t="s">
        <v>67</v>
      </c>
      <c r="I25" s="12"/>
      <c r="J25" s="12"/>
      <c r="K25" s="12"/>
      <c r="L25" s="12"/>
      <c r="M25" s="12"/>
      <c r="N25" s="14" t="s">
        <v>58</v>
      </c>
    </row>
    <row r="26" spans="2:14" x14ac:dyDescent="0.25">
      <c r="B26" s="9">
        <v>17</v>
      </c>
      <c r="C26" s="15" t="s">
        <v>34</v>
      </c>
      <c r="D26" s="11"/>
      <c r="E26" s="11"/>
      <c r="F26" s="11"/>
      <c r="G26" s="12" t="s">
        <v>68</v>
      </c>
      <c r="H26" s="13" t="s">
        <v>69</v>
      </c>
      <c r="I26" s="12"/>
      <c r="J26" s="12"/>
      <c r="K26" s="12"/>
      <c r="L26" s="12"/>
      <c r="M26" s="12"/>
      <c r="N26" s="14" t="s">
        <v>58</v>
      </c>
    </row>
    <row r="27" spans="2:14" x14ac:dyDescent="0.25">
      <c r="B27" s="9">
        <v>18</v>
      </c>
      <c r="C27" s="16" t="s">
        <v>59</v>
      </c>
      <c r="D27" s="11"/>
      <c r="E27" s="11"/>
      <c r="F27" s="11" t="s">
        <v>70</v>
      </c>
      <c r="G27" s="12" t="s">
        <v>71</v>
      </c>
      <c r="H27" s="13" t="s">
        <v>72</v>
      </c>
      <c r="I27" s="12"/>
      <c r="J27" s="12"/>
      <c r="K27" s="12"/>
      <c r="L27" s="12"/>
      <c r="M27" s="12"/>
      <c r="N27" s="14" t="s">
        <v>73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74</v>
      </c>
      <c r="H28" s="13" t="s">
        <v>75</v>
      </c>
      <c r="I28" s="12"/>
      <c r="J28" s="12"/>
      <c r="K28" s="12"/>
      <c r="L28" s="12"/>
      <c r="M28" s="12"/>
      <c r="N28" s="14" t="s">
        <v>73</v>
      </c>
    </row>
    <row r="29" spans="2:14" x14ac:dyDescent="0.25">
      <c r="B29" s="9">
        <v>20</v>
      </c>
      <c r="C29" s="16" t="s">
        <v>59</v>
      </c>
      <c r="D29" s="11"/>
      <c r="E29" s="11"/>
      <c r="F29" s="11"/>
      <c r="G29" s="12" t="s">
        <v>76</v>
      </c>
      <c r="H29" s="13" t="s">
        <v>77</v>
      </c>
      <c r="I29" s="12"/>
      <c r="J29" s="12"/>
      <c r="K29" s="12"/>
      <c r="L29" s="12"/>
      <c r="M29" s="12"/>
      <c r="N29" s="14" t="s">
        <v>73</v>
      </c>
    </row>
    <row r="30" spans="2:14" x14ac:dyDescent="0.25">
      <c r="B30" s="9">
        <v>21</v>
      </c>
      <c r="C30" s="10" t="s">
        <v>22</v>
      </c>
      <c r="D30" s="11"/>
      <c r="E30" s="11"/>
      <c r="F30" s="11"/>
      <c r="G30" s="12" t="s">
        <v>78</v>
      </c>
      <c r="H30" s="13" t="s">
        <v>79</v>
      </c>
      <c r="I30" s="12"/>
      <c r="J30" s="12"/>
      <c r="K30" s="12"/>
      <c r="L30" s="12"/>
      <c r="M30" s="12"/>
      <c r="N30" s="14" t="s">
        <v>80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81</v>
      </c>
      <c r="H31" s="13" t="s">
        <v>82</v>
      </c>
      <c r="I31" s="12"/>
      <c r="J31" s="12"/>
      <c r="K31" s="12"/>
      <c r="L31" s="12"/>
      <c r="M31" s="12"/>
      <c r="N31" s="14" t="s">
        <v>80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83</v>
      </c>
      <c r="H32" s="13" t="s">
        <v>84</v>
      </c>
      <c r="I32" s="12"/>
      <c r="J32" s="12"/>
      <c r="K32" s="12"/>
      <c r="L32" s="12"/>
      <c r="M32" s="12"/>
      <c r="N32" s="14" t="s">
        <v>80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85</v>
      </c>
      <c r="H33" s="13" t="s">
        <v>86</v>
      </c>
      <c r="I33" s="12"/>
      <c r="J33" s="12"/>
      <c r="K33" s="12"/>
      <c r="L33" s="12"/>
      <c r="M33" s="12"/>
      <c r="N33" s="14" t="s">
        <v>73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87</v>
      </c>
      <c r="H34" s="13" t="s">
        <v>88</v>
      </c>
      <c r="I34" s="12"/>
      <c r="J34" s="12"/>
      <c r="K34" s="12"/>
      <c r="L34" s="12"/>
      <c r="M34" s="12"/>
      <c r="N34" s="14" t="s">
        <v>54</v>
      </c>
    </row>
    <row r="35" spans="2:14" x14ac:dyDescent="0.25">
      <c r="B35" s="9">
        <v>26</v>
      </c>
      <c r="C35" s="10" t="s">
        <v>22</v>
      </c>
      <c r="D35" s="11"/>
      <c r="E35" s="11"/>
      <c r="F35" s="11" t="s">
        <v>89</v>
      </c>
      <c r="G35" s="12" t="s">
        <v>90</v>
      </c>
      <c r="H35" s="13" t="s">
        <v>91</v>
      </c>
      <c r="I35" s="12"/>
      <c r="J35" s="12"/>
      <c r="K35" s="12"/>
      <c r="L35" s="12"/>
      <c r="M35" s="12"/>
      <c r="N35" s="14" t="s">
        <v>92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93</v>
      </c>
      <c r="H36" s="13" t="s">
        <v>94</v>
      </c>
      <c r="I36" s="12"/>
      <c r="J36" s="12"/>
      <c r="K36" s="12"/>
      <c r="L36" s="12"/>
      <c r="M36" s="12"/>
      <c r="N36" s="14" t="s">
        <v>95</v>
      </c>
    </row>
    <row r="37" spans="2:14" x14ac:dyDescent="0.25">
      <c r="B37" s="9">
        <v>28</v>
      </c>
      <c r="C37" s="15" t="s">
        <v>34</v>
      </c>
      <c r="D37" s="11"/>
      <c r="E37" s="11"/>
      <c r="F37" s="12" t="s">
        <v>96</v>
      </c>
      <c r="G37" s="12" t="s">
        <v>97</v>
      </c>
      <c r="H37" s="13" t="s">
        <v>98</v>
      </c>
      <c r="I37" s="12"/>
      <c r="J37" s="12"/>
      <c r="K37" s="12"/>
      <c r="L37" s="12"/>
      <c r="M37" s="12"/>
      <c r="N37" s="14" t="s">
        <v>99</v>
      </c>
    </row>
    <row r="38" spans="2:14" x14ac:dyDescent="0.25">
      <c r="B38" s="9">
        <v>29</v>
      </c>
      <c r="C38" s="15" t="s">
        <v>34</v>
      </c>
      <c r="D38" s="11"/>
      <c r="E38" s="11"/>
      <c r="F38" s="11" t="s">
        <v>100</v>
      </c>
      <c r="G38" s="12" t="s">
        <v>101</v>
      </c>
      <c r="H38" s="13" t="s">
        <v>102</v>
      </c>
      <c r="I38" s="12"/>
      <c r="J38" s="12"/>
      <c r="K38" s="12"/>
      <c r="L38" s="12"/>
      <c r="M38" s="12"/>
      <c r="N38" s="14" t="s">
        <v>103</v>
      </c>
    </row>
    <row r="39" spans="2:14" x14ac:dyDescent="0.25">
      <c r="B39" s="9">
        <v>30</v>
      </c>
      <c r="C39" s="15" t="s">
        <v>34</v>
      </c>
      <c r="D39" s="11"/>
      <c r="E39" s="11"/>
      <c r="F39" s="11"/>
      <c r="G39" s="12" t="s">
        <v>104</v>
      </c>
      <c r="H39" s="13" t="s">
        <v>105</v>
      </c>
      <c r="I39" s="12"/>
      <c r="J39" s="12"/>
      <c r="K39" s="12"/>
      <c r="L39" s="12"/>
      <c r="M39" s="12"/>
      <c r="N39" s="14" t="s">
        <v>106</v>
      </c>
    </row>
    <row r="40" spans="2:14" x14ac:dyDescent="0.25">
      <c r="B40" s="9">
        <v>31</v>
      </c>
      <c r="C40" s="15" t="s">
        <v>34</v>
      </c>
      <c r="D40" s="11"/>
      <c r="E40" s="11"/>
      <c r="F40" s="12" t="s">
        <v>107</v>
      </c>
      <c r="G40" s="12" t="s">
        <v>11</v>
      </c>
      <c r="H40" s="13" t="s">
        <v>108</v>
      </c>
      <c r="I40" s="12"/>
      <c r="J40" s="12"/>
      <c r="K40" s="12"/>
      <c r="L40" s="12"/>
      <c r="M40" s="12"/>
      <c r="N40" s="14" t="s">
        <v>109</v>
      </c>
    </row>
    <row r="41" spans="2:14" x14ac:dyDescent="0.25">
      <c r="B41" s="9">
        <v>32</v>
      </c>
      <c r="C41" s="16" t="s">
        <v>59</v>
      </c>
      <c r="D41" s="11"/>
      <c r="E41" s="11"/>
      <c r="F41" s="11" t="s">
        <v>110</v>
      </c>
      <c r="G41" s="12" t="s">
        <v>111</v>
      </c>
      <c r="H41" s="13" t="s">
        <v>112</v>
      </c>
      <c r="I41" s="12"/>
      <c r="J41" s="12"/>
      <c r="K41" s="12"/>
      <c r="L41" s="12"/>
      <c r="M41" s="12"/>
      <c r="N41" s="14" t="s">
        <v>54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113</v>
      </c>
      <c r="H42" s="13" t="s">
        <v>114</v>
      </c>
      <c r="I42" s="12"/>
      <c r="J42" s="12"/>
      <c r="K42" s="12"/>
      <c r="L42" s="12"/>
      <c r="M42" s="12"/>
      <c r="N42" s="14" t="s">
        <v>54</v>
      </c>
    </row>
    <row r="43" spans="2:14" x14ac:dyDescent="0.25">
      <c r="B43" s="9">
        <v>34</v>
      </c>
      <c r="C43" s="15" t="s">
        <v>34</v>
      </c>
      <c r="D43" s="11"/>
      <c r="E43" s="11"/>
      <c r="F43" s="11" t="s">
        <v>115</v>
      </c>
      <c r="G43" s="12" t="s">
        <v>116</v>
      </c>
      <c r="H43" s="13" t="s">
        <v>117</v>
      </c>
      <c r="I43" s="12"/>
      <c r="J43" s="12"/>
      <c r="K43" s="12"/>
      <c r="L43" s="12"/>
      <c r="M43" s="12"/>
      <c r="N43" s="14" t="s">
        <v>118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119</v>
      </c>
      <c r="H44" s="13" t="s">
        <v>120</v>
      </c>
      <c r="I44" s="12"/>
      <c r="J44" s="12"/>
      <c r="K44" s="12"/>
      <c r="L44" s="12"/>
      <c r="M44" s="12"/>
      <c r="N44" s="14" t="s">
        <v>118</v>
      </c>
    </row>
    <row r="45" spans="2:14" x14ac:dyDescent="0.25">
      <c r="B45" s="9">
        <v>36</v>
      </c>
      <c r="C45" s="15" t="s">
        <v>34</v>
      </c>
      <c r="D45" s="11"/>
      <c r="E45" s="11"/>
      <c r="F45" s="11"/>
      <c r="G45" s="12" t="s">
        <v>121</v>
      </c>
      <c r="H45" s="13" t="s">
        <v>122</v>
      </c>
      <c r="I45" s="12"/>
      <c r="J45" s="12"/>
      <c r="K45" s="12"/>
      <c r="L45" s="12"/>
      <c r="M45" s="12"/>
      <c r="N45" s="14" t="s">
        <v>118</v>
      </c>
    </row>
    <row r="46" spans="2:14" x14ac:dyDescent="0.25">
      <c r="B46" s="9">
        <v>37</v>
      </c>
      <c r="C46" s="15" t="s">
        <v>34</v>
      </c>
      <c r="D46" s="11"/>
      <c r="E46" s="11"/>
      <c r="F46" s="11" t="s">
        <v>123</v>
      </c>
      <c r="G46" s="12" t="s">
        <v>124</v>
      </c>
      <c r="H46" s="13" t="s">
        <v>125</v>
      </c>
      <c r="I46" s="12"/>
      <c r="J46" s="12"/>
      <c r="K46" s="12"/>
      <c r="L46" s="12"/>
      <c r="M46" s="12"/>
      <c r="N46" s="14" t="s">
        <v>99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126</v>
      </c>
      <c r="H47" s="13" t="s">
        <v>127</v>
      </c>
      <c r="I47" s="12"/>
      <c r="J47" s="12"/>
      <c r="K47" s="12"/>
      <c r="L47" s="12"/>
      <c r="M47" s="12"/>
      <c r="N47" s="14" t="s">
        <v>99</v>
      </c>
    </row>
    <row r="48" spans="2:14" x14ac:dyDescent="0.25">
      <c r="B48" s="9">
        <v>39</v>
      </c>
      <c r="C48" s="10" t="s">
        <v>22</v>
      </c>
      <c r="D48" s="11"/>
      <c r="E48" s="11" t="s">
        <v>128</v>
      </c>
      <c r="F48" s="11" t="s">
        <v>129</v>
      </c>
      <c r="G48" s="12" t="s">
        <v>130</v>
      </c>
      <c r="H48" s="13" t="s">
        <v>131</v>
      </c>
      <c r="I48" s="12"/>
      <c r="J48" s="12"/>
      <c r="K48" s="12"/>
      <c r="L48" s="12"/>
      <c r="M48" s="12"/>
      <c r="N48" s="14" t="s">
        <v>54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132</v>
      </c>
      <c r="H49" s="13" t="s">
        <v>133</v>
      </c>
      <c r="I49" s="12"/>
      <c r="J49" s="12"/>
      <c r="K49" s="12"/>
      <c r="L49" s="12"/>
      <c r="M49" s="12"/>
      <c r="N49" s="14" t="s">
        <v>54</v>
      </c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134</v>
      </c>
      <c r="H50" s="13" t="s">
        <v>135</v>
      </c>
      <c r="I50" s="12"/>
      <c r="J50" s="12"/>
      <c r="K50" s="12"/>
      <c r="L50" s="12"/>
      <c r="M50" s="12"/>
      <c r="N50" s="14" t="s">
        <v>54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136</v>
      </c>
      <c r="H51" s="13" t="s">
        <v>137</v>
      </c>
      <c r="I51" s="12"/>
      <c r="J51" s="12"/>
      <c r="K51" s="12"/>
      <c r="L51" s="12"/>
      <c r="M51" s="12"/>
      <c r="N51" s="14" t="s">
        <v>54</v>
      </c>
    </row>
    <row r="52" spans="2:14" x14ac:dyDescent="0.25">
      <c r="B52" s="9">
        <v>43</v>
      </c>
      <c r="C52" s="16" t="s">
        <v>59</v>
      </c>
      <c r="D52" s="11"/>
      <c r="E52" s="11"/>
      <c r="F52" s="11" t="s">
        <v>138</v>
      </c>
      <c r="G52" s="12" t="s">
        <v>139</v>
      </c>
      <c r="H52" s="13" t="s">
        <v>140</v>
      </c>
      <c r="I52" s="12"/>
      <c r="J52" s="12"/>
      <c r="K52" s="12"/>
      <c r="L52" s="12"/>
      <c r="M52" s="12"/>
      <c r="N52" s="14" t="s">
        <v>54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141</v>
      </c>
      <c r="H53" s="13" t="s">
        <v>142</v>
      </c>
      <c r="I53" s="12"/>
      <c r="J53" s="12"/>
      <c r="K53" s="12"/>
      <c r="L53" s="12"/>
      <c r="M53" s="12"/>
      <c r="N53" s="14" t="s">
        <v>54</v>
      </c>
    </row>
    <row r="54" spans="2:14" x14ac:dyDescent="0.25">
      <c r="B54" s="9">
        <v>45</v>
      </c>
      <c r="C54" s="15" t="s">
        <v>34</v>
      </c>
      <c r="D54" s="11"/>
      <c r="E54" s="11"/>
      <c r="F54" s="11"/>
      <c r="G54" s="12" t="s">
        <v>143</v>
      </c>
      <c r="H54" s="13" t="s">
        <v>144</v>
      </c>
      <c r="I54" s="12"/>
      <c r="J54" s="12"/>
      <c r="K54" s="12"/>
      <c r="L54" s="12"/>
      <c r="M54" s="12"/>
      <c r="N54" s="14" t="s">
        <v>145</v>
      </c>
    </row>
    <row r="55" spans="2:14" x14ac:dyDescent="0.25">
      <c r="B55" s="9">
        <v>46</v>
      </c>
      <c r="C55" s="15" t="s">
        <v>34</v>
      </c>
      <c r="D55" s="11"/>
      <c r="E55" s="11"/>
      <c r="F55" s="11"/>
      <c r="G55" s="12" t="s">
        <v>146</v>
      </c>
      <c r="H55" s="13" t="s">
        <v>147</v>
      </c>
      <c r="I55" s="12"/>
      <c r="J55" s="12"/>
      <c r="K55" s="12"/>
      <c r="L55" s="12"/>
      <c r="M55" s="12"/>
      <c r="N55" s="14" t="s">
        <v>148</v>
      </c>
    </row>
    <row r="56" spans="2:14" x14ac:dyDescent="0.25">
      <c r="B56" s="9">
        <v>47</v>
      </c>
      <c r="C56" s="10" t="s">
        <v>22</v>
      </c>
      <c r="D56" s="11"/>
      <c r="E56" s="11"/>
      <c r="F56" s="11" t="s">
        <v>149</v>
      </c>
      <c r="G56" s="12" t="s">
        <v>150</v>
      </c>
      <c r="H56" s="13" t="s">
        <v>151</v>
      </c>
      <c r="I56" s="12"/>
      <c r="J56" s="12"/>
      <c r="K56" s="12"/>
      <c r="L56" s="12"/>
      <c r="M56" s="12"/>
      <c r="N56" s="14" t="s">
        <v>152</v>
      </c>
    </row>
    <row r="57" spans="2:14" x14ac:dyDescent="0.25">
      <c r="B57" s="9">
        <v>48</v>
      </c>
      <c r="C57" s="16" t="s">
        <v>59</v>
      </c>
      <c r="D57" s="11"/>
      <c r="E57" s="11"/>
      <c r="F57" s="11"/>
      <c r="G57" s="12" t="s">
        <v>153</v>
      </c>
      <c r="H57" s="13" t="s">
        <v>154</v>
      </c>
      <c r="I57" s="12"/>
      <c r="J57" s="12"/>
      <c r="K57" s="12"/>
      <c r="L57" s="12"/>
      <c r="M57" s="12"/>
      <c r="N57" s="14" t="s">
        <v>155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156</v>
      </c>
      <c r="H58" s="13" t="s">
        <v>157</v>
      </c>
      <c r="I58" s="12"/>
      <c r="J58" s="12"/>
      <c r="K58" s="12"/>
      <c r="L58" s="12"/>
      <c r="M58" s="12"/>
      <c r="N58" s="14" t="s">
        <v>155</v>
      </c>
    </row>
    <row r="59" spans="2:14" x14ac:dyDescent="0.25">
      <c r="B59" s="9">
        <v>50</v>
      </c>
      <c r="C59" s="15" t="s">
        <v>34</v>
      </c>
      <c r="D59" s="11"/>
      <c r="E59" s="11"/>
      <c r="F59" s="11"/>
      <c r="G59" s="12" t="s">
        <v>158</v>
      </c>
      <c r="H59" s="13" t="s">
        <v>159</v>
      </c>
      <c r="I59" s="12"/>
      <c r="J59" s="12"/>
      <c r="K59" s="12"/>
      <c r="L59" s="12"/>
      <c r="M59" s="12"/>
      <c r="N59" s="14" t="s">
        <v>155</v>
      </c>
    </row>
    <row r="60" spans="2:14" x14ac:dyDescent="0.25">
      <c r="B60" s="9">
        <v>51</v>
      </c>
      <c r="C60" s="16" t="s">
        <v>59</v>
      </c>
      <c r="D60" s="11"/>
      <c r="E60" s="11"/>
      <c r="F60" s="11"/>
      <c r="G60" s="12" t="s">
        <v>160</v>
      </c>
      <c r="H60" s="13" t="s">
        <v>161</v>
      </c>
      <c r="I60" s="12"/>
      <c r="J60" s="12"/>
      <c r="K60" s="12"/>
      <c r="L60" s="12"/>
      <c r="M60" s="12"/>
      <c r="N60" s="14" t="s">
        <v>54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162</v>
      </c>
      <c r="H61" s="13" t="s">
        <v>163</v>
      </c>
      <c r="I61" s="12"/>
      <c r="J61" s="12"/>
      <c r="K61" s="12"/>
      <c r="L61" s="12"/>
      <c r="M61" s="12"/>
      <c r="N61" s="14" t="s">
        <v>54</v>
      </c>
    </row>
    <row r="62" spans="2:14" x14ac:dyDescent="0.25">
      <c r="B62" s="9">
        <v>53</v>
      </c>
      <c r="C62" s="16" t="s">
        <v>59</v>
      </c>
      <c r="D62" s="11"/>
      <c r="E62" s="11"/>
      <c r="F62" s="11"/>
      <c r="G62" s="12" t="s">
        <v>164</v>
      </c>
      <c r="H62" s="13" t="s">
        <v>165</v>
      </c>
      <c r="I62" s="12"/>
      <c r="J62" s="12"/>
      <c r="K62" s="12"/>
      <c r="L62" s="12"/>
      <c r="M62" s="12"/>
      <c r="N62" s="14" t="s">
        <v>54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166</v>
      </c>
      <c r="H63" s="13" t="s">
        <v>167</v>
      </c>
      <c r="I63" s="12"/>
      <c r="J63" s="12"/>
      <c r="K63" s="12"/>
      <c r="L63" s="12"/>
      <c r="M63" s="12"/>
      <c r="N63" s="14" t="s">
        <v>54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168</v>
      </c>
      <c r="H64" s="13" t="s">
        <v>169</v>
      </c>
      <c r="I64" s="12"/>
      <c r="J64" s="12"/>
      <c r="K64" s="12"/>
      <c r="L64" s="12"/>
      <c r="M64" s="12"/>
      <c r="N64" s="14" t="s">
        <v>170</v>
      </c>
    </row>
    <row r="65" spans="2:14" x14ac:dyDescent="0.25">
      <c r="B65" s="9">
        <v>56</v>
      </c>
      <c r="C65" s="10" t="s">
        <v>22</v>
      </c>
      <c r="D65" s="11"/>
      <c r="E65" s="11"/>
      <c r="F65" s="11" t="s">
        <v>171</v>
      </c>
      <c r="G65" s="12" t="s">
        <v>172</v>
      </c>
      <c r="H65" s="13" t="s">
        <v>173</v>
      </c>
      <c r="I65" s="12"/>
      <c r="J65" s="12"/>
      <c r="K65" s="12"/>
      <c r="L65" s="12"/>
      <c r="M65" s="12"/>
      <c r="N65" s="14" t="s">
        <v>174</v>
      </c>
    </row>
    <row r="66" spans="2:14" x14ac:dyDescent="0.25">
      <c r="B66" s="9">
        <v>57</v>
      </c>
      <c r="C66" s="15" t="s">
        <v>34</v>
      </c>
      <c r="D66" s="11"/>
      <c r="E66" s="11"/>
      <c r="F66" s="11"/>
      <c r="G66" s="12" t="s">
        <v>175</v>
      </c>
      <c r="H66" s="13" t="s">
        <v>176</v>
      </c>
      <c r="I66" s="12"/>
      <c r="J66" s="12"/>
      <c r="K66" s="12"/>
      <c r="L66" s="12"/>
      <c r="M66" s="12"/>
      <c r="N66" s="14" t="s">
        <v>174</v>
      </c>
    </row>
    <row r="67" spans="2:14" x14ac:dyDescent="0.25">
      <c r="B67" s="9">
        <v>58</v>
      </c>
      <c r="C67" s="10" t="s">
        <v>22</v>
      </c>
      <c r="D67" s="11"/>
      <c r="E67" s="11"/>
      <c r="F67" s="11" t="s">
        <v>177</v>
      </c>
      <c r="G67" s="12" t="s">
        <v>178</v>
      </c>
      <c r="H67" s="13" t="s">
        <v>179</v>
      </c>
      <c r="I67" s="12"/>
      <c r="J67" s="12"/>
      <c r="K67" s="12"/>
      <c r="L67" s="12"/>
      <c r="M67" s="12"/>
      <c r="N67" s="14" t="s">
        <v>180</v>
      </c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181</v>
      </c>
      <c r="H68" s="13" t="s">
        <v>182</v>
      </c>
      <c r="I68" s="12"/>
      <c r="J68" s="12"/>
      <c r="K68" s="12"/>
      <c r="L68" s="12"/>
      <c r="M68" s="12"/>
      <c r="N68" s="14" t="s">
        <v>183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184</v>
      </c>
      <c r="H69" s="13" t="s">
        <v>185</v>
      </c>
      <c r="I69" s="12"/>
      <c r="J69" s="12"/>
      <c r="K69" s="12"/>
      <c r="L69" s="12"/>
      <c r="M69" s="12"/>
      <c r="N69" s="14" t="s">
        <v>183</v>
      </c>
    </row>
    <row r="70" spans="2:14" x14ac:dyDescent="0.25">
      <c r="B70" s="9">
        <v>61</v>
      </c>
      <c r="C70" s="15" t="s">
        <v>34</v>
      </c>
      <c r="D70" s="11"/>
      <c r="E70" s="11"/>
      <c r="F70" s="11"/>
      <c r="G70" s="12" t="s">
        <v>186</v>
      </c>
      <c r="H70" s="13" t="s">
        <v>187</v>
      </c>
      <c r="I70" s="12"/>
      <c r="J70" s="12"/>
      <c r="K70" s="12"/>
      <c r="L70" s="12"/>
      <c r="M70" s="12"/>
      <c r="N70" s="14" t="s">
        <v>183</v>
      </c>
    </row>
    <row r="71" spans="2:14" x14ac:dyDescent="0.25">
      <c r="B71" s="9">
        <v>62</v>
      </c>
      <c r="C71" s="15" t="s">
        <v>34</v>
      </c>
      <c r="D71" s="11"/>
      <c r="E71" s="11"/>
      <c r="F71" s="11" t="s">
        <v>188</v>
      </c>
      <c r="G71" s="12" t="s">
        <v>189</v>
      </c>
      <c r="H71" s="13" t="s">
        <v>190</v>
      </c>
      <c r="I71" s="12"/>
      <c r="J71" s="12"/>
      <c r="K71" s="12"/>
      <c r="L71" s="12"/>
      <c r="M71" s="12"/>
      <c r="N71" s="14" t="s">
        <v>148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191</v>
      </c>
      <c r="H72" s="13" t="s">
        <v>192</v>
      </c>
      <c r="I72" s="12"/>
      <c r="J72" s="12"/>
      <c r="K72" s="12"/>
      <c r="L72" s="12"/>
      <c r="M72" s="12"/>
      <c r="N72" s="14" t="s">
        <v>148</v>
      </c>
    </row>
    <row r="73" spans="2:14" x14ac:dyDescent="0.25">
      <c r="B73" s="9">
        <v>64</v>
      </c>
      <c r="C73" s="15" t="s">
        <v>34</v>
      </c>
      <c r="D73" s="11"/>
      <c r="E73" s="11"/>
      <c r="F73" s="11"/>
      <c r="G73" s="12" t="s">
        <v>193</v>
      </c>
      <c r="H73" s="13" t="s">
        <v>194</v>
      </c>
      <c r="I73" s="12"/>
      <c r="J73" s="12"/>
      <c r="K73" s="12"/>
      <c r="L73" s="12"/>
      <c r="M73" s="12"/>
      <c r="N73" s="14" t="s">
        <v>148</v>
      </c>
    </row>
    <row r="74" spans="2:14" x14ac:dyDescent="0.25">
      <c r="B74" s="9">
        <v>65</v>
      </c>
      <c r="C74" s="15" t="s">
        <v>34</v>
      </c>
      <c r="D74" s="11"/>
      <c r="E74" s="11"/>
      <c r="F74" s="11"/>
      <c r="G74" s="12" t="s">
        <v>195</v>
      </c>
      <c r="H74" s="13" t="s">
        <v>196</v>
      </c>
      <c r="I74" s="12"/>
      <c r="J74" s="12"/>
      <c r="K74" s="12"/>
      <c r="L74" s="12"/>
      <c r="M74" s="12"/>
      <c r="N74" s="14" t="s">
        <v>148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197</v>
      </c>
      <c r="H75" s="13" t="s">
        <v>198</v>
      </c>
      <c r="I75" s="12"/>
      <c r="J75" s="12"/>
      <c r="K75" s="12"/>
      <c r="L75" s="12"/>
      <c r="M75" s="12"/>
      <c r="N75" s="14" t="s">
        <v>148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199</v>
      </c>
      <c r="H76" s="13" t="s">
        <v>200</v>
      </c>
      <c r="I76" s="12"/>
      <c r="J76" s="12"/>
      <c r="K76" s="12"/>
      <c r="L76" s="12"/>
      <c r="M76" s="12"/>
      <c r="N76" s="14" t="s">
        <v>148</v>
      </c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201</v>
      </c>
      <c r="H77" s="13" t="s">
        <v>202</v>
      </c>
      <c r="I77" s="12"/>
      <c r="J77" s="12"/>
      <c r="K77" s="12"/>
      <c r="L77" s="12"/>
      <c r="M77" s="12"/>
      <c r="N77" s="14" t="s">
        <v>148</v>
      </c>
    </row>
    <row r="78" spans="2:14" x14ac:dyDescent="0.25">
      <c r="B78" s="9">
        <v>69</v>
      </c>
      <c r="C78" s="16" t="s">
        <v>59</v>
      </c>
      <c r="D78" s="11"/>
      <c r="E78" s="11"/>
      <c r="F78" s="11" t="s">
        <v>203</v>
      </c>
      <c r="G78" s="12" t="s">
        <v>204</v>
      </c>
      <c r="H78" s="13" t="s">
        <v>205</v>
      </c>
      <c r="I78" s="12"/>
      <c r="J78" s="12"/>
      <c r="K78" s="12"/>
      <c r="L78" s="12"/>
      <c r="M78" s="12"/>
      <c r="N78" s="14" t="s">
        <v>206</v>
      </c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207</v>
      </c>
      <c r="H79" s="13" t="s">
        <v>208</v>
      </c>
      <c r="I79" s="12"/>
      <c r="J79" s="12"/>
      <c r="K79" s="12"/>
      <c r="L79" s="12"/>
      <c r="M79" s="12"/>
      <c r="N79" s="14" t="s">
        <v>206</v>
      </c>
    </row>
    <row r="80" spans="2:14" x14ac:dyDescent="0.25">
      <c r="B80" s="9">
        <v>71</v>
      </c>
      <c r="C80" s="16" t="s">
        <v>59</v>
      </c>
      <c r="D80" s="11"/>
      <c r="E80" s="11" t="s">
        <v>209</v>
      </c>
      <c r="F80" s="11" t="s">
        <v>210</v>
      </c>
      <c r="G80" s="12" t="s">
        <v>211</v>
      </c>
      <c r="H80" s="13" t="s">
        <v>212</v>
      </c>
      <c r="I80" s="12"/>
      <c r="J80" s="12"/>
      <c r="K80" s="12"/>
      <c r="L80" s="12"/>
      <c r="M80" s="12"/>
      <c r="N80" s="14" t="s">
        <v>106</v>
      </c>
    </row>
    <row r="81" spans="2:14" x14ac:dyDescent="0.25">
      <c r="B81" s="9">
        <v>72</v>
      </c>
      <c r="C81" s="15" t="s">
        <v>34</v>
      </c>
      <c r="D81" s="11"/>
      <c r="E81" s="11"/>
      <c r="F81" s="11"/>
      <c r="G81" s="12" t="s">
        <v>213</v>
      </c>
      <c r="H81" s="13" t="s">
        <v>214</v>
      </c>
      <c r="I81" s="12"/>
      <c r="J81" s="12"/>
      <c r="K81" s="12"/>
      <c r="L81" s="12"/>
      <c r="M81" s="12"/>
      <c r="N81" s="14" t="s">
        <v>106</v>
      </c>
    </row>
    <row r="82" spans="2:14" x14ac:dyDescent="0.25">
      <c r="B82" s="9">
        <v>73</v>
      </c>
      <c r="C82" s="15" t="s">
        <v>34</v>
      </c>
      <c r="D82" s="11"/>
      <c r="E82" s="11"/>
      <c r="F82" s="11"/>
      <c r="G82" s="12" t="s">
        <v>215</v>
      </c>
      <c r="H82" s="13" t="s">
        <v>216</v>
      </c>
      <c r="I82" s="12"/>
      <c r="J82" s="12"/>
      <c r="K82" s="12"/>
      <c r="L82" s="12"/>
      <c r="M82" s="12"/>
      <c r="N82" s="14" t="s">
        <v>170</v>
      </c>
    </row>
    <row r="83" spans="2:14" x14ac:dyDescent="0.25">
      <c r="B83" s="9">
        <v>74</v>
      </c>
      <c r="C83" s="16" t="s">
        <v>59</v>
      </c>
      <c r="D83" s="11"/>
      <c r="E83" s="11"/>
      <c r="F83" s="12" t="s">
        <v>217</v>
      </c>
      <c r="G83" s="12" t="s">
        <v>218</v>
      </c>
      <c r="H83" s="13" t="s">
        <v>219</v>
      </c>
      <c r="I83" s="12"/>
      <c r="J83" s="12"/>
      <c r="K83" s="12"/>
      <c r="L83" s="12"/>
      <c r="M83" s="12"/>
      <c r="N83" s="14" t="s">
        <v>220</v>
      </c>
    </row>
    <row r="84" spans="2:14" x14ac:dyDescent="0.25">
      <c r="B84" s="9">
        <v>75</v>
      </c>
      <c r="C84" s="10" t="s">
        <v>22</v>
      </c>
      <c r="D84" s="11"/>
      <c r="E84" s="11"/>
      <c r="F84" s="11" t="s">
        <v>221</v>
      </c>
      <c r="G84" s="12" t="s">
        <v>222</v>
      </c>
      <c r="H84" s="13" t="s">
        <v>223</v>
      </c>
      <c r="I84" s="12"/>
      <c r="J84" s="12"/>
      <c r="K84" s="12"/>
      <c r="L84" s="12"/>
      <c r="M84" s="12"/>
      <c r="N84" s="14" t="s">
        <v>224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225</v>
      </c>
      <c r="H85" s="13" t="s">
        <v>226</v>
      </c>
      <c r="I85" s="12"/>
      <c r="J85" s="12"/>
      <c r="K85" s="12"/>
      <c r="L85" s="12"/>
      <c r="M85" s="12"/>
      <c r="N85" s="14" t="s">
        <v>170</v>
      </c>
    </row>
    <row r="86" spans="2:14" x14ac:dyDescent="0.25">
      <c r="B86" s="9">
        <v>77</v>
      </c>
      <c r="C86" s="15" t="s">
        <v>34</v>
      </c>
      <c r="D86" s="11"/>
      <c r="E86" s="11"/>
      <c r="F86" s="11"/>
      <c r="G86" s="12" t="s">
        <v>227</v>
      </c>
      <c r="H86" s="13" t="s">
        <v>228</v>
      </c>
      <c r="I86" s="12"/>
      <c r="J86" s="12"/>
      <c r="K86" s="12"/>
      <c r="L86" s="12"/>
      <c r="M86" s="12"/>
      <c r="N86" s="14" t="s">
        <v>170</v>
      </c>
    </row>
    <row r="87" spans="2:14" x14ac:dyDescent="0.25">
      <c r="B87" s="9">
        <v>78</v>
      </c>
      <c r="C87" s="10" t="s">
        <v>22</v>
      </c>
      <c r="D87" s="11"/>
      <c r="E87" s="11"/>
      <c r="F87" s="11"/>
      <c r="G87" s="12" t="s">
        <v>229</v>
      </c>
      <c r="H87" s="13" t="s">
        <v>230</v>
      </c>
      <c r="I87" s="12"/>
      <c r="J87" s="12"/>
      <c r="K87" s="12"/>
      <c r="L87" s="12"/>
      <c r="M87" s="12"/>
      <c r="N87" s="14" t="s">
        <v>224</v>
      </c>
    </row>
    <row r="88" spans="2:14" x14ac:dyDescent="0.25">
      <c r="B88" s="9">
        <v>79</v>
      </c>
      <c r="C88" s="16" t="s">
        <v>59</v>
      </c>
      <c r="D88" s="11"/>
      <c r="E88" s="11"/>
      <c r="F88" s="11"/>
      <c r="G88" s="12" t="s">
        <v>231</v>
      </c>
      <c r="H88" s="13" t="s">
        <v>232</v>
      </c>
      <c r="I88" s="12"/>
      <c r="J88" s="12"/>
      <c r="K88" s="12"/>
      <c r="L88" s="12"/>
      <c r="M88" s="12"/>
      <c r="N88" s="14" t="s">
        <v>224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233</v>
      </c>
      <c r="H89" s="13" t="s">
        <v>234</v>
      </c>
      <c r="I89" s="12"/>
      <c r="J89" s="12"/>
      <c r="K89" s="12"/>
      <c r="L89" s="12"/>
      <c r="M89" s="12"/>
      <c r="N89" s="14" t="s">
        <v>224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235</v>
      </c>
      <c r="H90" s="13" t="s">
        <v>236</v>
      </c>
      <c r="I90" s="12"/>
      <c r="J90" s="12"/>
      <c r="K90" s="12"/>
      <c r="L90" s="12"/>
      <c r="M90" s="12"/>
      <c r="N90" s="14" t="s">
        <v>224</v>
      </c>
    </row>
    <row r="91" spans="2:14" x14ac:dyDescent="0.25">
      <c r="B91" s="9">
        <v>82</v>
      </c>
      <c r="C91" s="10" t="s">
        <v>22</v>
      </c>
      <c r="D91" s="11"/>
      <c r="E91" s="11"/>
      <c r="F91" s="11"/>
      <c r="G91" s="12" t="s">
        <v>237</v>
      </c>
      <c r="H91" s="13" t="s">
        <v>238</v>
      </c>
      <c r="I91" s="12"/>
      <c r="J91" s="12"/>
      <c r="K91" s="12"/>
      <c r="L91" s="12"/>
      <c r="M91" s="12"/>
      <c r="N91" s="14" t="s">
        <v>224</v>
      </c>
    </row>
    <row r="92" spans="2:14" x14ac:dyDescent="0.25">
      <c r="B92" s="9">
        <v>83</v>
      </c>
      <c r="C92" s="10" t="s">
        <v>22</v>
      </c>
      <c r="D92" s="11"/>
      <c r="E92" s="11"/>
      <c r="F92" s="11" t="s">
        <v>239</v>
      </c>
      <c r="G92" s="12" t="s">
        <v>240</v>
      </c>
      <c r="H92" s="13" t="s">
        <v>241</v>
      </c>
      <c r="I92" s="12"/>
      <c r="J92" s="12"/>
      <c r="K92" s="12"/>
      <c r="L92" s="12"/>
      <c r="M92" s="12"/>
      <c r="N92" s="14" t="s">
        <v>242</v>
      </c>
    </row>
    <row r="93" spans="2:14" x14ac:dyDescent="0.25">
      <c r="B93" s="9">
        <v>84</v>
      </c>
      <c r="C93" s="15" t="s">
        <v>34</v>
      </c>
      <c r="D93" s="11"/>
      <c r="E93" s="11"/>
      <c r="F93" s="11"/>
      <c r="G93" s="12" t="s">
        <v>243</v>
      </c>
      <c r="H93" s="13" t="s">
        <v>244</v>
      </c>
      <c r="I93" s="12"/>
      <c r="J93" s="12"/>
      <c r="K93" s="12"/>
      <c r="L93" s="12"/>
      <c r="M93" s="12"/>
      <c r="N93" s="14" t="s">
        <v>242</v>
      </c>
    </row>
    <row r="94" spans="2:14" x14ac:dyDescent="0.25">
      <c r="B94" s="9">
        <v>85</v>
      </c>
      <c r="C94" s="10" t="s">
        <v>22</v>
      </c>
      <c r="D94" s="11"/>
      <c r="E94" s="11"/>
      <c r="F94" s="11" t="s">
        <v>245</v>
      </c>
      <c r="G94" s="12" t="s">
        <v>246</v>
      </c>
      <c r="H94" s="13" t="s">
        <v>247</v>
      </c>
      <c r="I94" s="12"/>
      <c r="J94" s="12"/>
      <c r="K94" s="12"/>
      <c r="L94" s="12"/>
      <c r="M94" s="12"/>
      <c r="N94" s="14" t="s">
        <v>248</v>
      </c>
    </row>
    <row r="95" spans="2:14" x14ac:dyDescent="0.25">
      <c r="B95" s="9">
        <v>86</v>
      </c>
      <c r="C95" s="10" t="s">
        <v>22</v>
      </c>
      <c r="D95" s="11"/>
      <c r="E95" s="11"/>
      <c r="F95" s="11"/>
      <c r="G95" s="12" t="s">
        <v>249</v>
      </c>
      <c r="H95" s="13" t="s">
        <v>250</v>
      </c>
      <c r="I95" s="12"/>
      <c r="J95" s="12"/>
      <c r="K95" s="12"/>
      <c r="L95" s="12"/>
      <c r="M95" s="12"/>
      <c r="N95" s="14" t="s">
        <v>248</v>
      </c>
    </row>
    <row r="96" spans="2:14" x14ac:dyDescent="0.25">
      <c r="B96" s="9">
        <v>87</v>
      </c>
      <c r="C96" s="15" t="s">
        <v>34</v>
      </c>
      <c r="D96" s="11"/>
      <c r="E96" s="11"/>
      <c r="F96" s="11"/>
      <c r="G96" s="12" t="s">
        <v>251</v>
      </c>
      <c r="H96" s="13" t="s">
        <v>252</v>
      </c>
      <c r="I96" s="12"/>
      <c r="J96" s="12"/>
      <c r="K96" s="12"/>
      <c r="L96" s="12"/>
      <c r="M96" s="12"/>
      <c r="N96" s="14" t="s">
        <v>248</v>
      </c>
    </row>
    <row r="97" spans="2:14" x14ac:dyDescent="0.25">
      <c r="B97" s="9">
        <v>88</v>
      </c>
      <c r="C97" s="15" t="s">
        <v>34</v>
      </c>
      <c r="D97" s="11"/>
      <c r="E97" s="11"/>
      <c r="F97" s="11" t="s">
        <v>253</v>
      </c>
      <c r="G97" s="12" t="s">
        <v>254</v>
      </c>
      <c r="H97" s="13" t="s">
        <v>255</v>
      </c>
      <c r="I97" s="12"/>
      <c r="J97" s="12"/>
      <c r="K97" s="12"/>
      <c r="L97" s="12"/>
      <c r="M97" s="12"/>
      <c r="N97" s="14" t="s">
        <v>170</v>
      </c>
    </row>
    <row r="98" spans="2:14" x14ac:dyDescent="0.25">
      <c r="B98" s="9">
        <v>89</v>
      </c>
      <c r="C98" s="15" t="s">
        <v>34</v>
      </c>
      <c r="D98" s="11"/>
      <c r="E98" s="11"/>
      <c r="F98" s="11"/>
      <c r="G98" s="12" t="s">
        <v>256</v>
      </c>
      <c r="H98" s="13" t="s">
        <v>257</v>
      </c>
      <c r="I98" s="12"/>
      <c r="J98" s="12"/>
      <c r="K98" s="12"/>
      <c r="L98" s="12"/>
      <c r="M98" s="12"/>
      <c r="N98" s="14" t="s">
        <v>170</v>
      </c>
    </row>
    <row r="99" spans="2:14" x14ac:dyDescent="0.25">
      <c r="B99" s="9">
        <v>90</v>
      </c>
      <c r="C99" s="10" t="s">
        <v>22</v>
      </c>
      <c r="D99" s="11"/>
      <c r="E99" s="11" t="s">
        <v>258</v>
      </c>
      <c r="F99" s="11" t="s">
        <v>259</v>
      </c>
      <c r="G99" s="12" t="s">
        <v>260</v>
      </c>
      <c r="H99" s="13" t="s">
        <v>261</v>
      </c>
      <c r="I99" s="12"/>
      <c r="J99" s="12"/>
      <c r="K99" s="12"/>
      <c r="L99" s="12"/>
      <c r="M99" s="12"/>
      <c r="N99" s="14" t="s">
        <v>103</v>
      </c>
    </row>
    <row r="100" spans="2:14" x14ac:dyDescent="0.25">
      <c r="B100" s="9">
        <v>91</v>
      </c>
      <c r="C100" s="10" t="s">
        <v>22</v>
      </c>
      <c r="D100" s="11"/>
      <c r="E100" s="11"/>
      <c r="F100" s="11"/>
      <c r="G100" s="12" t="s">
        <v>262</v>
      </c>
      <c r="H100" s="13" t="s">
        <v>263</v>
      </c>
      <c r="I100" s="12"/>
      <c r="J100" s="12"/>
      <c r="K100" s="12"/>
      <c r="L100" s="12"/>
      <c r="M100" s="12"/>
      <c r="N100" s="14" t="s">
        <v>103</v>
      </c>
    </row>
    <row r="101" spans="2:14" x14ac:dyDescent="0.25">
      <c r="B101" s="9">
        <v>92</v>
      </c>
      <c r="C101" s="10" t="s">
        <v>22</v>
      </c>
      <c r="D101" s="11"/>
      <c r="E101" s="11"/>
      <c r="F101" s="11"/>
      <c r="G101" s="12" t="s">
        <v>264</v>
      </c>
      <c r="H101" s="13" t="s">
        <v>265</v>
      </c>
      <c r="I101" s="12"/>
      <c r="J101" s="12"/>
      <c r="K101" s="12"/>
      <c r="L101" s="12"/>
      <c r="M101" s="12"/>
      <c r="N101" s="14" t="s">
        <v>103</v>
      </c>
    </row>
    <row r="102" spans="2:14" x14ac:dyDescent="0.25">
      <c r="B102" s="9">
        <v>93</v>
      </c>
      <c r="C102" s="15" t="s">
        <v>34</v>
      </c>
      <c r="D102" s="11"/>
      <c r="E102" s="11"/>
      <c r="F102" s="11" t="s">
        <v>266</v>
      </c>
      <c r="G102" s="12" t="s">
        <v>267</v>
      </c>
      <c r="H102" s="13" t="s">
        <v>268</v>
      </c>
      <c r="I102" s="12"/>
      <c r="J102" s="12"/>
      <c r="K102" s="12"/>
      <c r="L102" s="12"/>
      <c r="M102" s="12"/>
      <c r="N102" s="14" t="s">
        <v>103</v>
      </c>
    </row>
    <row r="103" spans="2:14" x14ac:dyDescent="0.25">
      <c r="B103" s="9">
        <v>94</v>
      </c>
      <c r="C103" s="16" t="s">
        <v>59</v>
      </c>
      <c r="D103" s="11"/>
      <c r="E103" s="11"/>
      <c r="F103" s="11"/>
      <c r="G103" s="12" t="s">
        <v>269</v>
      </c>
      <c r="H103" s="13" t="s">
        <v>270</v>
      </c>
      <c r="I103" s="12"/>
      <c r="J103" s="12"/>
      <c r="K103" s="12"/>
      <c r="L103" s="12"/>
      <c r="M103" s="12"/>
      <c r="N103" s="14" t="s">
        <v>103</v>
      </c>
    </row>
    <row r="104" spans="2:14" x14ac:dyDescent="0.25">
      <c r="B104" s="9">
        <v>95</v>
      </c>
      <c r="C104" s="10" t="s">
        <v>22</v>
      </c>
      <c r="D104" s="11"/>
      <c r="E104" s="11"/>
      <c r="F104" s="11" t="s">
        <v>271</v>
      </c>
      <c r="G104" s="12" t="s">
        <v>272</v>
      </c>
      <c r="H104" s="13" t="s">
        <v>273</v>
      </c>
      <c r="I104" s="12"/>
      <c r="J104" s="12"/>
      <c r="K104" s="12"/>
      <c r="L104" s="12"/>
      <c r="M104" s="12"/>
      <c r="N104" s="14" t="s">
        <v>103</v>
      </c>
    </row>
    <row r="105" spans="2:14" x14ac:dyDescent="0.25">
      <c r="B105" s="9">
        <v>96</v>
      </c>
      <c r="C105" s="15" t="s">
        <v>34</v>
      </c>
      <c r="D105" s="11"/>
      <c r="E105" s="11"/>
      <c r="F105" s="11"/>
      <c r="G105" s="12" t="s">
        <v>274</v>
      </c>
      <c r="H105" s="13" t="s">
        <v>275</v>
      </c>
      <c r="I105" s="12"/>
      <c r="J105" s="12"/>
      <c r="K105" s="12"/>
      <c r="L105" s="12"/>
      <c r="M105" s="12"/>
      <c r="N105" s="14" t="s">
        <v>103</v>
      </c>
    </row>
    <row r="106" spans="2:14" x14ac:dyDescent="0.25">
      <c r="B106" s="9">
        <v>97</v>
      </c>
      <c r="C106" s="15" t="s">
        <v>34</v>
      </c>
      <c r="D106" s="11"/>
      <c r="E106" s="11"/>
      <c r="F106" s="11"/>
      <c r="G106" s="12" t="s">
        <v>276</v>
      </c>
      <c r="H106" s="13" t="s">
        <v>277</v>
      </c>
      <c r="I106" s="12"/>
      <c r="J106" s="12"/>
      <c r="K106" s="12"/>
      <c r="L106" s="12"/>
      <c r="M106" s="12"/>
      <c r="N106" s="14" t="s">
        <v>103</v>
      </c>
    </row>
    <row r="107" spans="2:14" x14ac:dyDescent="0.25">
      <c r="B107" s="9">
        <v>98</v>
      </c>
      <c r="C107" s="10" t="s">
        <v>22</v>
      </c>
      <c r="D107" s="11"/>
      <c r="E107" s="11"/>
      <c r="F107" s="11" t="s">
        <v>278</v>
      </c>
      <c r="G107" s="12" t="s">
        <v>279</v>
      </c>
      <c r="H107" s="13" t="s">
        <v>280</v>
      </c>
      <c r="I107" s="12"/>
      <c r="J107" s="12"/>
      <c r="K107" s="12"/>
      <c r="L107" s="12"/>
      <c r="M107" s="12"/>
      <c r="N107" s="14" t="s">
        <v>281</v>
      </c>
    </row>
    <row r="108" spans="2:14" x14ac:dyDescent="0.25">
      <c r="B108" s="9">
        <v>99</v>
      </c>
      <c r="C108" s="15" t="s">
        <v>34</v>
      </c>
      <c r="D108" s="11"/>
      <c r="E108" s="11"/>
      <c r="F108" s="11"/>
      <c r="G108" s="12" t="s">
        <v>282</v>
      </c>
      <c r="H108" s="13" t="s">
        <v>283</v>
      </c>
      <c r="I108" s="12"/>
      <c r="J108" s="12"/>
      <c r="K108" s="12"/>
      <c r="L108" s="12"/>
      <c r="M108" s="12"/>
      <c r="N108" s="14" t="s">
        <v>281</v>
      </c>
    </row>
    <row r="109" spans="2:14" x14ac:dyDescent="0.25">
      <c r="B109" s="9">
        <v>100</v>
      </c>
      <c r="C109" s="10" t="s">
        <v>22</v>
      </c>
      <c r="D109" s="11"/>
      <c r="E109" s="12" t="s">
        <v>45</v>
      </c>
      <c r="F109" s="12" t="s">
        <v>284</v>
      </c>
      <c r="G109" s="12" t="s">
        <v>285</v>
      </c>
      <c r="H109" s="13" t="s">
        <v>286</v>
      </c>
      <c r="I109" s="12"/>
      <c r="J109" s="12"/>
      <c r="K109" s="12"/>
      <c r="L109" s="12"/>
      <c r="M109" s="12"/>
      <c r="N109" s="14" t="s">
        <v>54</v>
      </c>
    </row>
    <row r="110" spans="2:14" x14ac:dyDescent="0.25">
      <c r="B110" s="9">
        <v>101</v>
      </c>
      <c r="C110" s="10" t="s">
        <v>22</v>
      </c>
      <c r="D110" s="11"/>
      <c r="E110" s="11" t="s">
        <v>128</v>
      </c>
      <c r="F110" s="12" t="s">
        <v>287</v>
      </c>
      <c r="G110" s="12" t="s">
        <v>288</v>
      </c>
      <c r="H110" s="13" t="s">
        <v>289</v>
      </c>
      <c r="I110" s="12"/>
      <c r="J110" s="12"/>
      <c r="K110" s="12"/>
      <c r="L110" s="12"/>
      <c r="M110" s="12"/>
      <c r="N110" s="14" t="s">
        <v>54</v>
      </c>
    </row>
    <row r="111" spans="2:14" x14ac:dyDescent="0.25">
      <c r="B111" s="9">
        <v>102</v>
      </c>
      <c r="C111" s="15" t="s">
        <v>34</v>
      </c>
      <c r="D111" s="11"/>
      <c r="E111" s="11"/>
      <c r="F111" s="12" t="s">
        <v>188</v>
      </c>
      <c r="G111" s="12" t="s">
        <v>225</v>
      </c>
      <c r="H111" s="13" t="s">
        <v>290</v>
      </c>
      <c r="I111" s="12"/>
      <c r="J111" s="12"/>
      <c r="K111" s="12"/>
      <c r="L111" s="12"/>
      <c r="M111" s="12"/>
      <c r="N111" s="14" t="s">
        <v>148</v>
      </c>
    </row>
  </sheetData>
  <mergeCells count="34">
    <mergeCell ref="D10:D111"/>
    <mergeCell ref="E10:E17"/>
    <mergeCell ref="F10:F12"/>
    <mergeCell ref="F13:F14"/>
    <mergeCell ref="F15:F17"/>
    <mergeCell ref="E18:E47"/>
    <mergeCell ref="F18:F20"/>
    <mergeCell ref="F21:F26"/>
    <mergeCell ref="F27:F34"/>
    <mergeCell ref="F35:F36"/>
    <mergeCell ref="F38:F39"/>
    <mergeCell ref="F41:F42"/>
    <mergeCell ref="F43:F45"/>
    <mergeCell ref="F46:F47"/>
    <mergeCell ref="E48:E79"/>
    <mergeCell ref="F48:F51"/>
    <mergeCell ref="F52:F55"/>
    <mergeCell ref="F56:F64"/>
    <mergeCell ref="F65:F66"/>
    <mergeCell ref="F67:F70"/>
    <mergeCell ref="F71:F77"/>
    <mergeCell ref="F78:F79"/>
    <mergeCell ref="E80:E98"/>
    <mergeCell ref="F80:F82"/>
    <mergeCell ref="F84:F91"/>
    <mergeCell ref="F92:F93"/>
    <mergeCell ref="F94:F96"/>
    <mergeCell ref="F97:F98"/>
    <mergeCell ref="E99:E108"/>
    <mergeCell ref="F99:F101"/>
    <mergeCell ref="F102:F103"/>
    <mergeCell ref="F104:F106"/>
    <mergeCell ref="F107:F108"/>
    <mergeCell ref="E110:E111"/>
  </mergeCells>
  <dataValidations count="1">
    <dataValidation type="list" allowBlank="1" showErrorMessage="1" errorTitle="잘못된 값" error="Pass, Fail, N/T, Block 중 하나를 선택하세요." sqref="I10:J111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어비스레이드 도움주기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2026-05-15T08:05:55Z</dcterms:created>
  <dcterms:modified xsi:type="dcterms:W3CDTF">2026-05-15T08:05:55Z</dcterms:modified>
</cp:coreProperties>
</file>